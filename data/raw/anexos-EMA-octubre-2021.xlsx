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codeName="ThisWorkbook" defaultThemeVersion="124226"/>
  <mc:AlternateContent xmlns:mc="http://schemas.openxmlformats.org/markup-compatibility/2006">
    <mc:Choice Requires="x15">
      <x15ac:absPath xmlns:x15ac="http://schemas.microsoft.com/office/spreadsheetml/2010/11/ac" url="C:\Users\lcast\OneDrive\Escritorio\"/>
    </mc:Choice>
  </mc:AlternateContent>
  <xr:revisionPtr revIDLastSave="0" documentId="13_ncr:1_{FCF3321F-3D71-4A8E-BB6F-7E962E37EC95}" xr6:coauthVersionLast="47" xr6:coauthVersionMax="47" xr10:uidLastSave="{00000000-0000-0000-0000-000000000000}"/>
  <bookViews>
    <workbookView xWindow="-120" yWindow="-120" windowWidth="20730" windowHeight="11160" tabRatio="729" xr2:uid="{00000000-000D-0000-FFFF-FFFF00000000}"/>
  </bookViews>
  <sheets>
    <sheet name="Contenido" sheetId="2" r:id="rId1"/>
    <sheet name="1.1 V.A Ing.real" sheetId="26" r:id="rId2"/>
    <sheet name="1.2 V.A.C Ing.real" sheetId="29" r:id="rId3"/>
    <sheet name="1.3 V.12Meses Ing.real" sheetId="61" r:id="rId4"/>
    <sheet name="2.1 V.A Per.categ" sheetId="31" r:id="rId5"/>
    <sheet name="2.2 V.A.C Per.categ" sheetId="32" r:id="rId6"/>
    <sheet name="2.3 V.12Meses Per.categ" sheetId="62" r:id="rId7"/>
    <sheet name="3.1 V.A Salarios" sheetId="54" r:id="rId8"/>
    <sheet name="3.2 V.A.C Salarios" sheetId="55" r:id="rId9"/>
    <sheet name="3.3 V.12Meses Salarios" sheetId="63" r:id="rId10"/>
    <sheet name="4.1 VAR_Bienales" sheetId="64" r:id="rId11"/>
    <sheet name="5.1 Porc Ocupación.escala.hab" sheetId="35" r:id="rId12"/>
    <sheet name="5.2 Porc Mens Ocupación.reg" sheetId="46" r:id="rId13"/>
    <sheet name="5.3 Porc A.C Ocupación.reg" sheetId="50" r:id="rId14"/>
    <sheet name="5.4 Porc 12.meses Ocupación.reg" sheetId="51" r:id="rId15"/>
    <sheet name="6.1 Porc Mens Motivo.viaje.reg" sheetId="36" r:id="rId16"/>
    <sheet name="6.2 Porc AC Motivo.viaje.reg" sheetId="56" r:id="rId17"/>
    <sheet name="6.3 Porc Mens Motivo.viaje.R" sheetId="37" r:id="rId18"/>
    <sheet name="6.4 Porc Mens Motivo.viaje.NR" sheetId="38" r:id="rId19"/>
    <sheet name="6.5 Porc Huéspedes.EMA" sheetId="65" r:id="rId20"/>
    <sheet name="7.1 Ind.Var Tarifas.acomoda" sheetId="60" r:id="rId21"/>
    <sheet name="8.1 Ind.Mes oferta.demanda" sheetId="52" r:id="rId22"/>
    <sheet name="9.1 Ind.EMA" sheetId="58" r:id="rId23"/>
    <sheet name="9.2 Ind empalmados.MMH" sheetId="48" r:id="rId24"/>
    <sheet name="10.1 Coef.Varia.Naci" sheetId="49" r:id="rId25"/>
    <sheet name="10.2 Coef.Variación.Regi" sheetId="57" r:id="rId26"/>
  </sheets>
  <externalReferences>
    <externalReference r:id="rId27"/>
    <externalReference r:id="rId28"/>
  </externalReferences>
  <definedNames>
    <definedName name="_2010">[1]Ingresos!$A$63</definedName>
    <definedName name="_2011">[1]Ingresos!$A$75</definedName>
    <definedName name="_2012">[1]Ingresos!$A$87</definedName>
    <definedName name="_2013">[1]Ingresos!$A$99</definedName>
    <definedName name="_2014">[1]Ingresos!$A$111</definedName>
    <definedName name="_2015">[1]Ingresos!$A$123</definedName>
    <definedName name="_2016">[1]Ingresos!$A$135</definedName>
    <definedName name="_fechaActualiza" localSheetId="3">#REF!</definedName>
    <definedName name="_fechaActualiza" localSheetId="24">#REF!</definedName>
    <definedName name="_fechaActualiza" localSheetId="25">#REF!</definedName>
    <definedName name="_fechaActualiza" localSheetId="6">#REF!</definedName>
    <definedName name="_fechaActualiza" localSheetId="7">#REF!</definedName>
    <definedName name="_fechaActualiza" localSheetId="8">#REF!</definedName>
    <definedName name="_fechaActualiza" localSheetId="9">#REF!</definedName>
    <definedName name="_fechaActualiza" localSheetId="10">#REF!</definedName>
    <definedName name="_fechaActualiza" localSheetId="12">#REF!</definedName>
    <definedName name="_fechaActualiza" localSheetId="13">#REF!</definedName>
    <definedName name="_fechaActualiza" localSheetId="14">#REF!</definedName>
    <definedName name="_fechaActualiza" localSheetId="16">#REF!</definedName>
    <definedName name="_fechaActualiza" localSheetId="19">#REF!</definedName>
    <definedName name="_fechaActualiza" localSheetId="20">#REF!</definedName>
    <definedName name="_fechaActualiza" localSheetId="21">#REF!</definedName>
    <definedName name="_fechaActualiza" localSheetId="22">#REF!</definedName>
    <definedName name="_fechaActualiza" localSheetId="23">#REF!</definedName>
    <definedName name="_fechaActualiza">#REF!</definedName>
    <definedName name="_FileSalida" localSheetId="3">#REF!</definedName>
    <definedName name="_FileSalida" localSheetId="24">#REF!</definedName>
    <definedName name="_FileSalida" localSheetId="25">#REF!</definedName>
    <definedName name="_FileSalida" localSheetId="6">#REF!</definedName>
    <definedName name="_FileSalida" localSheetId="7">#REF!</definedName>
    <definedName name="_FileSalida" localSheetId="8">#REF!</definedName>
    <definedName name="_FileSalida" localSheetId="9">#REF!</definedName>
    <definedName name="_FileSalida" localSheetId="10">#REF!</definedName>
    <definedName name="_FileSalida" localSheetId="12">#REF!</definedName>
    <definedName name="_FileSalida" localSheetId="13">#REF!</definedName>
    <definedName name="_FileSalida" localSheetId="14">#REF!</definedName>
    <definedName name="_FileSalida" localSheetId="16">#REF!</definedName>
    <definedName name="_FileSalida" localSheetId="19">#REF!</definedName>
    <definedName name="_FileSalida" localSheetId="20">#REF!</definedName>
    <definedName name="_FileSalida" localSheetId="21">#REF!</definedName>
    <definedName name="_FileSalida" localSheetId="22">#REF!</definedName>
    <definedName name="_FileSalida" localSheetId="23">#REF!</definedName>
    <definedName name="_FileSalida">#REF!</definedName>
    <definedName name="_xlnm._FilterDatabase" localSheetId="1" hidden="1">'1.1 V.A Ing.real'!$B$14:$D$36</definedName>
    <definedName name="_xlnm._FilterDatabase" localSheetId="2" hidden="1">'1.2 V.A.C Ing.real'!$B$14:$D$36</definedName>
    <definedName name="_xlnm._FilterDatabase" localSheetId="3" hidden="1">'1.3 V.12Meses Ing.real'!$B$14:$D$25</definedName>
    <definedName name="_xlnm._FilterDatabase" localSheetId="24" hidden="1">'10.1 Coef.Varia.Naci'!#REF!</definedName>
    <definedName name="_xlnm._FilterDatabase" localSheetId="25" hidden="1">'10.2 Coef.Variación.Regi'!#REF!</definedName>
    <definedName name="_xlnm._FilterDatabase" localSheetId="4" hidden="1">'2.1 V.A Per.categ'!$B$14:$F$37</definedName>
    <definedName name="_xlnm._FilterDatabase" localSheetId="5" hidden="1">'2.2 V.A.C Per.categ'!$B$14:$F$37</definedName>
    <definedName name="_xlnm._FilterDatabase" localSheetId="6" hidden="1">'2.3 V.12Meses Per.categ'!$B$14:$F$26</definedName>
    <definedName name="_xlnm._FilterDatabase" localSheetId="7" hidden="1">'3.1 V.A Salarios'!$B$14:$H$36</definedName>
    <definedName name="_xlnm._FilterDatabase" localSheetId="8" hidden="1">'3.2 V.A.C Salarios'!$B$14:$F$36</definedName>
    <definedName name="_xlnm._FilterDatabase" localSheetId="9" hidden="1">'3.3 V.12Meses Salarios'!$B$14:$F$25</definedName>
    <definedName name="_xlnm._FilterDatabase" localSheetId="10" hidden="1">'4.1 VAR_Bienales'!$B$14:$F$25</definedName>
    <definedName name="_xlnm._FilterDatabase" localSheetId="11" hidden="1">'5.1 Porc Ocupación.escala.hab'!$B$14:$F$48</definedName>
    <definedName name="_xlnm._FilterDatabase" localSheetId="15" hidden="1">'6.1 Porc Mens Motivo.viaje.reg'!$B$14:$I$49</definedName>
    <definedName name="_xlnm._FilterDatabase" localSheetId="16" hidden="1">'6.2 Porc AC Motivo.viaje.reg'!$B$14:$I$49</definedName>
    <definedName name="_xlnm._FilterDatabase" localSheetId="17" hidden="1">'6.3 Porc Mens Motivo.viaje.R'!$B$14:$I$49</definedName>
    <definedName name="_xlnm._FilterDatabase" localSheetId="18" hidden="1">'6.4 Porc Mens Motivo.viaje.NR'!$B$14:$I$49</definedName>
    <definedName name="_xlnm._FilterDatabase" localSheetId="19" hidden="1">'6.5 Porc Huéspedes.EMA'!#REF!</definedName>
    <definedName name="_xlnm._FilterDatabase" localSheetId="20" hidden="1">'7.1 Ind.Var Tarifas.acomoda'!$B$17:$G$51</definedName>
    <definedName name="_xlnm._FilterDatabase" localSheetId="21" hidden="1">'8.1 Ind.Mes oferta.demanda'!$B$14:$G$49</definedName>
    <definedName name="_xlnm._FilterDatabase" localSheetId="22" hidden="1">'9.1 Ind.EMA'!#REF!</definedName>
    <definedName name="_xlnm._FilterDatabase" localSheetId="23" hidden="1">'9.2 Ind empalmados.MMH'!#REF!</definedName>
    <definedName name="_um" localSheetId="3">#REF!</definedName>
    <definedName name="_um" localSheetId="24">#REF!</definedName>
    <definedName name="_um" localSheetId="25">#REF!</definedName>
    <definedName name="_um" localSheetId="6">#REF!</definedName>
    <definedName name="_um" localSheetId="7">#REF!</definedName>
    <definedName name="_um" localSheetId="8">#REF!</definedName>
    <definedName name="_um" localSheetId="9">#REF!</definedName>
    <definedName name="_um" localSheetId="10">#REF!</definedName>
    <definedName name="_um" localSheetId="12">#REF!</definedName>
    <definedName name="_um" localSheetId="13">#REF!</definedName>
    <definedName name="_um" localSheetId="14">#REF!</definedName>
    <definedName name="_um" localSheetId="16">#REF!</definedName>
    <definedName name="_um" localSheetId="19">#REF!</definedName>
    <definedName name="_um" localSheetId="20">#REF!</definedName>
    <definedName name="_um" localSheetId="21">#REF!</definedName>
    <definedName name="_um" localSheetId="22">#REF!</definedName>
    <definedName name="_um" localSheetId="23">#REF!</definedName>
    <definedName name="_um">#REF!</definedName>
    <definedName name="_xlnm.Print_Area" localSheetId="1">'1.1 V.A Ing.real'!$B$1:$E$46</definedName>
    <definedName name="_xlnm.Print_Area" localSheetId="2">'1.2 V.A.C Ing.real'!$B$1:$E$47</definedName>
    <definedName name="_xlnm.Print_Area" localSheetId="3">'1.3 V.12Meses Ing.real'!$B$1:$E$35</definedName>
    <definedName name="_xlnm.Print_Area" localSheetId="24">'10.1 Coef.Varia.Naci'!$B$1:$G$57</definedName>
    <definedName name="_xlnm.Print_Area" localSheetId="25">'10.2 Coef.Variación.Regi'!$B$1:$G$56</definedName>
    <definedName name="_xlnm.Print_Area" localSheetId="4">'2.1 V.A Per.categ'!$B$1:$I$48</definedName>
    <definedName name="_xlnm.Print_Area" localSheetId="5">'2.2 V.A.C Per.categ'!$B$1:$I$48</definedName>
    <definedName name="_xlnm.Print_Area" localSheetId="6">'2.3 V.12Meses Per.categ'!$B$1:$I$36</definedName>
    <definedName name="_xlnm.Print_Area" localSheetId="7">'3.1 V.A Salarios'!$B$1:$L$42</definedName>
    <definedName name="_xlnm.Print_Area" localSheetId="8">'3.2 V.A.C Salarios'!$B$1:$I$41</definedName>
    <definedName name="_xlnm.Print_Area" localSheetId="9">'3.3 V.12Meses Salarios'!$B$1:$I$30</definedName>
    <definedName name="_xlnm.Print_Area" localSheetId="10">'4.1 VAR_Bienales'!$B$1:$I$37</definedName>
    <definedName name="_xlnm.Print_Area" localSheetId="11">'5.1 Porc Ocupación.escala.hab'!$B$1:$F$56</definedName>
    <definedName name="_xlnm.Print_Area" localSheetId="15">'6.1 Porc Mens Motivo.viaje.reg'!$B$1:$O$56</definedName>
    <definedName name="_xlnm.Print_Area" localSheetId="16">'6.2 Porc AC Motivo.viaje.reg'!$B$1:$O$55</definedName>
    <definedName name="_xlnm.Print_Area" localSheetId="17">'6.3 Porc Mens Motivo.viaje.R'!$B$1:$O$56</definedName>
    <definedName name="_xlnm.Print_Area" localSheetId="18">'6.4 Porc Mens Motivo.viaje.NR'!$B$1:$O$56</definedName>
    <definedName name="_xlnm.Print_Area" localSheetId="19">'6.5 Porc Huéspedes.EMA'!$B$1:$D$57</definedName>
    <definedName name="_xlnm.Print_Area" localSheetId="20">'7.1 Ind.Var Tarifas.acomoda'!$B$1:$K$56</definedName>
    <definedName name="_xlnm.Print_Area" localSheetId="21">'8.1 Ind.Mes oferta.demanda'!$B$1:$K$54</definedName>
    <definedName name="_xlnm.Print_Area" localSheetId="22">'9.1 Ind.EMA'!$B$1:$F$56</definedName>
    <definedName name="_xlnm.Print_Area" localSheetId="23">'9.2 Ind empalmados.MMH'!$B$1:$E$228</definedName>
    <definedName name="_xlnm.Print_Area" localSheetId="0">Contenido!$A$1:$B$35</definedName>
    <definedName name="Empalme3" localSheetId="2">#REF!</definedName>
    <definedName name="Empalme3" localSheetId="3">#REF!</definedName>
    <definedName name="Empalme3" localSheetId="25">#REF!</definedName>
    <definedName name="Empalme3" localSheetId="4">#REF!</definedName>
    <definedName name="Empalme3" localSheetId="5">#REF!</definedName>
    <definedName name="Empalme3" localSheetId="6">#REF!</definedName>
    <definedName name="Empalme3" localSheetId="7">#REF!</definedName>
    <definedName name="Empalme3" localSheetId="8">#REF!</definedName>
    <definedName name="Empalme3" localSheetId="9">#REF!</definedName>
    <definedName name="Empalme3" localSheetId="10">#REF!</definedName>
    <definedName name="Empalme3" localSheetId="11">#REF!</definedName>
    <definedName name="Empalme3" localSheetId="12">#REF!</definedName>
    <definedName name="Empalme3" localSheetId="13">#REF!</definedName>
    <definedName name="Empalme3" localSheetId="14">#REF!</definedName>
    <definedName name="Empalme3" localSheetId="15">#REF!</definedName>
    <definedName name="Empalme3" localSheetId="16">#REF!</definedName>
    <definedName name="Empalme3" localSheetId="17">#REF!</definedName>
    <definedName name="Empalme3" localSheetId="18">#REF!</definedName>
    <definedName name="Empalme3" localSheetId="19">#REF!</definedName>
    <definedName name="Empalme3" localSheetId="20">#REF!</definedName>
    <definedName name="Empalme3" localSheetId="21">#REF!</definedName>
    <definedName name="Empalme3" localSheetId="22">#REF!</definedName>
    <definedName name="Empalme3">#REF!</definedName>
    <definedName name="IDX" localSheetId="0">Contenido!#REF!</definedName>
    <definedName name="tbl_mes">[2]Parametros!$H$1:$I$12</definedName>
    <definedName name="_xlnm.Print_Titles" localSheetId="19">'6.5 Porc Huéspedes.EMA'!$1:$16</definedName>
    <definedName name="_xlnm.Print_Titles" localSheetId="22">'9.1 Ind.EMA'!$1:$16</definedName>
    <definedName name="_xlnm.Print_Titles" localSheetId="23">'9.2 Ind empalmados.MMH'!$1:$14</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12" i="46" l="1"/>
  <c r="B56" i="65" l="1"/>
  <c r="A12" i="65"/>
  <c r="B55" i="38" l="1"/>
  <c r="B36" i="64" l="1"/>
  <c r="A12" i="63" l="1"/>
  <c r="A12" i="62"/>
  <c r="B57" i="49" l="1"/>
  <c r="A12" i="38" l="1"/>
  <c r="A12" i="37"/>
  <c r="A12" i="56"/>
  <c r="B29" i="63"/>
  <c r="A12" i="54"/>
  <c r="B35" i="62"/>
  <c r="A12" i="32"/>
  <c r="A12" i="31"/>
  <c r="A12" i="29"/>
  <c r="B34" i="61"/>
  <c r="A24" i="2" l="1"/>
  <c r="A11" i="57" l="1"/>
  <c r="A12" i="60"/>
  <c r="A12" i="55"/>
  <c r="A12" i="52"/>
  <c r="B58" i="60" l="1"/>
  <c r="A9" i="2" l="1"/>
  <c r="A8" i="2"/>
  <c r="B53" i="52" l="1"/>
  <c r="A12" i="50" l="1"/>
  <c r="A12" i="58"/>
  <c r="A11" i="49" l="1"/>
  <c r="B56" i="57"/>
  <c r="B55" i="58" l="1"/>
  <c r="B227" i="48" l="1"/>
  <c r="B40" i="55"/>
  <c r="B41" i="54"/>
  <c r="B55" i="37"/>
  <c r="B54" i="56"/>
  <c r="B55" i="36"/>
  <c r="B44" i="51" l="1"/>
  <c r="B56" i="50"/>
  <c r="B57" i="46"/>
  <c r="B54" i="35"/>
  <c r="B47" i="32"/>
  <c r="B46" i="29"/>
  <c r="B47" i="31"/>
  <c r="A25" i="2" l="1"/>
  <c r="A12" i="2"/>
  <c r="A11" i="2"/>
</calcChain>
</file>

<file path=xl/sharedStrings.xml><?xml version="1.0" encoding="utf-8"?>
<sst xmlns="http://schemas.openxmlformats.org/spreadsheetml/2006/main" count="2847" uniqueCount="181">
  <si>
    <t>Inicio</t>
  </si>
  <si>
    <t xml:space="preserve">Trabajo y Negocios </t>
  </si>
  <si>
    <t>Otros</t>
  </si>
  <si>
    <t>Antioquia</t>
  </si>
  <si>
    <t>ENCUESTA MENSUAL DE ALOJAMIENTO - EMA</t>
  </si>
  <si>
    <t>Bogotá D.C.</t>
  </si>
  <si>
    <t>Cartagena</t>
  </si>
  <si>
    <t>San Andrés y Providencia</t>
  </si>
  <si>
    <t>Julio</t>
  </si>
  <si>
    <t>Agosto</t>
  </si>
  <si>
    <t>Septiembre</t>
  </si>
  <si>
    <t>Octubre</t>
  </si>
  <si>
    <t>Noviembre</t>
  </si>
  <si>
    <t>Diciembre</t>
  </si>
  <si>
    <t>Abril</t>
  </si>
  <si>
    <t>Mayo</t>
  </si>
  <si>
    <t>Junio</t>
  </si>
  <si>
    <t>(p): Cifra provisional</t>
  </si>
  <si>
    <t>Variación anual = ((Valor mes año actual-valor mes año anterior)/(valor mes año anterior))*100</t>
  </si>
  <si>
    <t>Variación año corrido=((valor de los meses transcurridos del año de referencia-valor de los mismos meses transcurridos del año anterior)/(valor de los meses transcurridos del año anterior))*100</t>
  </si>
  <si>
    <t>Central</t>
  </si>
  <si>
    <t xml:space="preserve">Caribe </t>
  </si>
  <si>
    <t xml:space="preserve"> Eje Cafetero</t>
  </si>
  <si>
    <t>Golfo de Morrosquillo y Sabana</t>
  </si>
  <si>
    <t>Total nacional</t>
  </si>
  <si>
    <t>Año</t>
  </si>
  <si>
    <t>Meses</t>
  </si>
  <si>
    <t>Total del personal</t>
  </si>
  <si>
    <t>Personal permanente</t>
  </si>
  <si>
    <t>Resto de personal</t>
  </si>
  <si>
    <t>Menos de 50 habitaciones</t>
  </si>
  <si>
    <t>de 51 a 100 habitaciones</t>
  </si>
  <si>
    <t>de 101 a 150 habitaciones</t>
  </si>
  <si>
    <t>más de 150 habitaciones</t>
  </si>
  <si>
    <t>Vacaciones, Ocio y Recreo</t>
  </si>
  <si>
    <t>Salud y atención médica</t>
  </si>
  <si>
    <t>Convenciones (MICE)</t>
  </si>
  <si>
    <t xml:space="preserve">Amercos </t>
  </si>
  <si>
    <t>Santanderes</t>
  </si>
  <si>
    <t xml:space="preserve">Contenido </t>
  </si>
  <si>
    <t>Amazonía</t>
  </si>
  <si>
    <t>Pacífico</t>
  </si>
  <si>
    <t xml:space="preserve">Llanos Orinoquía </t>
  </si>
  <si>
    <t>Mes</t>
  </si>
  <si>
    <t>Ingresos totales nominales</t>
  </si>
  <si>
    <t>Ingresos totales reales</t>
  </si>
  <si>
    <t>Personal ocupado total</t>
  </si>
  <si>
    <t>Enero</t>
  </si>
  <si>
    <t>Febrero</t>
  </si>
  <si>
    <t>Marzo</t>
  </si>
  <si>
    <t>2018 (p)</t>
  </si>
  <si>
    <t>2019 (p)</t>
  </si>
  <si>
    <t>2020 (p)</t>
  </si>
  <si>
    <t>Base 2019=100</t>
  </si>
  <si>
    <t xml:space="preserve">Enero </t>
  </si>
  <si>
    <t>ENCUESTA MENSUAL DE ALOJAMIENTO EMA</t>
  </si>
  <si>
    <t xml:space="preserve">Febrero </t>
  </si>
  <si>
    <t>Ingresos nominales totales</t>
  </si>
  <si>
    <t>Ingresos reales totales</t>
  </si>
  <si>
    <t>TOTAL NACIONAL</t>
  </si>
  <si>
    <t>**Amercos: los amercos se refieren a imprevistos del viaje.</t>
  </si>
  <si>
    <t xml:space="preserve">Habitaciones ocupadas </t>
  </si>
  <si>
    <t xml:space="preserve">Camas ocupadas </t>
  </si>
  <si>
    <t xml:space="preserve">Habitaciones Disponibles </t>
  </si>
  <si>
    <t xml:space="preserve">Camas Disponibles </t>
  </si>
  <si>
    <t xml:space="preserve">Marzo </t>
  </si>
  <si>
    <t xml:space="preserve">Abril </t>
  </si>
  <si>
    <t xml:space="preserve">Junio </t>
  </si>
  <si>
    <t>Salarios</t>
  </si>
  <si>
    <t>2020(p)</t>
  </si>
  <si>
    <t>2019(p)</t>
  </si>
  <si>
    <t>Personal</t>
  </si>
  <si>
    <t>MOTIVOS DE VIAJE</t>
  </si>
  <si>
    <r>
      <t xml:space="preserve">Nota metodológica: 
Regiones: Bogotá DC, Cartagena, Región Central </t>
    </r>
    <r>
      <rPr>
        <sz val="11"/>
        <rFont val="Segoe UI"/>
        <family val="2"/>
      </rPr>
      <t>(Boyacá, Cundinamarca, Huila y Tolima)</t>
    </r>
    <r>
      <rPr>
        <b/>
        <sz val="11"/>
        <rFont val="Segoe UI"/>
        <family val="2"/>
      </rPr>
      <t>, Región Costa Caribe</t>
    </r>
    <r>
      <rPr>
        <sz val="11"/>
        <rFont val="Segoe UI"/>
        <family val="2"/>
      </rPr>
      <t xml:space="preserve"> (Atlántico, Cesar, La Guajira y Magdalena)</t>
    </r>
    <r>
      <rPr>
        <b/>
        <sz val="11"/>
        <rFont val="Segoe UI"/>
        <family val="2"/>
      </rPr>
      <t xml:space="preserve">, Región Eje Cafetero </t>
    </r>
    <r>
      <rPr>
        <sz val="11"/>
        <rFont val="Segoe UI"/>
        <family val="2"/>
      </rPr>
      <t xml:space="preserve">(Caldas, Quindío y Risaralda), </t>
    </r>
    <r>
      <rPr>
        <b/>
        <sz val="11"/>
        <rFont val="Segoe UI"/>
        <family val="2"/>
      </rPr>
      <t>Antioquia, San Andrés y Providencia, Región Pacífico</t>
    </r>
    <r>
      <rPr>
        <sz val="11"/>
        <rFont val="Segoe UI"/>
        <family val="2"/>
      </rPr>
      <t xml:space="preserve"> (Valle del Cauca, Cauca, Nariño y Chocó)</t>
    </r>
    <r>
      <rPr>
        <b/>
        <sz val="11"/>
        <rFont val="Segoe UI"/>
        <family val="2"/>
      </rPr>
      <t xml:space="preserve">, Región Santanderes </t>
    </r>
    <r>
      <rPr>
        <sz val="11"/>
        <rFont val="Segoe UI"/>
        <family val="2"/>
      </rPr>
      <t>(Santander y Norte de Santander)</t>
    </r>
    <r>
      <rPr>
        <b/>
        <sz val="11"/>
        <rFont val="Segoe UI"/>
        <family val="2"/>
      </rPr>
      <t>, Llanos Orinoquía</t>
    </r>
    <r>
      <rPr>
        <sz val="11"/>
        <rFont val="Segoe UI"/>
        <family val="2"/>
      </rPr>
      <t xml:space="preserve"> (Meta, Casanare, Arauca y Vichada),</t>
    </r>
    <r>
      <rPr>
        <b/>
        <sz val="11"/>
        <rFont val="Segoe UI"/>
        <family val="2"/>
      </rPr>
      <t xml:space="preserve"> Región Golfo Morrosquillo y Sabana </t>
    </r>
    <r>
      <rPr>
        <sz val="11"/>
        <rFont val="Segoe UI"/>
        <family val="2"/>
      </rPr>
      <t>(Bolívar, Córdoba y Sucre),</t>
    </r>
    <r>
      <rPr>
        <b/>
        <sz val="11"/>
        <rFont val="Segoe UI"/>
        <family val="2"/>
      </rPr>
      <t xml:space="preserve"> Región Amazonía</t>
    </r>
    <r>
      <rPr>
        <sz val="11"/>
        <rFont val="Segoe UI"/>
        <family val="2"/>
      </rPr>
      <t xml:space="preserve"> (Amazonas, Caquetá, Guainía, Putumayo, Guaviare y Vaupés)</t>
    </r>
    <r>
      <rPr>
        <b/>
        <sz val="11"/>
        <rFont val="Segoe UI"/>
        <family val="2"/>
      </rPr>
      <t>.</t>
    </r>
  </si>
  <si>
    <r>
      <rPr>
        <vertAlign val="superscript"/>
        <sz val="11"/>
        <rFont val="Segoe UI"/>
        <family val="2"/>
      </rPr>
      <t>1</t>
    </r>
    <r>
      <rPr>
        <sz val="11"/>
        <rFont val="Segoe UI"/>
        <family val="2"/>
      </rPr>
      <t xml:space="preserve"> El resto del personal lo conforman las siguientes categorías de contratación: los Propietarios, Socios y Familiares sin remuneración, el Temporal Directo, Temporal contratado a través de Agencias y los Aprendices.</t>
    </r>
  </si>
  <si>
    <t>2.1 Variaciones anuales del personal total y por categoría</t>
  </si>
  <si>
    <t xml:space="preserve">1.1 Variaciones anuales de los ingresos reales 
</t>
  </si>
  <si>
    <t>Total nacional y 12 regiones</t>
  </si>
  <si>
    <t xml:space="preserve">1.2 Variaciones año corrido de los ingresos reales </t>
  </si>
  <si>
    <t xml:space="preserve">Total nacional y 12 regiones  </t>
  </si>
  <si>
    <t>2.2 Variaciones año corrido del personal total y por categoría</t>
  </si>
  <si>
    <t>Golfo de Morrosquillo 
y Sabana</t>
  </si>
  <si>
    <t xml:space="preserve">Totales nacional y 12 regiones  </t>
  </si>
  <si>
    <t>Ocupación</t>
  </si>
  <si>
    <r>
      <rPr>
        <b/>
        <sz val="11"/>
        <rFont val="Segoe UI"/>
        <family val="2"/>
      </rPr>
      <t>Fuente:</t>
    </r>
    <r>
      <rPr>
        <sz val="11"/>
        <rFont val="Segoe UI"/>
        <family val="2"/>
      </rPr>
      <t xml:space="preserve"> DANE, EMA</t>
    </r>
  </si>
  <si>
    <r>
      <rPr>
        <b/>
        <sz val="9"/>
        <rFont val="Segoe UI"/>
        <family val="2"/>
      </rPr>
      <t>Fuente:</t>
    </r>
    <r>
      <rPr>
        <sz val="9"/>
        <rFont val="Segoe UI"/>
        <family val="2"/>
      </rPr>
      <t xml:space="preserve"> DANE, EMA</t>
    </r>
  </si>
  <si>
    <t>El indicador de ocupación hotelera publicado por el DANE en la Muestra Mensual de Hoteles - MMH, entre julio 2004 y mayo 2020, se refería únicamente a los hoteles de inclusión forzosa de esa muestra. Con las nuevas estimaciones de la nueva Encuesta Mensual de Alojamiento - EMA, se amplía la cobertura de esta variable, al total de las unidades de alojamiento incluidas en la muestra para cada una de las 12 regiones investigadas.</t>
  </si>
  <si>
    <t xml:space="preserve">Julio </t>
  </si>
  <si>
    <t>Nota: El indicador de ocupación hotelera publicado por el DANE en la Muestra Mensual de Hoteles - MMH, entre julio 2004 y mayo 2020, se refería únicamente a los hoteles de inclusión forzosa de esa muestra. Con las nuevas estimaciones de la nueva Encuesta Mensual de Alojamiento - EMA, se amplía la cobertura de esta variable, al total de las unidades de alojamiento incluidas en la muestra para cada una de las 12 regiones investigadas.</t>
  </si>
  <si>
    <t xml:space="preserve">Nota: El indicador de ocupación hotelera publicado por el DANE en la Muestra Mensual de Hoteles - MMH, entre julio 2004 y mayo 2020, se refería únicamente a los hoteles de inclusión forzosa de esa muestra. Con las nuevas estimaciones de la nueva Encuesta Mensual de Alojamiento - EMA, se amplía la cobertura de esta variable, al total de las unidades de alojamiento incluidas en la muestra para cada una de las 12 regiones investigadas.
</t>
  </si>
  <si>
    <t>Tipos de acomodación</t>
  </si>
  <si>
    <t>Sencilla</t>
  </si>
  <si>
    <t>Doble</t>
  </si>
  <si>
    <t>Índice</t>
  </si>
  <si>
    <t>Variaciones mensuales</t>
  </si>
  <si>
    <t>Variaciones anuales</t>
  </si>
  <si>
    <t>Variación mensual= ((Valor mes de referencia)/(valor mes inmediatamente anterior)-1)*100</t>
  </si>
  <si>
    <t>BOGOTÁ D.C.</t>
  </si>
  <si>
    <t>CARTAGENA</t>
  </si>
  <si>
    <t>REGIÓN CENTRAL</t>
  </si>
  <si>
    <t>COSTA CARIBE</t>
  </si>
  <si>
    <t>EJE CAFETERO</t>
  </si>
  <si>
    <t>ANTIOQUIA</t>
  </si>
  <si>
    <t>REGION PACIFICO</t>
  </si>
  <si>
    <t>REGIÓN SANTANDERES</t>
  </si>
  <si>
    <t>LLANOS ORINOQUIA</t>
  </si>
  <si>
    <t>GOLFO MORROSQUILLO Y SABANA</t>
  </si>
  <si>
    <t>AMAZONIA</t>
  </si>
  <si>
    <t>-</t>
  </si>
  <si>
    <t>Índices: Base 2019=100</t>
  </si>
  <si>
    <t xml:space="preserve">Índice </t>
  </si>
  <si>
    <t xml:space="preserve">ARCHIPIELAGO DE SAN ANDRES Y PROVIDENCIA * </t>
  </si>
  <si>
    <t>Nota: Los coeficientes de variación estimados (CVE) permiten evaluar la precisión de las estimaciones. Se pueden considerar excelentes si están entre 0 y 5%, buenos si están entre 5% y 10%, aceptables entre 10% y 15%. Cuando un CVE supera el 15% se recomienda usar la estimación con fines descriptivos (tendencias) ya que esta no es muy precisa.</t>
  </si>
  <si>
    <t>Nota: Para la región San Andrés y Providencia para los meses de abril hasta agosto de 2020 no se presenta motivos de viaje  al no tener oferta de alojamiento.</t>
  </si>
  <si>
    <t>Nota: Para la región San Andrés y Providencia para los meses de abril hasta agosto de 2020 no se presenta motivos de viaje para residentes, por no tener oferta de alojamiento.</t>
  </si>
  <si>
    <t xml:space="preserve">Nota: Para la región San Andrés y Providencia para los meses de abril hasta agosto de 2020 no se presenta porcentaje de ocupación al no tener oferta de habitaciones. </t>
  </si>
  <si>
    <r>
      <rPr>
        <b/>
        <sz val="11"/>
        <rFont val="Segoe UI"/>
        <family val="2"/>
      </rPr>
      <t>Nota metodológica:</t>
    </r>
    <r>
      <rPr>
        <sz val="11"/>
        <rFont val="Segoe UI"/>
        <family val="2"/>
      </rPr>
      <t xml:space="preserve"> De acuerdo a una precisión metodológica del cálculo de las tarifas por tipo de acomodación, se concluye que el método de cálculo se refiere a la evolución de un índice.</t>
    </r>
  </si>
  <si>
    <t>3.1 Total variaciones de salarios por región</t>
  </si>
  <si>
    <t xml:space="preserve">3.2 Total variaciones salarios año corrido </t>
  </si>
  <si>
    <t xml:space="preserve">**Amercos </t>
  </si>
  <si>
    <t>* Para los meses abril, mayo, junio, julio y agosto 2020, no se presenta índice, variación anual y mensual en ARCHIPIELAGO DE SAN ANDRES Y PROVIDENCIA,  dado que no hubo oferta de alojamiento para dichos periodos.</t>
  </si>
  <si>
    <t>Nota: Para la región San Andrés y Providencia para los meses de abril hasta agosto de 2020 no se presenta motivos de viaje para no residentes, por no tener oferta de alojamiento.</t>
  </si>
  <si>
    <t>* Para los meses septiembre, octubre y noviembre 2020, no se presenta índice, variación anual y mensual en ARCHIPIELAGO DE SAN ANDRES Y PROVIDENCIA, dado que para los periodos mencionados no se presentó oferta de habitaciones en los establecimientos de alojamiento de la encuesta en dos meses consecutivos.</t>
  </si>
  <si>
    <t>* El porcentaje de ocupación año corrido se refiere al periodo comprendido entre el primero de enero del año en curso y el último día para el que se tienen datos de habitaciones disponibles y ocupadas. 
Para el caso de San Andrés el porcentaje de ocupación año corrido no refleja cambios desde el mes de marzo da julio de 2020. Último mes en el que la región registró actividad de alojamiento.</t>
  </si>
  <si>
    <t>2021(p)</t>
  </si>
  <si>
    <t xml:space="preserve">1.3 Variaciones 12 meses de los ingresos reales </t>
  </si>
  <si>
    <t>2.3 Variaciones 12 meses del personal total y por categoría</t>
  </si>
  <si>
    <t>3.3 Total variaciones salarios 12 meses</t>
  </si>
  <si>
    <t>DIciembre</t>
  </si>
  <si>
    <t>Variación</t>
  </si>
  <si>
    <t>Limites</t>
  </si>
  <si>
    <t>Inferior</t>
  </si>
  <si>
    <t>Superior</t>
  </si>
  <si>
    <t>CVE</t>
  </si>
  <si>
    <t xml:space="preserve">CVE  </t>
  </si>
  <si>
    <t>Proporción</t>
  </si>
  <si>
    <t>Total de Ingresos</t>
  </si>
  <si>
    <t>Total de personal</t>
  </si>
  <si>
    <t>5.1 Porcentaje de ocupación  por escala de habitación</t>
  </si>
  <si>
    <t>5.2 Porcentaje de ocupación  mensual por región</t>
  </si>
  <si>
    <t>5.3 Porcentaje de ocupación año corrido* por región</t>
  </si>
  <si>
    <t>5.4 Porcentaje de ocupación 12 meses por región</t>
  </si>
  <si>
    <t>6.1 Distribución porcentual de los motivos de viaje total huéspedes regional mensual</t>
  </si>
  <si>
    <t>6.2 Distribución porcentual de los motivos de viaje total huéspedes regional año corrido</t>
  </si>
  <si>
    <t>6.3 Distribución porcentual de los motivos de viaje huéspedes residentes, mensual</t>
  </si>
  <si>
    <t>6.4 Distribución porcentual de los motivos de viaje huéspedes no residentes, mensual.</t>
  </si>
  <si>
    <t>7.1  Series de índices y variación de tarifas por acomodación.</t>
  </si>
  <si>
    <t>8.1 Índices de oferta y demanda de habitaciones y camas  por región total mes</t>
  </si>
  <si>
    <t>9.2 Series índices de la Muestra Mensual de Hoteles empalmadas</t>
  </si>
  <si>
    <t>10.2  Coeficientes de variación estimado porcentual
Total regional</t>
  </si>
  <si>
    <t>5.4 Porcentaje de ocupación 12 meses</t>
  </si>
  <si>
    <t>6.1 Distribución porcentual de los motivo de viaje total huéspedes regional mensual</t>
  </si>
  <si>
    <t>6.2 Distribución porcentual de los Motivo de viaje total huéspedes regional año corrido</t>
  </si>
  <si>
    <t>7.1  Tarifas</t>
  </si>
  <si>
    <t>8.1 Índices de oferta y demanda de habitaciones y camas  por región total mes.</t>
  </si>
  <si>
    <t>10.1  Coeficientes de variación estimado porcentual Total nacional</t>
  </si>
  <si>
    <t>10.2  Coeficientes de variación estimado porcentual Total regional</t>
  </si>
  <si>
    <t>4.1 Variaciones bienales de ingresos reales, personal ocupado y salarios</t>
  </si>
  <si>
    <t>Amazonía*</t>
  </si>
  <si>
    <t>* Ajuste de información histórica de algunas fuentes.</t>
  </si>
  <si>
    <t>Variación anual2019_2021 =((valor del mes transcurridos del año de referencia - valor de los mismo mes transcurridos del año 2019 )/(valor del mes transcurridos del año 2019))*100</t>
  </si>
  <si>
    <r>
      <t>Nota metodológica: 
Regiones:</t>
    </r>
    <r>
      <rPr>
        <sz val="11"/>
        <rFont val="Segoe UI"/>
        <family val="2"/>
      </rPr>
      <t xml:space="preserve"> </t>
    </r>
    <r>
      <rPr>
        <b/>
        <sz val="11"/>
        <rFont val="Segoe UI"/>
        <family val="2"/>
      </rPr>
      <t>Bogotá DC, Cartagena, Región Central</t>
    </r>
    <r>
      <rPr>
        <sz val="11"/>
        <rFont val="Segoe UI"/>
        <family val="2"/>
      </rPr>
      <t xml:space="preserve"> (Boyacá, Cundinamarca, Huila y Tolima),</t>
    </r>
    <r>
      <rPr>
        <b/>
        <sz val="11"/>
        <rFont val="Segoe UI"/>
        <family val="2"/>
      </rPr>
      <t xml:space="preserve"> Región Costa Caribe</t>
    </r>
    <r>
      <rPr>
        <sz val="11"/>
        <rFont val="Segoe UI"/>
        <family val="2"/>
      </rPr>
      <t xml:space="preserve"> (Atlántico, Cesar, La Guajira y Magdalena), </t>
    </r>
    <r>
      <rPr>
        <b/>
        <sz val="11"/>
        <rFont val="Segoe UI"/>
        <family val="2"/>
      </rPr>
      <t xml:space="preserve">Región Eje Cafetero </t>
    </r>
    <r>
      <rPr>
        <sz val="11"/>
        <rFont val="Segoe UI"/>
        <family val="2"/>
      </rPr>
      <t>(Caldas, Quindío y Risaralda),</t>
    </r>
    <r>
      <rPr>
        <b/>
        <sz val="11"/>
        <rFont val="Segoe UI"/>
        <family val="2"/>
      </rPr>
      <t xml:space="preserve"> Antioquia, San Andrés y Providencia, Región Pacífico</t>
    </r>
    <r>
      <rPr>
        <sz val="11"/>
        <rFont val="Segoe UI"/>
        <family val="2"/>
      </rPr>
      <t xml:space="preserve"> (Valle del Cauca, Cauca, Nariño y Chocó), </t>
    </r>
    <r>
      <rPr>
        <b/>
        <sz val="11"/>
        <rFont val="Segoe UI"/>
        <family val="2"/>
      </rPr>
      <t>Región Santanderes</t>
    </r>
    <r>
      <rPr>
        <sz val="11"/>
        <rFont val="Segoe UI"/>
        <family val="2"/>
      </rPr>
      <t xml:space="preserve"> (Santander y Norte de Santander),</t>
    </r>
    <r>
      <rPr>
        <b/>
        <sz val="11"/>
        <rFont val="Segoe UI"/>
        <family val="2"/>
      </rPr>
      <t xml:space="preserve"> Llanos Orinoquía</t>
    </r>
    <r>
      <rPr>
        <sz val="11"/>
        <rFont val="Segoe UI"/>
        <family val="2"/>
      </rPr>
      <t xml:space="preserve"> (Meta, Casanare, Arauca y Vichada), </t>
    </r>
    <r>
      <rPr>
        <b/>
        <sz val="11"/>
        <rFont val="Segoe UI"/>
        <family val="2"/>
      </rPr>
      <t>Región Golfo Morrosquillo y Sabana</t>
    </r>
    <r>
      <rPr>
        <sz val="11"/>
        <rFont val="Segoe UI"/>
        <family val="2"/>
      </rPr>
      <t xml:space="preserve"> (Bolívar, Córdoba y Sucre), </t>
    </r>
    <r>
      <rPr>
        <b/>
        <sz val="11"/>
        <rFont val="Segoe UI"/>
        <family val="2"/>
      </rPr>
      <t>Región Amazonía</t>
    </r>
    <r>
      <rPr>
        <sz val="11"/>
        <rFont val="Segoe UI"/>
        <family val="2"/>
      </rPr>
      <t xml:space="preserve"> (Amazonas, Caquetá, Guainía, Putumayo, Guaviare y Vaupés).</t>
    </r>
    <r>
      <rPr>
        <b/>
        <sz val="11"/>
        <rFont val="Segoe UI"/>
        <family val="2"/>
      </rPr>
      <t xml:space="preserve">
Nota: </t>
    </r>
    <r>
      <rPr>
        <sz val="11"/>
        <rFont val="Segoe UI"/>
        <family val="2"/>
      </rPr>
      <t>San Andrés y Providencia no presenta variación anual en ingresos reales, dado que para los meses de abril hasta agosto 2020 no se presentó oferta de alojamiento en los establecimientos de la muestra</t>
    </r>
    <r>
      <rPr>
        <b/>
        <sz val="11"/>
        <rFont val="Segoe UI"/>
        <family val="2"/>
      </rPr>
      <t>.</t>
    </r>
  </si>
  <si>
    <t>Salarios totales reales</t>
  </si>
  <si>
    <t>Residentes</t>
  </si>
  <si>
    <t>No residentes</t>
  </si>
  <si>
    <t>6.5 Distribución porcentual de huéspedes residentes y no residentes</t>
  </si>
  <si>
    <t>9.1 Series índices ingresos nominales, ingresos reales, personal ocupado y salarios reales</t>
  </si>
  <si>
    <t>Huéspedes</t>
  </si>
  <si>
    <t>Huéspedes residentes</t>
  </si>
  <si>
    <t>Huéspedes no residentes</t>
  </si>
  <si>
    <t>10.1  Coeficientes de variación estimados
Total nacional</t>
  </si>
  <si>
    <t>*</t>
  </si>
  <si>
    <t>Nota: Para la región San Andrés y Providencia para los meses de abril hasta agosto de 2020 no se presenta motivos de viaje para residentes y No residentes, por no tener oferta de alojamiento.</t>
  </si>
  <si>
    <t>Julio 2004 - octubre 2021</t>
  </si>
  <si>
    <t>Enero 2019 - octubre 2021</t>
  </si>
  <si>
    <t>Actualizado el 15 de diciembre de 2021</t>
  </si>
  <si>
    <t>Enero 2020 - octubre 2021</t>
  </si>
  <si>
    <t>Diciembre 2020 - octubre 2021</t>
  </si>
  <si>
    <t>Enero 2021 - octubre 2021</t>
  </si>
  <si>
    <t>Diciembre 2019 - octubre 2021</t>
  </si>
  <si>
    <t>* Variación anual superior a 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</si>
</sst>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00\ _€_-;\-* #,##0.00\ _€_-;_-* &quot;-&quot;??\ _€_-;_-@_-"/>
    <numFmt numFmtId="166" formatCode="_-* #,##0.00\ _p_t_a_-;\-* #,##0.00\ _p_t_a_-;_-* &quot;-&quot;??\ _p_t_a_-;_-@_-"/>
    <numFmt numFmtId="167" formatCode="0.0"/>
    <numFmt numFmtId="168" formatCode="_ * #,##0.00_ ;_ * \-#,##0.00_ ;_ * &quot;-&quot;??_ ;_ @_ "/>
    <numFmt numFmtId="169" formatCode="#,##0.0"/>
    <numFmt numFmtId="170" formatCode="_ [$€-2]\ * #,##0.00_ ;_ [$€-2]\ * \-#,##0.00_ ;_ [$€-2]\ * &quot;-&quot;??_ "/>
    <numFmt numFmtId="171" formatCode="_-* #,##0.0\ _p_t_a_-;\-* #,##0.0\ _p_t_a_-;_-* &quot;-&quot;??\ _p_t_a_-;_-@_-"/>
    <numFmt numFmtId="172" formatCode="[$-240A]d&quot; de &quot;mmmm&quot; de &quot;yyyy;@"/>
  </numFmts>
  <fonts count="47" x14ac:knownFonts="1">
    <font>
      <sz val="11"/>
      <color theme="1"/>
      <name val="Calibri"/>
      <family val="2"/>
      <scheme val="minor"/>
    </font>
    <font>
      <sz val="10"/>
      <name val="Verdana"/>
      <family val="2"/>
    </font>
    <font>
      <sz val="10"/>
      <name val="Arial"/>
      <family val="2"/>
    </font>
    <font>
      <sz val="10"/>
      <name val="MS Sans Serif"/>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u/>
      <sz val="11"/>
      <color rgb="FF0066AA"/>
      <name val="Calibri"/>
      <family val="2"/>
      <scheme val="minor"/>
    </font>
    <font>
      <u/>
      <sz val="11"/>
      <color rgb="FF004488"/>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1"/>
      <name val="Calibri"/>
      <family val="2"/>
      <scheme val="minor"/>
    </font>
    <font>
      <sz val="9"/>
      <color rgb="FF002288"/>
      <name val="Segoe UI"/>
      <family val="2"/>
    </font>
    <font>
      <sz val="9"/>
      <name val="Segoe UI"/>
      <family val="2"/>
    </font>
    <font>
      <b/>
      <sz val="9"/>
      <color theme="0"/>
      <name val="Segoe UI"/>
      <family val="2"/>
    </font>
    <font>
      <b/>
      <sz val="9"/>
      <name val="Segoe UI"/>
      <family val="2"/>
    </font>
    <font>
      <b/>
      <sz val="9"/>
      <color rgb="FF000000"/>
      <name val="Segoe UI"/>
      <family val="2"/>
    </font>
    <font>
      <sz val="9"/>
      <color theme="1"/>
      <name val="Segoe UI"/>
      <family val="2"/>
    </font>
    <font>
      <b/>
      <sz val="14"/>
      <color theme="0"/>
      <name val="Segoe UI"/>
      <family val="2"/>
    </font>
    <font>
      <b/>
      <sz val="12"/>
      <name val="Segoe UI"/>
      <family val="2"/>
    </font>
    <font>
      <u/>
      <sz val="11"/>
      <color rgb="FF0066AA"/>
      <name val="Segoe UI"/>
      <family val="2"/>
    </font>
    <font>
      <sz val="9"/>
      <color rgb="FF000000"/>
      <name val="Segoe UI"/>
      <family val="2"/>
    </font>
    <font>
      <sz val="11"/>
      <color rgb="FF002288"/>
      <name val="Segoe UI"/>
      <family val="2"/>
    </font>
    <font>
      <sz val="11"/>
      <name val="Segoe UI"/>
      <family val="2"/>
    </font>
    <font>
      <b/>
      <sz val="11"/>
      <color theme="0"/>
      <name val="Segoe UI"/>
      <family val="2"/>
    </font>
    <font>
      <b/>
      <sz val="11"/>
      <color rgb="FF000000"/>
      <name val="Segoe UI"/>
      <family val="2"/>
    </font>
    <font>
      <b/>
      <vertAlign val="superscript"/>
      <sz val="11"/>
      <color rgb="FF333333"/>
      <name val="Segoe UI"/>
      <family val="2"/>
    </font>
    <font>
      <b/>
      <sz val="11"/>
      <name val="Segoe UI"/>
      <family val="2"/>
    </font>
    <font>
      <vertAlign val="superscript"/>
      <sz val="11"/>
      <name val="Segoe UI"/>
      <family val="2"/>
    </font>
    <font>
      <sz val="11"/>
      <color rgb="FF000000"/>
      <name val="Segoe UI"/>
      <family val="2"/>
    </font>
    <font>
      <sz val="11"/>
      <color theme="1"/>
      <name val="Segoe UI"/>
      <family val="2"/>
    </font>
    <font>
      <sz val="8"/>
      <name val="Segoe UI"/>
      <family val="2"/>
    </font>
    <font>
      <b/>
      <sz val="11"/>
      <color theme="1"/>
      <name val="Segoe UI"/>
      <family val="2"/>
    </font>
    <font>
      <b/>
      <sz val="10"/>
      <name val="Segoe UI"/>
      <family val="2"/>
    </font>
    <font>
      <u/>
      <sz val="11"/>
      <color rgb="FF002288"/>
      <name val="Segoe UI"/>
      <family val="2"/>
    </font>
  </fonts>
  <fills count="41">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B6004B"/>
        <bgColor indexed="64"/>
      </patternFill>
    </fill>
    <fill>
      <patternFill patternType="solid">
        <fgColor indexed="65"/>
        <bgColor rgb="FF000000"/>
      </patternFill>
    </fill>
  </fills>
  <borders count="26">
    <border>
      <left/>
      <right/>
      <top/>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medium">
        <color indexed="64"/>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63">
    <xf numFmtId="0" fontId="0" fillId="0" borderId="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7" fillId="22" borderId="0" applyNumberFormat="0" applyBorder="0" applyAlignment="0" applyProtection="0"/>
    <xf numFmtId="0" fontId="8" fillId="23" borderId="3" applyNumberFormat="0" applyAlignment="0" applyProtection="0"/>
    <xf numFmtId="0" fontId="9" fillId="24" borderId="4" applyNumberFormat="0" applyAlignment="0" applyProtection="0"/>
    <xf numFmtId="0" fontId="10" fillId="0" borderId="5" applyNumberFormat="0" applyFill="0" applyAlignment="0" applyProtection="0"/>
    <xf numFmtId="0" fontId="11" fillId="0" borderId="0" applyNumberFormat="0" applyFill="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12" fillId="31" borderId="3" applyNumberFormat="0" applyAlignment="0" applyProtection="0"/>
    <xf numFmtId="170" fontId="2" fillId="0" borderId="0" applyFon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32" borderId="0" applyNumberFormat="0" applyBorder="0" applyAlignment="0" applyProtection="0"/>
    <xf numFmtId="165" fontId="5" fillId="0" borderId="0" applyFont="0" applyFill="0" applyBorder="0" applyAlignment="0" applyProtection="0"/>
    <xf numFmtId="166" fontId="2" fillId="0" borderId="0" applyFont="0" applyFill="0" applyBorder="0" applyAlignment="0" applyProtection="0"/>
    <xf numFmtId="168" fontId="1" fillId="0" borderId="0" applyFont="0" applyFill="0" applyBorder="0" applyAlignment="0" applyProtection="0"/>
    <xf numFmtId="0" fontId="16" fillId="33" borderId="0" applyNumberFormat="0" applyBorder="0" applyAlignment="0" applyProtection="0"/>
    <xf numFmtId="0" fontId="2" fillId="0" borderId="0"/>
    <xf numFmtId="0" fontId="2" fillId="0" borderId="0"/>
    <xf numFmtId="0" fontId="2" fillId="0" borderId="0"/>
    <xf numFmtId="0" fontId="2" fillId="0" borderId="0"/>
    <xf numFmtId="0" fontId="3" fillId="0" borderId="0"/>
    <xf numFmtId="0" fontId="1" fillId="0" borderId="0"/>
    <xf numFmtId="0" fontId="5" fillId="0" borderId="0"/>
    <xf numFmtId="0" fontId="4" fillId="0" borderId="0"/>
    <xf numFmtId="0" fontId="5" fillId="34" borderId="6"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0" fontId="17" fillId="23" borderId="7"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8" applyNumberFormat="0" applyFill="0" applyAlignment="0" applyProtection="0"/>
    <xf numFmtId="0" fontId="22" fillId="0" borderId="9" applyNumberFormat="0" applyFill="0" applyAlignment="0" applyProtection="0"/>
    <xf numFmtId="0" fontId="11" fillId="0" borderId="10" applyNumberFormat="0" applyFill="0" applyAlignment="0" applyProtection="0"/>
    <xf numFmtId="0" fontId="23" fillId="0" borderId="11" applyNumberFormat="0" applyFill="0" applyAlignment="0" applyProtection="0"/>
    <xf numFmtId="0" fontId="2" fillId="0" borderId="0"/>
    <xf numFmtId="164" fontId="5" fillId="0" borderId="0" applyFont="0" applyFill="0" applyBorder="0" applyAlignment="0" applyProtection="0"/>
    <xf numFmtId="0" fontId="3" fillId="0" borderId="0"/>
    <xf numFmtId="0" fontId="3" fillId="0" borderId="0"/>
    <xf numFmtId="0" fontId="3" fillId="0" borderId="0"/>
  </cellStyleXfs>
  <cellXfs count="481">
    <xf numFmtId="0" fontId="0" fillId="0" borderId="0" xfId="0"/>
    <xf numFmtId="0" fontId="24" fillId="0" borderId="12" xfId="0" applyFont="1" applyFill="1" applyBorder="1" applyAlignment="1">
      <alignment wrapText="1"/>
    </xf>
    <xf numFmtId="0" fontId="24" fillId="0" borderId="1" xfId="0" applyFont="1" applyFill="1" applyBorder="1" applyAlignment="1">
      <alignment wrapText="1"/>
    </xf>
    <xf numFmtId="0" fontId="24" fillId="0" borderId="0" xfId="0" applyFont="1" applyFill="1" applyBorder="1"/>
    <xf numFmtId="0" fontId="24" fillId="0" borderId="14" xfId="0" applyFont="1" applyFill="1" applyBorder="1" applyAlignment="1">
      <alignment wrapText="1"/>
    </xf>
    <xf numFmtId="0" fontId="24" fillId="0" borderId="0" xfId="0" applyFont="1" applyFill="1" applyBorder="1" applyAlignment="1">
      <alignment wrapText="1"/>
    </xf>
    <xf numFmtId="0" fontId="25" fillId="35" borderId="0" xfId="0" applyFont="1" applyFill="1"/>
    <xf numFmtId="1" fontId="27" fillId="37" borderId="0" xfId="61" applyNumberFormat="1" applyFont="1" applyFill="1" applyBorder="1"/>
    <xf numFmtId="4" fontId="25" fillId="37" borderId="0" xfId="61" applyNumberFormat="1" applyFont="1" applyFill="1" applyBorder="1"/>
    <xf numFmtId="0" fontId="25" fillId="0" borderId="0" xfId="61" applyFont="1" applyBorder="1"/>
    <xf numFmtId="0" fontId="28" fillId="37" borderId="0" xfId="0" applyFont="1" applyFill="1" applyBorder="1" applyAlignment="1">
      <alignment vertical="top"/>
    </xf>
    <xf numFmtId="4" fontId="25" fillId="0" borderId="0" xfId="61" applyNumberFormat="1" applyFont="1" applyBorder="1"/>
    <xf numFmtId="1" fontId="27" fillId="38" borderId="16" xfId="61" applyNumberFormat="1" applyFont="1" applyFill="1" applyBorder="1" applyAlignment="1">
      <alignment horizontal="center" vertical="center" wrapText="1"/>
    </xf>
    <xf numFmtId="4" fontId="27" fillId="38" borderId="16" xfId="61" applyNumberFormat="1" applyFont="1" applyFill="1" applyBorder="1" applyAlignment="1">
      <alignment horizontal="center" vertical="center" wrapText="1"/>
    </xf>
    <xf numFmtId="4" fontId="27" fillId="38" borderId="17" xfId="61" applyNumberFormat="1" applyFont="1" applyFill="1" applyBorder="1" applyAlignment="1">
      <alignment horizontal="center" vertical="center" wrapText="1"/>
    </xf>
    <xf numFmtId="0" fontId="25" fillId="0" borderId="0" xfId="61" applyFont="1" applyBorder="1" applyAlignment="1">
      <alignment horizontal="center" vertical="top" wrapText="1"/>
    </xf>
    <xf numFmtId="0" fontId="25" fillId="3" borderId="14" xfId="58" applyFont="1" applyFill="1" applyBorder="1" applyAlignment="1">
      <alignment horizontal="center"/>
    </xf>
    <xf numFmtId="0" fontId="25" fillId="37" borderId="0" xfId="0" applyFont="1" applyFill="1" applyBorder="1"/>
    <xf numFmtId="169" fontId="25" fillId="37" borderId="0" xfId="35" applyNumberFormat="1" applyFont="1" applyFill="1" applyBorder="1" applyAlignment="1">
      <alignment horizontal="center" vertical="center"/>
    </xf>
    <xf numFmtId="169" fontId="25" fillId="37" borderId="18" xfId="35" applyNumberFormat="1" applyFont="1" applyFill="1" applyBorder="1" applyAlignment="1">
      <alignment horizontal="center" vertical="center"/>
    </xf>
    <xf numFmtId="0" fontId="25" fillId="35" borderId="0" xfId="0" applyFont="1" applyFill="1" applyBorder="1"/>
    <xf numFmtId="169" fontId="25" fillId="2" borderId="0" xfId="35" applyNumberFormat="1" applyFont="1" applyFill="1" applyBorder="1" applyAlignment="1">
      <alignment horizontal="center" vertical="center"/>
    </xf>
    <xf numFmtId="169" fontId="25" fillId="2" borderId="18" xfId="35" applyNumberFormat="1" applyFont="1" applyFill="1" applyBorder="1" applyAlignment="1">
      <alignment horizontal="center" vertical="center"/>
    </xf>
    <xf numFmtId="0" fontId="25" fillId="2" borderId="0" xfId="61" applyFont="1" applyFill="1" applyBorder="1"/>
    <xf numFmtId="0" fontId="25" fillId="0" borderId="0" xfId="61" applyFont="1" applyFill="1" applyBorder="1"/>
    <xf numFmtId="0" fontId="25" fillId="3" borderId="14" xfId="39" applyFont="1" applyFill="1" applyBorder="1"/>
    <xf numFmtId="0" fontId="25" fillId="0" borderId="14" xfId="39" applyFont="1" applyFill="1" applyBorder="1"/>
    <xf numFmtId="0" fontId="25" fillId="0" borderId="0" xfId="39" applyFont="1" applyFill="1" applyBorder="1"/>
    <xf numFmtId="0" fontId="25" fillId="0" borderId="0" xfId="0" applyFont="1" applyFill="1" applyBorder="1"/>
    <xf numFmtId="169" fontId="25" fillId="0" borderId="0" xfId="35" applyNumberFormat="1" applyFont="1" applyFill="1" applyBorder="1" applyAlignment="1">
      <alignment horizontal="center" vertical="center"/>
    </xf>
    <xf numFmtId="169" fontId="25" fillId="0" borderId="18" xfId="35" applyNumberFormat="1" applyFont="1" applyFill="1" applyBorder="1" applyAlignment="1">
      <alignment horizontal="center" vertical="center"/>
    </xf>
    <xf numFmtId="0" fontId="25" fillId="0" borderId="13" xfId="39" applyFont="1" applyFill="1" applyBorder="1"/>
    <xf numFmtId="0" fontId="25" fillId="2" borderId="0" xfId="35" applyNumberFormat="1" applyFont="1" applyFill="1" applyBorder="1" applyAlignment="1">
      <alignment horizontal="center" vertical="center"/>
    </xf>
    <xf numFmtId="0" fontId="25" fillId="0" borderId="12" xfId="61" applyFont="1" applyFill="1" applyBorder="1"/>
    <xf numFmtId="0" fontId="25" fillId="0" borderId="1" xfId="0" applyFont="1" applyFill="1" applyBorder="1"/>
    <xf numFmtId="169" fontId="25" fillId="0" borderId="1" xfId="35" applyNumberFormat="1" applyFont="1" applyFill="1" applyBorder="1" applyAlignment="1">
      <alignment horizontal="center" vertical="center"/>
    </xf>
    <xf numFmtId="169" fontId="25" fillId="0" borderId="19" xfId="35" applyNumberFormat="1" applyFont="1" applyFill="1" applyBorder="1" applyAlignment="1">
      <alignment horizontal="center" vertical="center"/>
    </xf>
    <xf numFmtId="171" fontId="25" fillId="0" borderId="0" xfId="36" applyNumberFormat="1" applyFont="1" applyFill="1" applyBorder="1"/>
    <xf numFmtId="171" fontId="25" fillId="0" borderId="18" xfId="36" applyNumberFormat="1" applyFont="1" applyFill="1" applyBorder="1"/>
    <xf numFmtId="0" fontId="25" fillId="3" borderId="0" xfId="39" applyFont="1" applyFill="1"/>
    <xf numFmtId="0" fontId="25" fillId="0" borderId="14" xfId="61" applyFont="1" applyBorder="1"/>
    <xf numFmtId="0" fontId="25" fillId="3" borderId="0" xfId="39" applyFont="1" applyFill="1" applyBorder="1"/>
    <xf numFmtId="0" fontId="25" fillId="3" borderId="0" xfId="39" applyFont="1" applyFill="1" applyBorder="1" applyAlignment="1">
      <alignment horizontal="left" wrapText="1"/>
    </xf>
    <xf numFmtId="4" fontId="25" fillId="0" borderId="18" xfId="61" applyNumberFormat="1" applyFont="1" applyBorder="1"/>
    <xf numFmtId="172" fontId="25" fillId="0" borderId="0" xfId="0" applyNumberFormat="1" applyFont="1" applyFill="1" applyBorder="1" applyAlignment="1">
      <alignment wrapText="1"/>
    </xf>
    <xf numFmtId="0" fontId="29" fillId="0" borderId="18" xfId="0" applyFont="1" applyBorder="1"/>
    <xf numFmtId="0" fontId="25" fillId="3" borderId="0" xfId="58" applyFont="1" applyFill="1" applyBorder="1"/>
    <xf numFmtId="0" fontId="25" fillId="0" borderId="13" xfId="61" applyFont="1" applyBorder="1"/>
    <xf numFmtId="1" fontId="25" fillId="0" borderId="2" xfId="61" applyNumberFormat="1" applyFont="1" applyBorder="1"/>
    <xf numFmtId="4" fontId="25" fillId="0" borderId="2" xfId="61" applyNumberFormat="1" applyFont="1" applyBorder="1"/>
    <xf numFmtId="4" fontId="25" fillId="0" borderId="20" xfId="61" applyNumberFormat="1" applyFont="1" applyBorder="1"/>
    <xf numFmtId="1" fontId="25" fillId="0" borderId="0" xfId="61" applyNumberFormat="1" applyFont="1" applyBorder="1"/>
    <xf numFmtId="0" fontId="25" fillId="0" borderId="0" xfId="0" applyFont="1" applyFill="1"/>
    <xf numFmtId="0" fontId="25" fillId="2" borderId="0" xfId="39" applyFont="1" applyFill="1" applyBorder="1"/>
    <xf numFmtId="0" fontId="27" fillId="2" borderId="0" xfId="39" applyFont="1" applyFill="1" applyBorder="1"/>
    <xf numFmtId="0" fontId="25" fillId="2" borderId="1" xfId="39" applyFont="1" applyFill="1" applyBorder="1"/>
    <xf numFmtId="0" fontId="25" fillId="2" borderId="18" xfId="39" applyFont="1" applyFill="1" applyBorder="1"/>
    <xf numFmtId="167" fontId="25" fillId="0" borderId="0" xfId="36" applyNumberFormat="1" applyFont="1" applyFill="1" applyBorder="1" applyAlignment="1">
      <alignment horizontal="center"/>
    </xf>
    <xf numFmtId="0" fontId="25" fillId="3" borderId="2" xfId="39" applyFont="1" applyFill="1" applyBorder="1"/>
    <xf numFmtId="0" fontId="25" fillId="35" borderId="0" xfId="39" applyFont="1" applyFill="1" applyBorder="1" applyAlignment="1">
      <alignment horizontal="left" vertical="center" wrapText="1"/>
    </xf>
    <xf numFmtId="0" fontId="25" fillId="35" borderId="18" xfId="39" applyFont="1" applyFill="1" applyBorder="1" applyAlignment="1">
      <alignment horizontal="left" vertical="center" wrapText="1"/>
    </xf>
    <xf numFmtId="0" fontId="25" fillId="35" borderId="2" xfId="39" applyFont="1" applyFill="1" applyBorder="1" applyAlignment="1">
      <alignment horizontal="left" vertical="center" wrapText="1"/>
    </xf>
    <xf numFmtId="0" fontId="25" fillId="35" borderId="20" xfId="39" applyFont="1" applyFill="1" applyBorder="1" applyAlignment="1">
      <alignment horizontal="left" vertical="center" wrapText="1"/>
    </xf>
    <xf numFmtId="0" fontId="25" fillId="36" borderId="14" xfId="58" applyFont="1" applyFill="1" applyBorder="1" applyAlignment="1">
      <alignment horizontal="center"/>
    </xf>
    <xf numFmtId="0" fontId="25" fillId="36" borderId="0" xfId="0" applyFont="1" applyFill="1" applyBorder="1"/>
    <xf numFmtId="169" fontId="25" fillId="36" borderId="0" xfId="35" applyNumberFormat="1" applyFont="1" applyFill="1" applyBorder="1" applyAlignment="1">
      <alignment horizontal="center" vertical="center"/>
    </xf>
    <xf numFmtId="169" fontId="25" fillId="36" borderId="18" xfId="35" applyNumberFormat="1" applyFont="1" applyFill="1" applyBorder="1" applyAlignment="1">
      <alignment horizontal="center" vertical="center"/>
    </xf>
    <xf numFmtId="167" fontId="25" fillId="2" borderId="0" xfId="35" applyNumberFormat="1" applyFont="1" applyFill="1" applyBorder="1" applyAlignment="1">
      <alignment horizontal="center"/>
    </xf>
    <xf numFmtId="0" fontId="25" fillId="2" borderId="14" xfId="39" applyFont="1" applyFill="1" applyBorder="1"/>
    <xf numFmtId="0" fontId="25" fillId="36" borderId="14" xfId="39" applyFont="1" applyFill="1" applyBorder="1"/>
    <xf numFmtId="0" fontId="25" fillId="2" borderId="20" xfId="39" applyFont="1" applyFill="1" applyBorder="1"/>
    <xf numFmtId="0" fontId="24" fillId="0" borderId="18" xfId="0" applyFont="1" applyFill="1" applyBorder="1"/>
    <xf numFmtId="0" fontId="25" fillId="2" borderId="2" xfId="39" applyFont="1" applyFill="1" applyBorder="1"/>
    <xf numFmtId="0" fontId="25" fillId="0" borderId="12" xfId="39" applyFont="1" applyFill="1" applyBorder="1"/>
    <xf numFmtId="0" fontId="25" fillId="2" borderId="19" xfId="39" applyFont="1" applyFill="1" applyBorder="1"/>
    <xf numFmtId="0" fontId="24" fillId="0" borderId="0" xfId="0" applyFont="1" applyFill="1" applyBorder="1" applyAlignment="1">
      <alignment horizontal="left"/>
    </xf>
    <xf numFmtId="0" fontId="32" fillId="35" borderId="15" xfId="32" quotePrefix="1" applyFont="1" applyFill="1" applyBorder="1" applyAlignment="1">
      <alignment vertical="top" wrapText="1"/>
    </xf>
    <xf numFmtId="0" fontId="25" fillId="0" borderId="0" xfId="46" applyFont="1" applyFill="1" applyBorder="1"/>
    <xf numFmtId="0" fontId="28" fillId="0" borderId="0" xfId="0" applyFont="1" applyFill="1" applyBorder="1" applyAlignment="1">
      <alignment horizontal="left" vertical="top" wrapText="1"/>
    </xf>
    <xf numFmtId="0" fontId="33" fillId="0" borderId="0" xfId="0" applyFont="1" applyFill="1" applyBorder="1" applyAlignment="1">
      <alignment horizontal="left" vertical="top" wrapText="1"/>
    </xf>
    <xf numFmtId="0" fontId="34" fillId="0" borderId="12" xfId="0" applyFont="1" applyFill="1" applyBorder="1" applyAlignment="1">
      <alignment wrapText="1"/>
    </xf>
    <xf numFmtId="0" fontId="34" fillId="0" borderId="1" xfId="0" applyFont="1" applyFill="1" applyBorder="1" applyAlignment="1">
      <alignment wrapText="1"/>
    </xf>
    <xf numFmtId="0" fontId="34" fillId="0" borderId="1" xfId="0" applyFont="1" applyFill="1" applyBorder="1"/>
    <xf numFmtId="0" fontId="34" fillId="0" borderId="0" xfId="0" applyFont="1" applyFill="1" applyBorder="1"/>
    <xf numFmtId="0" fontId="34" fillId="0" borderId="14" xfId="0" applyFont="1" applyFill="1" applyBorder="1" applyAlignment="1">
      <alignment wrapText="1"/>
    </xf>
    <xf numFmtId="0" fontId="34" fillId="0" borderId="0" xfId="0" applyFont="1" applyFill="1" applyBorder="1" applyAlignment="1">
      <alignment wrapText="1"/>
    </xf>
    <xf numFmtId="0" fontId="35" fillId="35" borderId="0" xfId="0" applyFont="1" applyFill="1" applyBorder="1"/>
    <xf numFmtId="0" fontId="35" fillId="35" borderId="0" xfId="0" applyFont="1" applyFill="1"/>
    <xf numFmtId="0" fontId="32" fillId="35" borderId="0" xfId="32" applyFont="1" applyFill="1" applyBorder="1" applyAlignment="1">
      <alignment horizontal="center"/>
    </xf>
    <xf numFmtId="0" fontId="35" fillId="0" borderId="0" xfId="0" applyFont="1" applyFill="1"/>
    <xf numFmtId="0" fontId="37" fillId="37" borderId="14" xfId="0" applyFont="1" applyFill="1" applyBorder="1" applyAlignment="1">
      <alignment vertical="center"/>
    </xf>
    <xf numFmtId="0" fontId="37" fillId="37" borderId="0" xfId="0" applyFont="1" applyFill="1" applyBorder="1" applyAlignment="1">
      <alignment horizontal="left" vertical="center" wrapText="1"/>
    </xf>
    <xf numFmtId="0" fontId="34" fillId="0" borderId="14" xfId="0" applyFont="1" applyFill="1" applyBorder="1"/>
    <xf numFmtId="0" fontId="37" fillId="0" borderId="0" xfId="0" applyFont="1" applyFill="1" applyBorder="1" applyAlignment="1">
      <alignment horizontal="left" vertical="top" wrapText="1"/>
    </xf>
    <xf numFmtId="0" fontId="34" fillId="0" borderId="18" xfId="0" applyFont="1" applyFill="1" applyBorder="1"/>
    <xf numFmtId="0" fontId="39" fillId="35" borderId="0" xfId="58" applyFont="1" applyFill="1" applyBorder="1"/>
    <xf numFmtId="0" fontId="35" fillId="36" borderId="18" xfId="58" applyFont="1" applyFill="1" applyBorder="1"/>
    <xf numFmtId="167" fontId="35" fillId="36" borderId="14" xfId="58" applyNumberFormat="1" applyFont="1" applyFill="1" applyBorder="1" applyAlignment="1">
      <alignment horizontal="center"/>
    </xf>
    <xf numFmtId="167" fontId="35" fillId="36" borderId="0" xfId="35" applyNumberFormat="1" applyFont="1" applyFill="1" applyBorder="1" applyAlignment="1">
      <alignment horizontal="center"/>
    </xf>
    <xf numFmtId="167" fontId="35" fillId="36" borderId="18" xfId="35" applyNumberFormat="1" applyFont="1" applyFill="1" applyBorder="1" applyAlignment="1">
      <alignment horizontal="center"/>
    </xf>
    <xf numFmtId="0" fontId="35" fillId="35" borderId="0" xfId="58" applyFont="1" applyFill="1" applyBorder="1"/>
    <xf numFmtId="0" fontId="35" fillId="2" borderId="14" xfId="58" applyFont="1" applyFill="1" applyBorder="1" applyAlignment="1">
      <alignment vertical="center" wrapText="1"/>
    </xf>
    <xf numFmtId="0" fontId="35" fillId="35" borderId="18" xfId="58" applyFont="1" applyFill="1" applyBorder="1"/>
    <xf numFmtId="167" fontId="35" fillId="35" borderId="14" xfId="58" applyNumberFormat="1" applyFont="1" applyFill="1" applyBorder="1" applyAlignment="1">
      <alignment horizontal="center"/>
    </xf>
    <xf numFmtId="167" fontId="35" fillId="2" borderId="0" xfId="35" applyNumberFormat="1" applyFont="1" applyFill="1" applyBorder="1" applyAlignment="1">
      <alignment horizontal="center"/>
    </xf>
    <xf numFmtId="167" fontId="35" fillId="35" borderId="0" xfId="58" applyNumberFormat="1" applyFont="1" applyFill="1" applyBorder="1" applyAlignment="1">
      <alignment horizontal="center"/>
    </xf>
    <xf numFmtId="167" fontId="35" fillId="35" borderId="18" xfId="58" applyNumberFormat="1" applyFont="1" applyFill="1" applyBorder="1" applyAlignment="1">
      <alignment horizontal="center"/>
    </xf>
    <xf numFmtId="167" fontId="35" fillId="0" borderId="0" xfId="35" applyNumberFormat="1" applyFont="1" applyFill="1" applyBorder="1" applyAlignment="1">
      <alignment horizontal="center" vertical="center" wrapText="1"/>
    </xf>
    <xf numFmtId="0" fontId="35" fillId="0" borderId="14" xfId="58" applyFont="1" applyFill="1" applyBorder="1"/>
    <xf numFmtId="0" fontId="35" fillId="0" borderId="0" xfId="58" applyFont="1" applyFill="1" applyBorder="1"/>
    <xf numFmtId="167" fontId="35" fillId="0" borderId="0" xfId="36" applyNumberFormat="1" applyFont="1" applyFill="1" applyBorder="1" applyAlignment="1">
      <alignment horizontal="center"/>
    </xf>
    <xf numFmtId="0" fontId="35" fillId="0" borderId="18" xfId="58" applyFont="1" applyFill="1" applyBorder="1"/>
    <xf numFmtId="0" fontId="35" fillId="0" borderId="0" xfId="58" applyFont="1" applyFill="1" applyBorder="1" applyAlignment="1">
      <alignment vertical="center" wrapText="1"/>
    </xf>
    <xf numFmtId="0" fontId="35" fillId="0" borderId="14" xfId="58" applyFont="1" applyFill="1" applyBorder="1" applyAlignment="1">
      <alignment vertical="top" wrapText="1"/>
    </xf>
    <xf numFmtId="0" fontId="35" fillId="0" borderId="0" xfId="58" applyFont="1" applyFill="1" applyBorder="1" applyAlignment="1">
      <alignment vertical="top" wrapText="1"/>
    </xf>
    <xf numFmtId="0" fontId="35" fillId="0" borderId="18" xfId="58" applyFont="1" applyFill="1" applyBorder="1" applyAlignment="1">
      <alignment vertical="top" wrapText="1"/>
    </xf>
    <xf numFmtId="0" fontId="35" fillId="0" borderId="14" xfId="58" applyFont="1" applyFill="1" applyBorder="1" applyAlignment="1">
      <alignment wrapText="1"/>
    </xf>
    <xf numFmtId="0" fontId="35" fillId="0" borderId="0" xfId="58" applyFont="1" applyFill="1" applyBorder="1" applyAlignment="1">
      <alignment wrapText="1"/>
    </xf>
    <xf numFmtId="0" fontId="35" fillId="0" borderId="18" xfId="58" applyFont="1" applyFill="1" applyBorder="1" applyAlignment="1">
      <alignment wrapText="1"/>
    </xf>
    <xf numFmtId="0" fontId="35" fillId="0" borderId="14" xfId="58" applyFont="1" applyFill="1" applyBorder="1" applyAlignment="1"/>
    <xf numFmtId="0" fontId="35" fillId="0" borderId="0" xfId="58" applyFont="1" applyFill="1" applyBorder="1" applyAlignment="1"/>
    <xf numFmtId="0" fontId="35" fillId="0" borderId="18" xfId="58" applyFont="1" applyFill="1" applyBorder="1" applyAlignment="1"/>
    <xf numFmtId="0" fontId="35" fillId="3" borderId="0" xfId="58" applyFont="1" applyFill="1" applyBorder="1" applyAlignment="1">
      <alignment vertical="center"/>
    </xf>
    <xf numFmtId="0" fontId="35" fillId="35" borderId="14" xfId="58" applyFont="1" applyFill="1" applyBorder="1"/>
    <xf numFmtId="0" fontId="39" fillId="0" borderId="0" xfId="0" applyFont="1" applyFill="1" applyBorder="1" applyAlignment="1"/>
    <xf numFmtId="0" fontId="34" fillId="0" borderId="13" xfId="0" applyFont="1" applyFill="1" applyBorder="1"/>
    <xf numFmtId="0" fontId="34" fillId="0" borderId="2" xfId="0" applyFont="1" applyFill="1" applyBorder="1"/>
    <xf numFmtId="0" fontId="34" fillId="0" borderId="20" xfId="0" applyFont="1" applyFill="1" applyBorder="1"/>
    <xf numFmtId="0" fontId="35" fillId="3" borderId="0" xfId="58" applyFont="1" applyFill="1"/>
    <xf numFmtId="0" fontId="36" fillId="0" borderId="0" xfId="0" applyFont="1" applyFill="1" applyBorder="1" applyAlignment="1">
      <alignment horizontal="center" vertical="center"/>
    </xf>
    <xf numFmtId="0" fontId="35" fillId="0" borderId="0" xfId="0" applyFont="1" applyFill="1" applyBorder="1"/>
    <xf numFmtId="167" fontId="35" fillId="36" borderId="0" xfId="58" applyNumberFormat="1" applyFont="1" applyFill="1" applyBorder="1" applyAlignment="1">
      <alignment horizontal="center"/>
    </xf>
    <xf numFmtId="0" fontId="35" fillId="0" borderId="12" xfId="58" applyFont="1" applyFill="1" applyBorder="1"/>
    <xf numFmtId="0" fontId="35" fillId="0" borderId="1" xfId="58" applyFont="1" applyFill="1" applyBorder="1"/>
    <xf numFmtId="167" fontId="35" fillId="0" borderId="1" xfId="36" applyNumberFormat="1" applyFont="1" applyFill="1" applyBorder="1" applyAlignment="1">
      <alignment horizontal="center"/>
    </xf>
    <xf numFmtId="0" fontId="35" fillId="0" borderId="19" xfId="58" applyFont="1" applyFill="1" applyBorder="1"/>
    <xf numFmtId="0" fontId="35" fillId="0" borderId="0" xfId="58" applyFont="1" applyFill="1" applyBorder="1" applyAlignment="1">
      <alignment horizontal="left" vertical="center" wrapText="1"/>
    </xf>
    <xf numFmtId="0" fontId="37" fillId="0" borderId="0" xfId="0" applyFont="1" applyFill="1" applyBorder="1" applyAlignment="1">
      <alignment vertical="center" wrapText="1"/>
    </xf>
    <xf numFmtId="167" fontId="35" fillId="36" borderId="14" xfId="35" applyNumberFormat="1" applyFont="1" applyFill="1" applyBorder="1" applyAlignment="1">
      <alignment horizontal="center"/>
    </xf>
    <xf numFmtId="167" fontId="35" fillId="0" borderId="14" xfId="35" applyNumberFormat="1" applyFont="1" applyFill="1" applyBorder="1" applyAlignment="1">
      <alignment horizontal="center" vertical="center" wrapText="1"/>
    </xf>
    <xf numFmtId="0" fontId="35" fillId="3" borderId="0" xfId="58" applyFont="1" applyFill="1" applyBorder="1"/>
    <xf numFmtId="2" fontId="35" fillId="2" borderId="0" xfId="36" applyNumberFormat="1" applyFont="1" applyFill="1" applyBorder="1" applyAlignment="1">
      <alignment horizontal="center"/>
    </xf>
    <xf numFmtId="0" fontId="35" fillId="3" borderId="0" xfId="58" applyFont="1" applyFill="1" applyBorder="1" applyAlignment="1">
      <alignment horizontal="justify" vertical="center" wrapText="1"/>
    </xf>
    <xf numFmtId="3" fontId="41" fillId="0" borderId="0" xfId="0" applyNumberFormat="1" applyFont="1" applyFill="1" applyBorder="1" applyAlignment="1">
      <alignment horizontal="right" vertical="center" wrapText="1"/>
    </xf>
    <xf numFmtId="0" fontId="39" fillId="0" borderId="0" xfId="0" applyFont="1" applyFill="1" applyBorder="1" applyAlignment="1">
      <alignment horizontal="left"/>
    </xf>
    <xf numFmtId="0" fontId="34" fillId="35" borderId="0" xfId="0" applyFont="1" applyFill="1" applyBorder="1"/>
    <xf numFmtId="0" fontId="32" fillId="35" borderId="0" xfId="32" applyFont="1" applyFill="1" applyAlignment="1">
      <alignment horizontal="center"/>
    </xf>
    <xf numFmtId="0" fontId="35" fillId="36" borderId="14" xfId="58" applyFont="1" applyFill="1" applyBorder="1" applyAlignment="1">
      <alignment vertical="center" wrapText="1"/>
    </xf>
    <xf numFmtId="0" fontId="35" fillId="36" borderId="0" xfId="0" applyFont="1" applyFill="1" applyBorder="1"/>
    <xf numFmtId="167" fontId="42" fillId="36" borderId="14" xfId="0" applyNumberFormat="1" applyFont="1" applyFill="1" applyBorder="1" applyAlignment="1">
      <alignment horizontal="center"/>
    </xf>
    <xf numFmtId="167" fontId="42" fillId="36" borderId="0" xfId="0" applyNumberFormat="1" applyFont="1" applyFill="1" applyBorder="1" applyAlignment="1">
      <alignment horizontal="center"/>
    </xf>
    <xf numFmtId="167" fontId="42" fillId="36" borderId="18" xfId="0" applyNumberFormat="1" applyFont="1" applyFill="1" applyBorder="1" applyAlignment="1">
      <alignment horizontal="center"/>
    </xf>
    <xf numFmtId="0" fontId="35" fillId="3" borderId="14" xfId="58" applyFont="1" applyFill="1" applyBorder="1" applyAlignment="1">
      <alignment vertical="center" wrapText="1"/>
    </xf>
    <xf numFmtId="167" fontId="42" fillId="0" borderId="14" xfId="0" applyNumberFormat="1" applyFont="1" applyBorder="1" applyAlignment="1">
      <alignment horizontal="center"/>
    </xf>
    <xf numFmtId="167" fontId="42" fillId="0" borderId="0" xfId="0" applyNumberFormat="1" applyFont="1" applyBorder="1" applyAlignment="1">
      <alignment horizontal="center"/>
    </xf>
    <xf numFmtId="167" fontId="42" fillId="0" borderId="18" xfId="0" applyNumberFormat="1" applyFont="1" applyBorder="1" applyAlignment="1">
      <alignment horizontal="center"/>
    </xf>
    <xf numFmtId="0" fontId="35" fillId="36" borderId="0" xfId="58" applyFont="1" applyFill="1" applyBorder="1"/>
    <xf numFmtId="167" fontId="35" fillId="0" borderId="18" xfId="36" applyNumberFormat="1" applyFont="1" applyFill="1" applyBorder="1" applyAlignment="1">
      <alignment horizontal="center"/>
    </xf>
    <xf numFmtId="0" fontId="35" fillId="3" borderId="18" xfId="58" applyFont="1" applyFill="1" applyBorder="1"/>
    <xf numFmtId="0" fontId="39" fillId="0" borderId="18" xfId="0" applyFont="1" applyFill="1" applyBorder="1" applyAlignment="1"/>
    <xf numFmtId="0" fontId="34" fillId="35" borderId="12" xfId="0" applyFont="1" applyFill="1" applyBorder="1" applyAlignment="1">
      <alignment wrapText="1"/>
    </xf>
    <xf numFmtId="0" fontId="34" fillId="35" borderId="1" xfId="0" applyFont="1" applyFill="1" applyBorder="1" applyAlignment="1">
      <alignment wrapText="1"/>
    </xf>
    <xf numFmtId="0" fontId="34" fillId="35" borderId="14" xfId="0" applyFont="1" applyFill="1" applyBorder="1" applyAlignment="1">
      <alignment wrapText="1"/>
    </xf>
    <xf numFmtId="0" fontId="34" fillId="35" borderId="0" xfId="0" applyFont="1" applyFill="1" applyBorder="1" applyAlignment="1">
      <alignment wrapText="1"/>
    </xf>
    <xf numFmtId="0" fontId="37" fillId="37" borderId="0" xfId="0" applyFont="1" applyFill="1" applyBorder="1" applyAlignment="1">
      <alignment vertical="center" wrapText="1"/>
    </xf>
    <xf numFmtId="0" fontId="37" fillId="37" borderId="14" xfId="0" applyFont="1" applyFill="1" applyBorder="1" applyAlignment="1">
      <alignment vertical="center" wrapText="1"/>
    </xf>
    <xf numFmtId="169" fontId="35" fillId="0" borderId="14" xfId="58" applyNumberFormat="1" applyFont="1" applyFill="1" applyBorder="1" applyAlignment="1">
      <alignment horizontal="center"/>
    </xf>
    <xf numFmtId="169" fontId="35" fillId="0" borderId="0" xfId="58" applyNumberFormat="1" applyFont="1" applyFill="1" applyBorder="1" applyAlignment="1">
      <alignment horizontal="center"/>
    </xf>
    <xf numFmtId="169" fontId="35" fillId="0" borderId="0" xfId="35" applyNumberFormat="1" applyFont="1" applyFill="1" applyBorder="1" applyAlignment="1">
      <alignment horizontal="center"/>
    </xf>
    <xf numFmtId="169" fontId="35" fillId="0" borderId="18" xfId="35" applyNumberFormat="1" applyFont="1" applyFill="1" applyBorder="1" applyAlignment="1">
      <alignment horizontal="center"/>
    </xf>
    <xf numFmtId="169" fontId="35" fillId="36" borderId="14" xfId="0" applyNumberFormat="1" applyFont="1" applyFill="1" applyBorder="1" applyAlignment="1">
      <alignment horizontal="center"/>
    </xf>
    <xf numFmtId="169" fontId="35" fillId="36" borderId="0" xfId="0" applyNumberFormat="1" applyFont="1" applyFill="1" applyBorder="1" applyAlignment="1">
      <alignment horizontal="center"/>
    </xf>
    <xf numFmtId="169" fontId="35" fillId="36" borderId="18" xfId="0" applyNumberFormat="1" applyFont="1" applyFill="1" applyBorder="1" applyAlignment="1">
      <alignment horizontal="center"/>
    </xf>
    <xf numFmtId="0" fontId="35" fillId="0" borderId="14" xfId="58" applyFont="1" applyFill="1" applyBorder="1" applyAlignment="1">
      <alignment vertical="center" wrapText="1"/>
    </xf>
    <xf numFmtId="169" fontId="35" fillId="35" borderId="14" xfId="58" applyNumberFormat="1" applyFont="1" applyFill="1" applyBorder="1" applyAlignment="1">
      <alignment horizontal="center"/>
    </xf>
    <xf numFmtId="169" fontId="35" fillId="35" borderId="0" xfId="58" applyNumberFormat="1" applyFont="1" applyFill="1" applyBorder="1" applyAlignment="1">
      <alignment horizontal="center"/>
    </xf>
    <xf numFmtId="169" fontId="35" fillId="2" borderId="0" xfId="35" applyNumberFormat="1" applyFont="1" applyFill="1" applyBorder="1" applyAlignment="1">
      <alignment horizontal="center"/>
    </xf>
    <xf numFmtId="169" fontId="35" fillId="35" borderId="18" xfId="58" applyNumberFormat="1" applyFont="1" applyFill="1" applyBorder="1" applyAlignment="1">
      <alignment horizontal="center"/>
    </xf>
    <xf numFmtId="0" fontId="35" fillId="35" borderId="0" xfId="58" applyFont="1" applyFill="1" applyBorder="1" applyAlignment="1">
      <alignment horizontal="left"/>
    </xf>
    <xf numFmtId="0" fontId="35" fillId="35" borderId="14" xfId="58" applyFont="1" applyFill="1" applyBorder="1" applyAlignment="1">
      <alignment horizontal="left" vertical="top" wrapText="1"/>
    </xf>
    <xf numFmtId="0" fontId="35" fillId="35" borderId="0" xfId="58" applyFont="1" applyFill="1" applyBorder="1" applyAlignment="1">
      <alignment horizontal="left" vertical="top" wrapText="1"/>
    </xf>
    <xf numFmtId="0" fontId="35" fillId="35" borderId="14" xfId="58" applyFont="1" applyFill="1" applyBorder="1" applyAlignment="1">
      <alignment horizontal="left" wrapText="1"/>
    </xf>
    <xf numFmtId="0" fontId="35" fillId="35" borderId="0" xfId="58" applyFont="1" applyFill="1" applyBorder="1" applyAlignment="1">
      <alignment horizontal="left" wrapText="1"/>
    </xf>
    <xf numFmtId="0" fontId="35" fillId="35" borderId="13" xfId="58" applyFont="1" applyFill="1" applyBorder="1" applyAlignment="1">
      <alignment horizontal="left"/>
    </xf>
    <xf numFmtId="0" fontId="39" fillId="35" borderId="2" xfId="0" applyFont="1" applyFill="1" applyBorder="1" applyAlignment="1">
      <alignment horizontal="left"/>
    </xf>
    <xf numFmtId="169" fontId="35" fillId="37" borderId="14" xfId="58" applyNumberFormat="1" applyFont="1" applyFill="1" applyBorder="1" applyAlignment="1">
      <alignment horizontal="center"/>
    </xf>
    <xf numFmtId="169" fontId="35" fillId="37" borderId="0" xfId="58" applyNumberFormat="1" applyFont="1" applyFill="1" applyBorder="1" applyAlignment="1">
      <alignment horizontal="center"/>
    </xf>
    <xf numFmtId="169" fontId="35" fillId="37" borderId="0" xfId="35" applyNumberFormat="1" applyFont="1" applyFill="1" applyBorder="1" applyAlignment="1">
      <alignment horizontal="center"/>
    </xf>
    <xf numFmtId="169" fontId="35" fillId="37" borderId="18" xfId="35" applyNumberFormat="1" applyFont="1" applyFill="1" applyBorder="1" applyAlignment="1">
      <alignment horizontal="center"/>
    </xf>
    <xf numFmtId="0" fontId="37" fillId="37" borderId="14" xfId="0" applyFont="1" applyFill="1" applyBorder="1" applyAlignment="1">
      <alignment horizontal="left" vertical="center" wrapText="1"/>
    </xf>
    <xf numFmtId="0" fontId="35" fillId="35" borderId="18" xfId="58" applyFont="1" applyFill="1" applyBorder="1" applyAlignment="1">
      <alignment vertical="center"/>
    </xf>
    <xf numFmtId="167" fontId="35" fillId="36" borderId="18" xfId="58" applyNumberFormat="1" applyFont="1" applyFill="1" applyBorder="1" applyAlignment="1">
      <alignment horizontal="center"/>
    </xf>
    <xf numFmtId="167" fontId="35" fillId="0" borderId="14" xfId="58" applyNumberFormat="1" applyFont="1" applyFill="1" applyBorder="1" applyAlignment="1">
      <alignment horizontal="center"/>
    </xf>
    <xf numFmtId="167" fontId="35" fillId="0" borderId="0" xfId="58" applyNumberFormat="1" applyFont="1" applyFill="1" applyBorder="1" applyAlignment="1">
      <alignment horizontal="center"/>
    </xf>
    <xf numFmtId="167" fontId="35" fillId="0" borderId="18" xfId="58" applyNumberFormat="1" applyFont="1" applyFill="1" applyBorder="1" applyAlignment="1">
      <alignment horizontal="center"/>
    </xf>
    <xf numFmtId="0" fontId="43" fillId="2" borderId="0" xfId="0" applyFont="1" applyFill="1" applyBorder="1" applyAlignment="1">
      <alignment horizontal="left"/>
    </xf>
    <xf numFmtId="0" fontId="43" fillId="2" borderId="2" xfId="0" applyFont="1" applyFill="1" applyBorder="1" applyAlignment="1">
      <alignment horizontal="left"/>
    </xf>
    <xf numFmtId="0" fontId="36" fillId="0" borderId="0" xfId="0" applyFont="1" applyFill="1" applyBorder="1" applyAlignment="1">
      <alignment vertical="center"/>
    </xf>
    <xf numFmtId="167" fontId="35" fillId="0" borderId="0" xfId="35" applyNumberFormat="1" applyFont="1" applyFill="1" applyBorder="1" applyAlignment="1">
      <alignment horizontal="center"/>
    </xf>
    <xf numFmtId="167" fontId="35" fillId="0" borderId="18" xfId="35" applyNumberFormat="1" applyFont="1" applyFill="1" applyBorder="1" applyAlignment="1">
      <alignment horizontal="center"/>
    </xf>
    <xf numFmtId="3" fontId="41" fillId="0" borderId="18" xfId="0" applyNumberFormat="1" applyFont="1" applyFill="1" applyBorder="1" applyAlignment="1">
      <alignment horizontal="right" vertical="center" wrapText="1"/>
    </xf>
    <xf numFmtId="0" fontId="39" fillId="0" borderId="0" xfId="58" applyFont="1" applyFill="1" applyBorder="1"/>
    <xf numFmtId="0" fontId="35" fillId="35" borderId="18" xfId="58" applyFont="1" applyFill="1" applyBorder="1" applyAlignment="1">
      <alignment vertical="top" wrapText="1"/>
    </xf>
    <xf numFmtId="0" fontId="35" fillId="35" borderId="0" xfId="58" applyFont="1" applyFill="1" applyBorder="1" applyAlignment="1">
      <alignment vertical="top" wrapText="1"/>
    </xf>
    <xf numFmtId="0" fontId="34" fillId="35" borderId="20" xfId="0" applyFont="1" applyFill="1" applyBorder="1"/>
    <xf numFmtId="169" fontId="35" fillId="36" borderId="12" xfId="35" applyNumberFormat="1" applyFont="1" applyFill="1" applyBorder="1" applyAlignment="1">
      <alignment horizontal="center" vertical="center"/>
    </xf>
    <xf numFmtId="169" fontId="35" fillId="36" borderId="1" xfId="35" applyNumberFormat="1" applyFont="1" applyFill="1" applyBorder="1" applyAlignment="1">
      <alignment horizontal="center" vertical="center"/>
    </xf>
    <xf numFmtId="169" fontId="35" fillId="2" borderId="14" xfId="35" applyNumberFormat="1" applyFont="1" applyFill="1" applyBorder="1" applyAlignment="1">
      <alignment horizontal="center" vertical="center"/>
    </xf>
    <xf numFmtId="169" fontId="35" fillId="2" borderId="0" xfId="35" applyNumberFormat="1" applyFont="1" applyFill="1" applyBorder="1" applyAlignment="1">
      <alignment horizontal="center" vertical="center"/>
    </xf>
    <xf numFmtId="169" fontId="35" fillId="36" borderId="14" xfId="35" applyNumberFormat="1" applyFont="1" applyFill="1" applyBorder="1" applyAlignment="1">
      <alignment horizontal="center" vertical="center"/>
    </xf>
    <xf numFmtId="169" fontId="35" fillId="36" borderId="0" xfId="35" applyNumberFormat="1" applyFont="1" applyFill="1" applyBorder="1" applyAlignment="1">
      <alignment horizontal="center" vertical="center"/>
    </xf>
    <xf numFmtId="169" fontId="35" fillId="0" borderId="14" xfId="35" applyNumberFormat="1" applyFont="1" applyFill="1" applyBorder="1" applyAlignment="1">
      <alignment horizontal="center" vertical="center"/>
    </xf>
    <xf numFmtId="169" fontId="35" fillId="0" borderId="0" xfId="35" applyNumberFormat="1" applyFont="1" applyFill="1" applyBorder="1" applyAlignment="1">
      <alignment horizontal="center" vertical="center"/>
    </xf>
    <xf numFmtId="0" fontId="39" fillId="38" borderId="2" xfId="58" applyFont="1" applyFill="1" applyBorder="1" applyAlignment="1">
      <alignment horizontal="center" vertical="center" wrapText="1"/>
    </xf>
    <xf numFmtId="0" fontId="39" fillId="38" borderId="20" xfId="58" applyFont="1" applyFill="1" applyBorder="1" applyAlignment="1">
      <alignment horizontal="center" vertical="center" wrapText="1"/>
    </xf>
    <xf numFmtId="0" fontId="36" fillId="37" borderId="14" xfId="0" applyFont="1" applyFill="1" applyBorder="1" applyAlignment="1">
      <alignment horizontal="center" vertical="center"/>
    </xf>
    <xf numFmtId="0" fontId="36" fillId="37" borderId="0" xfId="0" applyFont="1" applyFill="1" applyBorder="1" applyAlignment="1">
      <alignment horizontal="center" vertical="center"/>
    </xf>
    <xf numFmtId="0" fontId="35" fillId="37" borderId="0" xfId="0" applyFont="1" applyFill="1" applyBorder="1"/>
    <xf numFmtId="0" fontId="34" fillId="37" borderId="14" xfId="0" applyFont="1" applyFill="1" applyBorder="1"/>
    <xf numFmtId="0" fontId="37" fillId="37" borderId="0" xfId="0" applyFont="1" applyFill="1" applyBorder="1" applyAlignment="1">
      <alignment vertical="top"/>
    </xf>
    <xf numFmtId="0" fontId="38" fillId="37" borderId="0" xfId="0" applyFont="1" applyFill="1" applyBorder="1"/>
    <xf numFmtId="0" fontId="37" fillId="37" borderId="0" xfId="0" applyFont="1" applyFill="1" applyBorder="1" applyAlignment="1">
      <alignment horizontal="left" vertical="top" wrapText="1"/>
    </xf>
    <xf numFmtId="0" fontId="34" fillId="37" borderId="0" xfId="0" applyFont="1" applyFill="1" applyBorder="1"/>
    <xf numFmtId="0" fontId="37" fillId="37" borderId="0" xfId="0" applyFont="1" applyFill="1" applyBorder="1" applyAlignment="1">
      <alignment vertical="center"/>
    </xf>
    <xf numFmtId="0" fontId="32" fillId="0" borderId="0" xfId="32" applyFont="1" applyFill="1" applyBorder="1" applyAlignment="1">
      <alignment horizontal="center"/>
    </xf>
    <xf numFmtId="0" fontId="37" fillId="0" borderId="0" xfId="0" applyFont="1" applyFill="1" applyBorder="1" applyAlignment="1">
      <alignment vertical="center"/>
    </xf>
    <xf numFmtId="0" fontId="37" fillId="0" borderId="0" xfId="0" applyFont="1" applyFill="1" applyBorder="1" applyAlignment="1">
      <alignment horizontal="left" vertical="center" wrapText="1"/>
    </xf>
    <xf numFmtId="0" fontId="37" fillId="0" borderId="2" xfId="0" applyFont="1" applyFill="1" applyBorder="1" applyAlignment="1">
      <alignment horizontal="left" vertical="top" wrapText="1"/>
    </xf>
    <xf numFmtId="0" fontId="35" fillId="0" borderId="0" xfId="0" applyFont="1" applyFill="1" applyBorder="1" applyAlignment="1"/>
    <xf numFmtId="0" fontId="37" fillId="37" borderId="0" xfId="0" applyFont="1" applyFill="1" applyBorder="1" applyAlignment="1">
      <alignment horizontal="left" vertical="center"/>
    </xf>
    <xf numFmtId="0" fontId="37" fillId="0" borderId="0" xfId="0" applyFont="1" applyFill="1" applyBorder="1" applyAlignment="1">
      <alignment horizontal="left" vertical="center"/>
    </xf>
    <xf numFmtId="0" fontId="37" fillId="37" borderId="14" xfId="0" applyFont="1" applyFill="1" applyBorder="1" applyAlignment="1">
      <alignment horizontal="left" vertical="center"/>
    </xf>
    <xf numFmtId="0" fontId="36" fillId="37" borderId="14" xfId="0" applyFont="1" applyFill="1" applyBorder="1" applyAlignment="1">
      <alignment horizontal="left" vertical="center"/>
    </xf>
    <xf numFmtId="0" fontId="36" fillId="37" borderId="0" xfId="0" applyFont="1" applyFill="1" applyBorder="1" applyAlignment="1">
      <alignment horizontal="left" vertical="center"/>
    </xf>
    <xf numFmtId="0" fontId="39" fillId="0" borderId="0" xfId="32" applyFont="1" applyFill="1" applyBorder="1" applyAlignment="1">
      <alignment horizontal="left"/>
    </xf>
    <xf numFmtId="0" fontId="35" fillId="37" borderId="14" xfId="0" applyFont="1" applyFill="1" applyBorder="1" applyAlignment="1">
      <alignment horizontal="left"/>
    </xf>
    <xf numFmtId="0" fontId="39" fillId="37" borderId="0" xfId="0" applyFont="1" applyFill="1" applyBorder="1" applyAlignment="1">
      <alignment horizontal="left"/>
    </xf>
    <xf numFmtId="0" fontId="39" fillId="37" borderId="14" xfId="32" applyFont="1" applyFill="1" applyBorder="1" applyAlignment="1">
      <alignment horizontal="left"/>
    </xf>
    <xf numFmtId="0" fontId="39" fillId="37" borderId="0" xfId="32" applyFont="1" applyFill="1" applyBorder="1" applyAlignment="1">
      <alignment horizontal="left"/>
    </xf>
    <xf numFmtId="0" fontId="37" fillId="37" borderId="2" xfId="0" applyFont="1" applyFill="1" applyBorder="1" applyAlignment="1">
      <alignment vertical="center" wrapText="1"/>
    </xf>
    <xf numFmtId="0" fontId="35" fillId="37" borderId="0" xfId="0" applyFont="1" applyFill="1" applyBorder="1" applyAlignment="1">
      <alignment horizontal="left"/>
    </xf>
    <xf numFmtId="0" fontId="37" fillId="0" borderId="2" xfId="0" applyFont="1" applyFill="1" applyBorder="1" applyAlignment="1">
      <alignment vertical="center" wrapText="1"/>
    </xf>
    <xf numFmtId="0" fontId="38" fillId="0" borderId="0" xfId="0" applyFont="1" applyFill="1" applyBorder="1"/>
    <xf numFmtId="0" fontId="44" fillId="38" borderId="2" xfId="0" applyFont="1" applyFill="1" applyBorder="1" applyAlignment="1">
      <alignment horizontal="center" vertical="center" wrapText="1"/>
    </xf>
    <xf numFmtId="0" fontId="44" fillId="38" borderId="20" xfId="0" applyFont="1" applyFill="1" applyBorder="1" applyAlignment="1">
      <alignment horizontal="center" vertical="center" wrapText="1"/>
    </xf>
    <xf numFmtId="0" fontId="34" fillId="37" borderId="2" xfId="0" applyFont="1" applyFill="1" applyBorder="1"/>
    <xf numFmtId="0" fontId="37" fillId="37" borderId="2" xfId="0" applyFont="1" applyFill="1" applyBorder="1" applyAlignment="1">
      <alignment vertical="top"/>
    </xf>
    <xf numFmtId="0" fontId="38" fillId="37" borderId="2" xfId="0" applyFont="1" applyFill="1" applyBorder="1"/>
    <xf numFmtId="0" fontId="25" fillId="37" borderId="0" xfId="61" applyFont="1" applyFill="1" applyBorder="1"/>
    <xf numFmtId="1" fontId="27" fillId="37" borderId="0" xfId="62" applyNumberFormat="1" applyFont="1" applyFill="1" applyBorder="1"/>
    <xf numFmtId="0" fontId="24" fillId="37" borderId="0" xfId="0" applyFont="1" applyFill="1" applyBorder="1"/>
    <xf numFmtId="1" fontId="25" fillId="37" borderId="0" xfId="61" applyNumberFormat="1" applyFont="1" applyFill="1" applyBorder="1"/>
    <xf numFmtId="0" fontId="26" fillId="0" borderId="0" xfId="0" applyFont="1" applyFill="1" applyBorder="1" applyAlignment="1">
      <alignment vertical="center"/>
    </xf>
    <xf numFmtId="0" fontId="26" fillId="37" borderId="0" xfId="0" applyFont="1" applyFill="1" applyBorder="1" applyAlignment="1">
      <alignment horizontal="center" vertical="center"/>
    </xf>
    <xf numFmtId="0" fontId="25" fillId="37" borderId="0" xfId="39" applyFont="1" applyFill="1" applyBorder="1"/>
    <xf numFmtId="0" fontId="28" fillId="37" borderId="0" xfId="0" applyFont="1" applyFill="1" applyBorder="1" applyAlignment="1">
      <alignment vertical="center"/>
    </xf>
    <xf numFmtId="1" fontId="27" fillId="0" borderId="0" xfId="61" applyNumberFormat="1" applyFont="1" applyFill="1" applyBorder="1" applyAlignment="1"/>
    <xf numFmtId="0" fontId="28" fillId="0" borderId="0" xfId="0" applyFont="1" applyFill="1" applyBorder="1" applyAlignment="1">
      <alignment vertical="center"/>
    </xf>
    <xf numFmtId="0" fontId="25" fillId="0" borderId="0" xfId="39" applyFont="1" applyFill="1" applyBorder="1" applyAlignment="1"/>
    <xf numFmtId="0" fontId="26" fillId="37" borderId="0" xfId="0" applyFont="1" applyFill="1" applyBorder="1" applyAlignment="1">
      <alignment vertical="center"/>
    </xf>
    <xf numFmtId="0" fontId="25" fillId="37" borderId="0" xfId="39" applyFont="1" applyFill="1" applyBorder="1" applyAlignment="1"/>
    <xf numFmtId="0" fontId="45" fillId="2" borderId="0" xfId="39" applyFont="1" applyFill="1" applyBorder="1"/>
    <xf numFmtId="0" fontId="39" fillId="38" borderId="1" xfId="58" applyFont="1" applyFill="1" applyBorder="1" applyAlignment="1">
      <alignment horizontal="center" vertical="center" wrapText="1"/>
    </xf>
    <xf numFmtId="0" fontId="27" fillId="0" borderId="0" xfId="0" applyFont="1" applyFill="1" applyBorder="1" applyAlignment="1">
      <alignment horizontal="left"/>
    </xf>
    <xf numFmtId="0" fontId="35" fillId="35" borderId="18" xfId="58" applyFont="1" applyFill="1" applyBorder="1" applyAlignment="1">
      <alignment vertical="center" wrapText="1"/>
    </xf>
    <xf numFmtId="0" fontId="39" fillId="36" borderId="12" xfId="58" applyFont="1" applyFill="1" applyBorder="1" applyAlignment="1">
      <alignment horizontal="center" vertical="center"/>
    </xf>
    <xf numFmtId="0" fontId="39" fillId="36" borderId="1" xfId="58" applyFont="1" applyFill="1" applyBorder="1" applyAlignment="1">
      <alignment horizontal="center" vertical="center"/>
    </xf>
    <xf numFmtId="0" fontId="25" fillId="0" borderId="0" xfId="58" applyFont="1" applyFill="1" applyBorder="1"/>
    <xf numFmtId="0" fontId="27" fillId="0" borderId="0" xfId="0" applyFont="1" applyFill="1" applyBorder="1" applyAlignment="1"/>
    <xf numFmtId="0" fontId="35" fillId="36" borderId="12" xfId="58" applyFont="1" applyFill="1" applyBorder="1" applyAlignment="1">
      <alignment horizontal="left" vertical="center" wrapText="1"/>
    </xf>
    <xf numFmtId="0" fontId="35" fillId="36" borderId="19" xfId="58" applyFont="1" applyFill="1" applyBorder="1"/>
    <xf numFmtId="167" fontId="35" fillId="36" borderId="12" xfId="58" applyNumberFormat="1" applyFont="1" applyFill="1" applyBorder="1" applyAlignment="1">
      <alignment horizontal="center"/>
    </xf>
    <xf numFmtId="167" fontId="35" fillId="36" borderId="1" xfId="35" applyNumberFormat="1" applyFont="1" applyFill="1" applyBorder="1" applyAlignment="1">
      <alignment horizontal="center"/>
    </xf>
    <xf numFmtId="167" fontId="35" fillId="36" borderId="19" xfId="35" applyNumberFormat="1" applyFont="1" applyFill="1" applyBorder="1" applyAlignment="1">
      <alignment horizontal="center"/>
    </xf>
    <xf numFmtId="167" fontId="42" fillId="36" borderId="12" xfId="0" applyNumberFormat="1" applyFont="1" applyFill="1" applyBorder="1" applyAlignment="1">
      <alignment horizontal="center"/>
    </xf>
    <xf numFmtId="167" fontId="42" fillId="36" borderId="1" xfId="0" applyNumberFormat="1" applyFont="1" applyFill="1" applyBorder="1" applyAlignment="1">
      <alignment horizontal="center"/>
    </xf>
    <xf numFmtId="167" fontId="42" fillId="36" borderId="19" xfId="0" applyNumberFormat="1" applyFont="1" applyFill="1" applyBorder="1" applyAlignment="1">
      <alignment horizontal="center"/>
    </xf>
    <xf numFmtId="0" fontId="35" fillId="0" borderId="0" xfId="58" applyFont="1" applyFill="1" applyBorder="1" applyAlignment="1">
      <alignment horizontal="left" vertical="center" wrapText="1"/>
    </xf>
    <xf numFmtId="0" fontId="39" fillId="38" borderId="13" xfId="58" applyFont="1" applyFill="1" applyBorder="1" applyAlignment="1">
      <alignment horizontal="center" vertical="center" wrapText="1"/>
    </xf>
    <xf numFmtId="0" fontId="43" fillId="35" borderId="0" xfId="0" applyFont="1" applyFill="1" applyBorder="1" applyAlignment="1">
      <alignment horizontal="left"/>
    </xf>
    <xf numFmtId="0" fontId="34" fillId="35" borderId="18" xfId="0" applyFont="1" applyFill="1" applyBorder="1"/>
    <xf numFmtId="0" fontId="35" fillId="3" borderId="2" xfId="58" applyFont="1" applyFill="1" applyBorder="1"/>
    <xf numFmtId="0" fontId="35" fillId="35" borderId="2" xfId="58" applyFont="1" applyFill="1" applyBorder="1"/>
    <xf numFmtId="0" fontId="35" fillId="35" borderId="20" xfId="58" applyFont="1" applyFill="1" applyBorder="1"/>
    <xf numFmtId="0" fontId="35" fillId="0" borderId="0" xfId="58" applyFont="1" applyFill="1" applyBorder="1" applyAlignment="1">
      <alignment horizontal="left" vertical="center" wrapText="1"/>
    </xf>
    <xf numFmtId="167" fontId="35" fillId="36" borderId="1" xfId="58" applyNumberFormat="1" applyFont="1" applyFill="1" applyBorder="1" applyAlignment="1">
      <alignment horizontal="center"/>
    </xf>
    <xf numFmtId="0" fontId="39" fillId="36" borderId="1" xfId="58" applyFont="1" applyFill="1" applyBorder="1" applyAlignment="1">
      <alignment horizontal="center" vertical="center" wrapText="1"/>
    </xf>
    <xf numFmtId="0" fontId="39" fillId="36" borderId="19" xfId="58" applyFont="1" applyFill="1" applyBorder="1" applyAlignment="1">
      <alignment horizontal="center" vertical="center" wrapText="1"/>
    </xf>
    <xf numFmtId="169" fontId="35" fillId="36" borderId="1" xfId="58" applyNumberFormat="1" applyFont="1" applyFill="1" applyBorder="1" applyAlignment="1">
      <alignment horizontal="center"/>
    </xf>
    <xf numFmtId="169" fontId="35" fillId="36" borderId="1" xfId="35" applyNumberFormat="1" applyFont="1" applyFill="1" applyBorder="1" applyAlignment="1">
      <alignment horizontal="center"/>
    </xf>
    <xf numFmtId="169" fontId="35" fillId="36" borderId="19" xfId="35" applyNumberFormat="1" applyFont="1" applyFill="1" applyBorder="1" applyAlignment="1">
      <alignment horizontal="center"/>
    </xf>
    <xf numFmtId="0" fontId="35" fillId="35" borderId="14" xfId="58" applyFont="1" applyFill="1" applyBorder="1" applyAlignment="1">
      <alignment horizontal="left"/>
    </xf>
    <xf numFmtId="0" fontId="35" fillId="36" borderId="12" xfId="58" applyFont="1" applyFill="1" applyBorder="1" applyAlignment="1">
      <alignment vertical="center" wrapText="1"/>
    </xf>
    <xf numFmtId="0" fontId="35" fillId="36" borderId="19" xfId="0" applyFont="1" applyFill="1" applyBorder="1"/>
    <xf numFmtId="0" fontId="35" fillId="35" borderId="18" xfId="0" applyFont="1" applyFill="1" applyBorder="1"/>
    <xf numFmtId="0" fontId="35" fillId="36" borderId="18" xfId="0" applyFont="1" applyFill="1" applyBorder="1"/>
    <xf numFmtId="0" fontId="35" fillId="0" borderId="18" xfId="0" applyFont="1" applyFill="1" applyBorder="1"/>
    <xf numFmtId="0" fontId="39" fillId="38" borderId="14" xfId="58" applyFont="1" applyFill="1" applyBorder="1" applyAlignment="1">
      <alignment horizontal="center" vertical="center" wrapText="1"/>
    </xf>
    <xf numFmtId="0" fontId="39" fillId="38" borderId="0" xfId="58" applyFont="1" applyFill="1" applyBorder="1" applyAlignment="1">
      <alignment horizontal="center" vertical="center" wrapText="1"/>
    </xf>
    <xf numFmtId="0" fontId="39" fillId="38" borderId="18" xfId="58" applyFont="1" applyFill="1" applyBorder="1" applyAlignment="1">
      <alignment horizontal="center" vertical="center" wrapText="1"/>
    </xf>
    <xf numFmtId="167" fontId="35" fillId="36" borderId="19" xfId="58" applyNumberFormat="1" applyFont="1" applyFill="1" applyBorder="1" applyAlignment="1">
      <alignment horizontal="center"/>
    </xf>
    <xf numFmtId="0" fontId="25" fillId="36" borderId="12" xfId="58" applyFont="1" applyFill="1" applyBorder="1" applyAlignment="1">
      <alignment horizontal="center"/>
    </xf>
    <xf numFmtId="0" fontId="25" fillId="36" borderId="1" xfId="0" applyFont="1" applyFill="1" applyBorder="1"/>
    <xf numFmtId="169" fontId="25" fillId="36" borderId="1" xfId="35" applyNumberFormat="1" applyFont="1" applyFill="1" applyBorder="1" applyAlignment="1">
      <alignment horizontal="center" vertical="center"/>
    </xf>
    <xf numFmtId="169" fontId="25" fillId="36" borderId="19" xfId="35" applyNumberFormat="1" applyFont="1" applyFill="1" applyBorder="1" applyAlignment="1">
      <alignment horizontal="center" vertical="center"/>
    </xf>
    <xf numFmtId="0" fontId="35" fillId="0" borderId="0" xfId="58" applyFont="1" applyFill="1" applyBorder="1" applyAlignment="1">
      <alignment horizontal="left" vertical="center" wrapText="1"/>
    </xf>
    <xf numFmtId="0" fontId="39" fillId="38" borderId="1" xfId="58" applyFont="1" applyFill="1" applyBorder="1" applyAlignment="1">
      <alignment horizontal="center" vertical="center" wrapText="1"/>
    </xf>
    <xf numFmtId="0" fontId="39" fillId="38" borderId="12" xfId="58" applyFont="1" applyFill="1" applyBorder="1" applyAlignment="1">
      <alignment horizontal="center" vertical="center"/>
    </xf>
    <xf numFmtId="0" fontId="39" fillId="38" borderId="1" xfId="58" applyFont="1" applyFill="1" applyBorder="1" applyAlignment="1">
      <alignment horizontal="center" vertical="center"/>
    </xf>
    <xf numFmtId="0" fontId="39" fillId="38" borderId="19" xfId="58" applyFont="1" applyFill="1" applyBorder="1" applyAlignment="1">
      <alignment horizontal="center" vertical="center" wrapText="1"/>
    </xf>
    <xf numFmtId="0" fontId="32" fillId="35" borderId="1" xfId="32" quotePrefix="1" applyFont="1" applyFill="1" applyBorder="1" applyAlignment="1">
      <alignment horizontal="left" vertical="top" wrapText="1"/>
    </xf>
    <xf numFmtId="0" fontId="39" fillId="38" borderId="1" xfId="0" applyFont="1" applyFill="1" applyBorder="1" applyAlignment="1">
      <alignment horizontal="center" vertical="center" wrapText="1"/>
    </xf>
    <xf numFmtId="0" fontId="39" fillId="38" borderId="19" xfId="0" applyFont="1" applyFill="1" applyBorder="1" applyAlignment="1">
      <alignment horizontal="center" vertical="center" wrapText="1"/>
    </xf>
    <xf numFmtId="0" fontId="35" fillId="36" borderId="1" xfId="0" applyFont="1" applyFill="1" applyBorder="1"/>
    <xf numFmtId="167" fontId="35" fillId="36" borderId="12" xfId="35" applyNumberFormat="1" applyFont="1" applyFill="1" applyBorder="1" applyAlignment="1">
      <alignment horizontal="center"/>
    </xf>
    <xf numFmtId="169" fontId="35" fillId="36" borderId="12" xfId="58" applyNumberFormat="1" applyFont="1" applyFill="1" applyBorder="1" applyAlignment="1">
      <alignment horizontal="center"/>
    </xf>
    <xf numFmtId="0" fontId="35" fillId="0" borderId="12" xfId="58" applyFont="1" applyFill="1" applyBorder="1" applyAlignment="1">
      <alignment vertical="center" wrapText="1"/>
    </xf>
    <xf numFmtId="0" fontId="35" fillId="0" borderId="1" xfId="0" applyFont="1" applyFill="1" applyBorder="1"/>
    <xf numFmtId="169" fontId="35" fillId="0" borderId="12" xfId="58" applyNumberFormat="1" applyFont="1" applyFill="1" applyBorder="1" applyAlignment="1">
      <alignment horizontal="center"/>
    </xf>
    <xf numFmtId="169" fontId="35" fillId="0" borderId="1" xfId="58" applyNumberFormat="1" applyFont="1" applyFill="1" applyBorder="1" applyAlignment="1">
      <alignment horizontal="center"/>
    </xf>
    <xf numFmtId="169" fontId="35" fillId="0" borderId="1" xfId="35" applyNumberFormat="1" applyFont="1" applyFill="1" applyBorder="1" applyAlignment="1">
      <alignment horizontal="center"/>
    </xf>
    <xf numFmtId="169" fontId="35" fillId="0" borderId="19" xfId="58" applyNumberFormat="1" applyFont="1" applyFill="1" applyBorder="1" applyAlignment="1">
      <alignment horizontal="center"/>
    </xf>
    <xf numFmtId="0" fontId="35" fillId="0" borderId="0" xfId="58" applyFont="1" applyFill="1" applyBorder="1" applyAlignment="1">
      <alignment horizontal="left" vertical="center" wrapText="1"/>
    </xf>
    <xf numFmtId="0" fontId="39" fillId="38" borderId="1" xfId="58" applyFont="1" applyFill="1" applyBorder="1" applyAlignment="1">
      <alignment horizontal="center" vertical="center" wrapText="1"/>
    </xf>
    <xf numFmtId="0" fontId="39" fillId="38" borderId="19" xfId="58" applyFont="1" applyFill="1" applyBorder="1" applyAlignment="1">
      <alignment horizontal="center" vertical="center" wrapText="1"/>
    </xf>
    <xf numFmtId="0" fontId="39" fillId="38" borderId="12" xfId="58" applyFont="1" applyFill="1" applyBorder="1" applyAlignment="1">
      <alignment horizontal="center" vertical="center"/>
    </xf>
    <xf numFmtId="0" fontId="39" fillId="38" borderId="1" xfId="58" applyFont="1" applyFill="1" applyBorder="1" applyAlignment="1">
      <alignment horizontal="center" vertical="center"/>
    </xf>
    <xf numFmtId="0" fontId="37" fillId="37" borderId="14" xfId="0" quotePrefix="1" applyFont="1" applyFill="1" applyBorder="1" applyAlignment="1">
      <alignment vertical="center"/>
    </xf>
    <xf numFmtId="169" fontId="35" fillId="36" borderId="19" xfId="35" applyNumberFormat="1" applyFont="1" applyFill="1" applyBorder="1" applyAlignment="1">
      <alignment horizontal="center" vertical="center"/>
    </xf>
    <xf numFmtId="169" fontId="35" fillId="2" borderId="18" xfId="35" applyNumberFormat="1" applyFont="1" applyFill="1" applyBorder="1" applyAlignment="1">
      <alignment horizontal="center" vertical="center"/>
    </xf>
    <xf numFmtId="169" fontId="35" fillId="36" borderId="18" xfId="35" applyNumberFormat="1" applyFont="1" applyFill="1" applyBorder="1" applyAlignment="1">
      <alignment horizontal="center" vertical="center"/>
    </xf>
    <xf numFmtId="169" fontId="35" fillId="0" borderId="18" xfId="35" applyNumberFormat="1" applyFont="1" applyFill="1" applyBorder="1" applyAlignment="1">
      <alignment horizontal="center" vertical="center"/>
    </xf>
    <xf numFmtId="1" fontId="39" fillId="38" borderId="21" xfId="61" applyNumberFormat="1" applyFont="1" applyFill="1" applyBorder="1" applyAlignment="1">
      <alignment horizontal="center" vertical="center" wrapText="1"/>
    </xf>
    <xf numFmtId="1" fontId="39" fillId="38" borderId="17" xfId="61" applyNumberFormat="1" applyFont="1" applyFill="1" applyBorder="1" applyAlignment="1">
      <alignment horizontal="center" vertical="center" wrapText="1"/>
    </xf>
    <xf numFmtId="1" fontId="39" fillId="38" borderId="21" xfId="61" applyNumberFormat="1" applyFont="1" applyFill="1" applyBorder="1" applyAlignment="1">
      <alignment horizontal="center" vertical="center" wrapText="1"/>
    </xf>
    <xf numFmtId="1" fontId="39" fillId="38" borderId="17" xfId="61" applyNumberFormat="1" applyFont="1" applyFill="1" applyBorder="1" applyAlignment="1">
      <alignment horizontal="center" vertical="center" wrapText="1"/>
    </xf>
    <xf numFmtId="0" fontId="24" fillId="35" borderId="0" xfId="0" applyFont="1" applyFill="1" applyBorder="1"/>
    <xf numFmtId="167" fontId="35" fillId="36" borderId="12" xfId="35" applyNumberFormat="1" applyFont="1" applyFill="1" applyBorder="1" applyAlignment="1">
      <alignment horizontal="center" vertical="center"/>
    </xf>
    <xf numFmtId="167" fontId="35" fillId="36" borderId="1" xfId="35" applyNumberFormat="1" applyFont="1" applyFill="1" applyBorder="1" applyAlignment="1">
      <alignment horizontal="center" vertical="center"/>
    </xf>
    <xf numFmtId="167" fontId="35" fillId="36" borderId="19" xfId="35" applyNumberFormat="1" applyFont="1" applyFill="1" applyBorder="1" applyAlignment="1">
      <alignment horizontal="center" vertical="center"/>
    </xf>
    <xf numFmtId="167" fontId="35" fillId="36" borderId="12" xfId="39" applyNumberFormat="1" applyFont="1" applyFill="1" applyBorder="1"/>
    <xf numFmtId="167" fontId="35" fillId="36" borderId="1" xfId="39" applyNumberFormat="1" applyFont="1" applyFill="1" applyBorder="1"/>
    <xf numFmtId="167" fontId="35" fillId="36" borderId="19" xfId="39" applyNumberFormat="1" applyFont="1" applyFill="1" applyBorder="1"/>
    <xf numFmtId="167" fontId="35" fillId="2" borderId="14" xfId="35" applyNumberFormat="1" applyFont="1" applyFill="1" applyBorder="1" applyAlignment="1">
      <alignment horizontal="center" vertical="center"/>
    </xf>
    <xf numFmtId="167" fontId="35" fillId="2" borderId="0" xfId="35" applyNumberFormat="1" applyFont="1" applyFill="1" applyBorder="1" applyAlignment="1">
      <alignment horizontal="center" vertical="center"/>
    </xf>
    <xf numFmtId="167" fontId="35" fillId="2" borderId="18" xfId="35" applyNumberFormat="1" applyFont="1" applyFill="1" applyBorder="1" applyAlignment="1">
      <alignment horizontal="center" vertical="center"/>
    </xf>
    <xf numFmtId="167" fontId="35" fillId="0" borderId="14" xfId="39" applyNumberFormat="1" applyFont="1" applyFill="1" applyBorder="1"/>
    <xf numFmtId="167" fontId="35" fillId="0" borderId="0" xfId="39" applyNumberFormat="1" applyFont="1" applyFill="1" applyBorder="1"/>
    <xf numFmtId="167" fontId="35" fillId="0" borderId="18" xfId="39" applyNumberFormat="1" applyFont="1" applyFill="1" applyBorder="1"/>
    <xf numFmtId="167" fontId="35" fillId="36" borderId="14" xfId="35" applyNumberFormat="1" applyFont="1" applyFill="1" applyBorder="1" applyAlignment="1">
      <alignment horizontal="center" vertical="center"/>
    </xf>
    <xf numFmtId="167" fontId="35" fillId="36" borderId="0" xfId="35" applyNumberFormat="1" applyFont="1" applyFill="1" applyBorder="1" applyAlignment="1">
      <alignment horizontal="center" vertical="center"/>
    </xf>
    <xf numFmtId="167" fontId="35" fillId="36" borderId="18" xfId="35" applyNumberFormat="1" applyFont="1" applyFill="1" applyBorder="1" applyAlignment="1">
      <alignment horizontal="center" vertical="center"/>
    </xf>
    <xf numFmtId="167" fontId="35" fillId="36" borderId="14" xfId="39" applyNumberFormat="1" applyFont="1" applyFill="1" applyBorder="1"/>
    <xf numFmtId="167" fontId="35" fillId="36" borderId="0" xfId="39" applyNumberFormat="1" applyFont="1" applyFill="1" applyBorder="1"/>
    <xf numFmtId="167" fontId="35" fillId="36" borderId="18" xfId="39" applyNumberFormat="1" applyFont="1" applyFill="1" applyBorder="1"/>
    <xf numFmtId="167" fontId="35" fillId="0" borderId="14" xfId="35" applyNumberFormat="1" applyFont="1" applyFill="1" applyBorder="1" applyAlignment="1">
      <alignment horizontal="center" vertical="center"/>
    </xf>
    <xf numFmtId="167" fontId="35" fillId="0" borderId="0" xfId="35" applyNumberFormat="1" applyFont="1" applyFill="1" applyBorder="1" applyAlignment="1">
      <alignment horizontal="center" vertical="center"/>
    </xf>
    <xf numFmtId="167" fontId="35" fillId="0" borderId="18" xfId="35" applyNumberFormat="1" applyFont="1" applyFill="1" applyBorder="1" applyAlignment="1">
      <alignment horizontal="center" vertical="center"/>
    </xf>
    <xf numFmtId="0" fontId="25" fillId="36" borderId="14" xfId="0" applyFont="1" applyFill="1" applyBorder="1"/>
    <xf numFmtId="0" fontId="35" fillId="0" borderId="0" xfId="58" applyFont="1" applyFill="1" applyBorder="1" applyAlignment="1">
      <alignment horizontal="left" vertical="center" wrapText="1"/>
    </xf>
    <xf numFmtId="0" fontId="35" fillId="0" borderId="13" xfId="58" applyFont="1" applyFill="1" applyBorder="1" applyAlignment="1">
      <alignment horizontal="left" vertical="center" wrapText="1"/>
    </xf>
    <xf numFmtId="0" fontId="35" fillId="36" borderId="1" xfId="58" applyFont="1" applyFill="1" applyBorder="1"/>
    <xf numFmtId="0" fontId="46" fillId="0" borderId="1" xfId="0" applyFont="1" applyFill="1" applyBorder="1" applyAlignment="1">
      <alignment wrapText="1"/>
    </xf>
    <xf numFmtId="0" fontId="25" fillId="35" borderId="13" xfId="0" applyFont="1" applyFill="1" applyBorder="1"/>
    <xf numFmtId="0" fontId="35" fillId="36" borderId="14" xfId="58" applyFont="1" applyFill="1" applyBorder="1"/>
    <xf numFmtId="0" fontId="35" fillId="0" borderId="13" xfId="58" applyFont="1" applyFill="1" applyBorder="1" applyAlignment="1">
      <alignment vertical="center" wrapText="1"/>
    </xf>
    <xf numFmtId="0" fontId="35" fillId="36" borderId="14" xfId="58" applyFont="1" applyFill="1" applyBorder="1" applyAlignment="1">
      <alignment horizontal="left" vertical="center" wrapText="1"/>
    </xf>
    <xf numFmtId="0" fontId="25" fillId="0" borderId="13" xfId="0" applyFont="1" applyFill="1" applyBorder="1"/>
    <xf numFmtId="0" fontId="25" fillId="0" borderId="14" xfId="0" applyFont="1" applyFill="1" applyBorder="1"/>
    <xf numFmtId="0" fontId="46" fillId="0" borderId="12" xfId="0" applyFont="1" applyFill="1" applyBorder="1" applyAlignment="1">
      <alignment wrapText="1"/>
    </xf>
    <xf numFmtId="1" fontId="39" fillId="38" borderId="21" xfId="61" applyNumberFormat="1" applyFont="1" applyFill="1" applyBorder="1" applyAlignment="1">
      <alignment horizontal="center" vertical="center" wrapText="1"/>
    </xf>
    <xf numFmtId="0" fontId="35" fillId="0" borderId="14" xfId="58" applyFont="1" applyFill="1" applyBorder="1" applyAlignment="1">
      <alignment horizontal="left" vertical="center" wrapText="1"/>
    </xf>
    <xf numFmtId="0" fontId="35" fillId="3" borderId="0" xfId="58" applyFont="1" applyFill="1" applyBorder="1" applyAlignment="1">
      <alignment horizontal="left" vertical="center" wrapText="1"/>
    </xf>
    <xf numFmtId="0" fontId="35" fillId="0" borderId="0" xfId="58" applyFont="1" applyFill="1" applyBorder="1" applyAlignment="1">
      <alignment horizontal="left" vertical="center" wrapText="1"/>
    </xf>
    <xf numFmtId="167" fontId="35" fillId="3" borderId="0" xfId="58" applyNumberFormat="1" applyFont="1" applyFill="1"/>
    <xf numFmtId="167" fontId="35" fillId="0" borderId="14" xfId="58" applyNumberFormat="1" applyFont="1" applyBorder="1" applyAlignment="1">
      <alignment horizontal="center"/>
    </xf>
    <xf numFmtId="0" fontId="39" fillId="38" borderId="19" xfId="58" applyFont="1" applyFill="1" applyBorder="1" applyAlignment="1">
      <alignment horizontal="center" vertical="center" wrapText="1"/>
    </xf>
    <xf numFmtId="1" fontId="27" fillId="38" borderId="21" xfId="61" applyNumberFormat="1" applyFont="1" applyFill="1" applyBorder="1" applyAlignment="1">
      <alignment horizontal="center" vertical="center" wrapText="1"/>
    </xf>
    <xf numFmtId="0" fontId="35" fillId="35" borderId="13" xfId="58" applyFont="1" applyFill="1" applyBorder="1" applyAlignment="1">
      <alignment vertical="center" wrapText="1"/>
    </xf>
    <xf numFmtId="0" fontId="25" fillId="0" borderId="1" xfId="61" applyFont="1" applyFill="1" applyBorder="1"/>
    <xf numFmtId="0" fontId="25" fillId="0" borderId="1" xfId="61" applyFont="1" applyBorder="1"/>
    <xf numFmtId="0" fontId="25" fillId="0" borderId="19" xfId="61" applyFont="1" applyFill="1" applyBorder="1"/>
    <xf numFmtId="0" fontId="25" fillId="3" borderId="18" xfId="39" applyFont="1" applyFill="1" applyBorder="1"/>
    <xf numFmtId="0" fontId="25" fillId="0" borderId="18" xfId="61" applyFont="1" applyBorder="1"/>
    <xf numFmtId="0" fontId="25" fillId="3" borderId="18" xfId="58" applyFont="1" applyFill="1" applyBorder="1"/>
    <xf numFmtId="0" fontId="25" fillId="0" borderId="2" xfId="61" applyFont="1" applyBorder="1"/>
    <xf numFmtId="0" fontId="25" fillId="0" borderId="20" xfId="61" applyFont="1" applyBorder="1"/>
    <xf numFmtId="0" fontId="27" fillId="0" borderId="0" xfId="0" applyFont="1" applyFill="1" applyBorder="1" applyAlignment="1">
      <alignment vertical="center" wrapText="1"/>
    </xf>
    <xf numFmtId="4" fontId="25" fillId="0" borderId="0" xfId="61" applyNumberFormat="1" applyFont="1" applyFill="1" applyBorder="1"/>
    <xf numFmtId="0" fontId="28" fillId="0" borderId="0" xfId="0" applyFont="1" applyFill="1" applyBorder="1" applyAlignment="1">
      <alignment vertical="top"/>
    </xf>
    <xf numFmtId="1" fontId="25" fillId="0" borderId="0" xfId="61" applyNumberFormat="1" applyFont="1" applyFill="1" applyBorder="1"/>
    <xf numFmtId="1" fontId="39" fillId="38" borderId="25" xfId="61" applyNumberFormat="1" applyFont="1" applyFill="1" applyBorder="1" applyAlignment="1">
      <alignment horizontal="center" vertical="center" wrapText="1"/>
    </xf>
    <xf numFmtId="0" fontId="25" fillId="2" borderId="0" xfId="39" applyFont="1" applyFill="1" applyBorder="1" applyAlignment="1">
      <alignment horizontal="left" vertical="center" wrapText="1"/>
    </xf>
    <xf numFmtId="171" fontId="35" fillId="0" borderId="0" xfId="36" applyNumberFormat="1" applyFont="1" applyFill="1" applyBorder="1"/>
    <xf numFmtId="0" fontId="35" fillId="0" borderId="0" xfId="61" applyFont="1" applyBorder="1"/>
    <xf numFmtId="0" fontId="35" fillId="3" borderId="0" xfId="39" applyFont="1" applyFill="1" applyBorder="1"/>
    <xf numFmtId="0" fontId="35" fillId="3" borderId="0" xfId="39" applyFont="1" applyFill="1" applyBorder="1" applyAlignment="1">
      <alignment horizontal="left" wrapText="1"/>
    </xf>
    <xf numFmtId="172" fontId="35" fillId="0" borderId="0" xfId="0" applyNumberFormat="1" applyFont="1" applyFill="1" applyBorder="1" applyAlignment="1">
      <alignment wrapText="1"/>
    </xf>
    <xf numFmtId="0" fontId="25" fillId="0" borderId="2" xfId="0" applyFont="1" applyFill="1" applyBorder="1"/>
    <xf numFmtId="169" fontId="25" fillId="0" borderId="2" xfId="35" applyNumberFormat="1" applyFont="1" applyFill="1" applyBorder="1" applyAlignment="1">
      <alignment horizontal="center" vertical="center"/>
    </xf>
    <xf numFmtId="169" fontId="25" fillId="0" borderId="20" xfId="35" applyNumberFormat="1" applyFont="1" applyFill="1" applyBorder="1" applyAlignment="1">
      <alignment horizontal="center" vertical="center"/>
    </xf>
    <xf numFmtId="0" fontId="35" fillId="0" borderId="20" xfId="58" applyFont="1" applyFill="1" applyBorder="1"/>
    <xf numFmtId="167" fontId="35" fillId="0" borderId="13" xfId="58" applyNumberFormat="1" applyFont="1" applyFill="1" applyBorder="1" applyAlignment="1">
      <alignment horizontal="center"/>
    </xf>
    <xf numFmtId="167" fontId="35" fillId="0" borderId="2" xfId="35" applyNumberFormat="1" applyFont="1" applyFill="1" applyBorder="1" applyAlignment="1">
      <alignment horizontal="center"/>
    </xf>
    <xf numFmtId="167" fontId="35" fillId="0" borderId="20" xfId="35" applyNumberFormat="1" applyFont="1" applyFill="1" applyBorder="1" applyAlignment="1">
      <alignment horizontal="center"/>
    </xf>
    <xf numFmtId="167" fontId="35" fillId="0" borderId="2" xfId="58" applyNumberFormat="1" applyFont="1" applyFill="1" applyBorder="1" applyAlignment="1">
      <alignment horizontal="center"/>
    </xf>
    <xf numFmtId="0" fontId="35" fillId="0" borderId="2" xfId="58" applyFont="1" applyFill="1" applyBorder="1"/>
    <xf numFmtId="167" fontId="35" fillId="0" borderId="20" xfId="58" applyNumberFormat="1" applyFont="1" applyFill="1" applyBorder="1" applyAlignment="1">
      <alignment horizontal="center"/>
    </xf>
    <xf numFmtId="167" fontId="35" fillId="0" borderId="13" xfId="35" applyNumberFormat="1" applyFont="1" applyFill="1" applyBorder="1" applyAlignment="1">
      <alignment horizontal="center" vertical="center"/>
    </xf>
    <xf numFmtId="167" fontId="35" fillId="0" borderId="2" xfId="35" applyNumberFormat="1" applyFont="1" applyFill="1" applyBorder="1" applyAlignment="1">
      <alignment horizontal="center" vertical="center"/>
    </xf>
    <xf numFmtId="167" fontId="35" fillId="0" borderId="20" xfId="35" applyNumberFormat="1" applyFont="1" applyFill="1" applyBorder="1" applyAlignment="1">
      <alignment horizontal="center" vertical="center"/>
    </xf>
    <xf numFmtId="167" fontId="35" fillId="0" borderId="13" xfId="39" applyNumberFormat="1" applyFont="1" applyFill="1" applyBorder="1"/>
    <xf numFmtId="167" fontId="35" fillId="0" borderId="2" xfId="39" applyNumberFormat="1" applyFont="1" applyFill="1" applyBorder="1"/>
    <xf numFmtId="167" fontId="35" fillId="0" borderId="20" xfId="39" applyNumberFormat="1" applyFont="1" applyFill="1" applyBorder="1"/>
    <xf numFmtId="169" fontId="35" fillId="0" borderId="2" xfId="35" applyNumberFormat="1" applyFont="1" applyFill="1" applyBorder="1" applyAlignment="1">
      <alignment horizontal="center" vertical="center"/>
    </xf>
    <xf numFmtId="169" fontId="35" fillId="0" borderId="20" xfId="35" applyNumberFormat="1" applyFont="1" applyFill="1" applyBorder="1" applyAlignment="1">
      <alignment horizontal="center" vertical="center"/>
    </xf>
    <xf numFmtId="169" fontId="35" fillId="0" borderId="13" xfId="35" applyNumberFormat="1" applyFont="1" applyFill="1" applyBorder="1" applyAlignment="1">
      <alignment horizontal="center" vertical="center"/>
    </xf>
    <xf numFmtId="0" fontId="31" fillId="36" borderId="15" xfId="0" applyFont="1" applyFill="1" applyBorder="1" applyAlignment="1">
      <alignment horizontal="center" vertical="center" wrapText="1"/>
    </xf>
    <xf numFmtId="0" fontId="30" fillId="39" borderId="0" xfId="0" applyFont="1" applyFill="1" applyBorder="1" applyAlignment="1">
      <alignment horizontal="center" vertical="center" wrapText="1"/>
    </xf>
    <xf numFmtId="0" fontId="35" fillId="3" borderId="0" xfId="58" applyFont="1" applyFill="1" applyBorder="1" applyAlignment="1">
      <alignment horizontal="left" vertical="center" wrapText="1"/>
    </xf>
    <xf numFmtId="0" fontId="36" fillId="39" borderId="14" xfId="0" applyFont="1" applyFill="1" applyBorder="1" applyAlignment="1">
      <alignment horizontal="center" vertical="center"/>
    </xf>
    <xf numFmtId="0" fontId="36" fillId="39" borderId="0" xfId="0" applyFont="1" applyFill="1" applyBorder="1" applyAlignment="1">
      <alignment horizontal="center" vertical="center"/>
    </xf>
    <xf numFmtId="0" fontId="39" fillId="0" borderId="0" xfId="58" applyFont="1" applyFill="1" applyBorder="1" applyAlignment="1">
      <alignment horizontal="left" vertical="top" wrapText="1"/>
    </xf>
    <xf numFmtId="0" fontId="39" fillId="0" borderId="0" xfId="58" applyFont="1" applyFill="1" applyBorder="1" applyAlignment="1">
      <alignment horizontal="left" vertical="center" wrapText="1"/>
    </xf>
    <xf numFmtId="0" fontId="35" fillId="0" borderId="0" xfId="58" applyFont="1" applyFill="1" applyBorder="1" applyAlignment="1">
      <alignment horizontal="left" vertical="center" wrapText="1"/>
    </xf>
    <xf numFmtId="0" fontId="39" fillId="38" borderId="1" xfId="58" applyFont="1" applyFill="1" applyBorder="1" applyAlignment="1">
      <alignment horizontal="center" vertical="center" wrapText="1"/>
    </xf>
    <xf numFmtId="0" fontId="39" fillId="38" borderId="19" xfId="58" applyFont="1" applyFill="1" applyBorder="1" applyAlignment="1">
      <alignment horizontal="center" vertical="center" wrapText="1"/>
    </xf>
    <xf numFmtId="0" fontId="39" fillId="38" borderId="12" xfId="58" applyFont="1" applyFill="1" applyBorder="1" applyAlignment="1">
      <alignment horizontal="center" vertical="center"/>
    </xf>
    <xf numFmtId="0" fontId="39" fillId="38" borderId="14" xfId="58" applyFont="1" applyFill="1" applyBorder="1" applyAlignment="1">
      <alignment horizontal="center" vertical="center"/>
    </xf>
    <xf numFmtId="0" fontId="39" fillId="38" borderId="1" xfId="58" applyFont="1" applyFill="1" applyBorder="1" applyAlignment="1">
      <alignment horizontal="center" vertical="center"/>
    </xf>
    <xf numFmtId="0" fontId="39" fillId="38" borderId="0" xfId="58" applyFont="1" applyFill="1" applyBorder="1" applyAlignment="1">
      <alignment horizontal="center" vertical="center"/>
    </xf>
    <xf numFmtId="0" fontId="39" fillId="38" borderId="13" xfId="58" applyFont="1" applyFill="1" applyBorder="1" applyAlignment="1">
      <alignment horizontal="center" vertical="center"/>
    </xf>
    <xf numFmtId="0" fontId="39" fillId="38" borderId="2" xfId="58" applyFont="1" applyFill="1" applyBorder="1" applyAlignment="1">
      <alignment horizontal="center" vertical="center"/>
    </xf>
    <xf numFmtId="0" fontId="35" fillId="3" borderId="18" xfId="58" applyFont="1" applyFill="1" applyBorder="1" applyAlignment="1">
      <alignment horizontal="left" vertical="center" wrapText="1"/>
    </xf>
    <xf numFmtId="0" fontId="35" fillId="35" borderId="0" xfId="58" applyFont="1" applyFill="1" applyBorder="1" applyAlignment="1">
      <alignment horizontal="left" vertical="center" wrapText="1"/>
    </xf>
    <xf numFmtId="0" fontId="35" fillId="35" borderId="18" xfId="58" applyFont="1" applyFill="1" applyBorder="1" applyAlignment="1">
      <alignment horizontal="left" vertical="center" wrapText="1"/>
    </xf>
    <xf numFmtId="0" fontId="35" fillId="35" borderId="0" xfId="58" applyFont="1" applyFill="1" applyBorder="1" applyAlignment="1">
      <alignment horizontal="left" vertical="top" wrapText="1"/>
    </xf>
    <xf numFmtId="0" fontId="35" fillId="3" borderId="0" xfId="58" applyFont="1" applyFill="1" applyBorder="1" applyAlignment="1">
      <alignment horizontal="left"/>
    </xf>
    <xf numFmtId="0" fontId="35" fillId="40" borderId="0" xfId="0" applyFont="1" applyFill="1" applyAlignment="1">
      <alignment horizontal="left"/>
    </xf>
    <xf numFmtId="0" fontId="26" fillId="39" borderId="0" xfId="0" applyFont="1" applyFill="1" applyBorder="1" applyAlignment="1">
      <alignment horizontal="center" vertical="center"/>
    </xf>
    <xf numFmtId="0" fontId="39" fillId="38" borderId="16" xfId="58" applyFont="1" applyFill="1" applyBorder="1" applyAlignment="1">
      <alignment horizontal="center" vertical="center" wrapText="1"/>
    </xf>
    <xf numFmtId="0" fontId="27" fillId="37" borderId="0" xfId="0" applyFont="1" applyFill="1" applyBorder="1" applyAlignment="1">
      <alignment horizontal="left" vertical="center" wrapText="1"/>
    </xf>
    <xf numFmtId="1" fontId="27" fillId="38" borderId="25" xfId="61" applyNumberFormat="1" applyFont="1" applyFill="1" applyBorder="1" applyAlignment="1">
      <alignment horizontal="center" vertical="center" wrapText="1"/>
    </xf>
    <xf numFmtId="0" fontId="39" fillId="38" borderId="17" xfId="58" applyFont="1" applyFill="1" applyBorder="1" applyAlignment="1">
      <alignment horizontal="center" vertical="center" wrapText="1"/>
    </xf>
    <xf numFmtId="0" fontId="39" fillId="38" borderId="21" xfId="58" applyFont="1" applyFill="1" applyBorder="1" applyAlignment="1">
      <alignment horizontal="center" vertical="center" wrapText="1"/>
    </xf>
    <xf numFmtId="0" fontId="39" fillId="38" borderId="12" xfId="58" applyFont="1" applyFill="1" applyBorder="1" applyAlignment="1">
      <alignment horizontal="center" vertical="center" wrapText="1"/>
    </xf>
    <xf numFmtId="0" fontId="39" fillId="38" borderId="19" xfId="58" applyFont="1" applyFill="1" applyBorder="1" applyAlignment="1">
      <alignment horizontal="center" vertical="center"/>
    </xf>
    <xf numFmtId="0" fontId="39" fillId="38" borderId="18" xfId="58" applyFont="1" applyFill="1" applyBorder="1" applyAlignment="1">
      <alignment horizontal="center" vertical="center"/>
    </xf>
    <xf numFmtId="1" fontId="39" fillId="38" borderId="25" xfId="61" applyNumberFormat="1" applyFont="1" applyFill="1" applyBorder="1" applyAlignment="1">
      <alignment horizontal="center" vertical="center" wrapText="1"/>
    </xf>
    <xf numFmtId="1" fontId="39" fillId="38" borderId="21" xfId="61" applyNumberFormat="1" applyFont="1" applyFill="1" applyBorder="1" applyAlignment="1">
      <alignment horizontal="center" vertical="center" wrapText="1"/>
    </xf>
    <xf numFmtId="1" fontId="39" fillId="38" borderId="17" xfId="61" applyNumberFormat="1" applyFont="1" applyFill="1" applyBorder="1" applyAlignment="1">
      <alignment horizontal="center" vertical="center" wrapText="1"/>
    </xf>
    <xf numFmtId="1" fontId="39" fillId="38" borderId="16" xfId="61" applyNumberFormat="1" applyFont="1" applyFill="1" applyBorder="1" applyAlignment="1">
      <alignment horizontal="center" vertical="center" wrapText="1"/>
    </xf>
    <xf numFmtId="1" fontId="39" fillId="38" borderId="22" xfId="61" applyNumberFormat="1" applyFont="1" applyFill="1" applyBorder="1" applyAlignment="1">
      <alignment horizontal="center" vertical="center" wrapText="1"/>
    </xf>
    <xf numFmtId="1" fontId="39" fillId="38" borderId="23" xfId="61" applyNumberFormat="1" applyFont="1" applyFill="1" applyBorder="1" applyAlignment="1">
      <alignment horizontal="center" vertical="center" wrapText="1"/>
    </xf>
    <xf numFmtId="0" fontId="39" fillId="38" borderId="22" xfId="58" applyFont="1" applyFill="1" applyBorder="1" applyAlignment="1">
      <alignment horizontal="center" vertical="center" wrapText="1"/>
    </xf>
    <xf numFmtId="0" fontId="39" fillId="38" borderId="23" xfId="58" applyFont="1" applyFill="1" applyBorder="1" applyAlignment="1">
      <alignment horizontal="center" vertical="center" wrapText="1"/>
    </xf>
    <xf numFmtId="1" fontId="39" fillId="38" borderId="12" xfId="61" applyNumberFormat="1" applyFont="1" applyFill="1" applyBorder="1" applyAlignment="1">
      <alignment horizontal="center" vertical="center" wrapText="1"/>
    </xf>
    <xf numFmtId="1" fontId="39" fillId="38" borderId="19" xfId="61" applyNumberFormat="1" applyFont="1" applyFill="1" applyBorder="1" applyAlignment="1">
      <alignment horizontal="center" vertical="center" wrapText="1"/>
    </xf>
    <xf numFmtId="1" fontId="39" fillId="38" borderId="13" xfId="61" applyNumberFormat="1" applyFont="1" applyFill="1" applyBorder="1" applyAlignment="1">
      <alignment horizontal="center" vertical="center" wrapText="1"/>
    </xf>
    <xf numFmtId="1" fontId="39" fillId="38" borderId="20" xfId="61" applyNumberFormat="1" applyFont="1" applyFill="1" applyBorder="1" applyAlignment="1">
      <alignment horizontal="center" vertical="center" wrapText="1"/>
    </xf>
    <xf numFmtId="1" fontId="39" fillId="38" borderId="24" xfId="61" applyNumberFormat="1" applyFont="1" applyFill="1" applyBorder="1" applyAlignment="1">
      <alignment horizontal="center" vertical="center" wrapText="1"/>
    </xf>
    <xf numFmtId="0" fontId="25" fillId="2" borderId="0" xfId="39" applyFont="1" applyFill="1" applyBorder="1" applyAlignment="1">
      <alignment horizontal="left" vertical="center" wrapText="1"/>
    </xf>
    <xf numFmtId="0" fontId="25" fillId="2" borderId="1" xfId="39" applyFont="1" applyFill="1" applyBorder="1" applyAlignment="1">
      <alignment horizontal="left"/>
    </xf>
    <xf numFmtId="0" fontId="25" fillId="2" borderId="0" xfId="39" applyFont="1" applyFill="1" applyBorder="1" applyAlignment="1">
      <alignment horizontal="left"/>
    </xf>
    <xf numFmtId="1" fontId="39" fillId="38" borderId="14" xfId="61" applyNumberFormat="1" applyFont="1" applyFill="1" applyBorder="1" applyAlignment="1">
      <alignment horizontal="center" vertical="center" wrapText="1"/>
    </xf>
    <xf numFmtId="1" fontId="39" fillId="38" borderId="1" xfId="61" applyNumberFormat="1" applyFont="1" applyFill="1" applyBorder="1" applyAlignment="1">
      <alignment horizontal="center" vertical="center" wrapText="1"/>
    </xf>
    <xf numFmtId="1" fontId="39" fillId="38" borderId="0" xfId="61" applyNumberFormat="1" applyFont="1" applyFill="1" applyBorder="1" applyAlignment="1">
      <alignment horizontal="center" vertical="center" wrapText="1"/>
    </xf>
    <xf numFmtId="1" fontId="39" fillId="38" borderId="2" xfId="61" applyNumberFormat="1" applyFont="1" applyFill="1" applyBorder="1" applyAlignment="1">
      <alignment horizontal="center" vertical="center" wrapText="1"/>
    </xf>
    <xf numFmtId="1" fontId="27" fillId="37" borderId="0" xfId="61" applyNumberFormat="1" applyFont="1" applyFill="1" applyBorder="1" applyAlignment="1">
      <alignment horizontal="left" vertical="top" wrapText="1"/>
    </xf>
    <xf numFmtId="0" fontId="45" fillId="38" borderId="21" xfId="58" applyFont="1" applyFill="1" applyBorder="1" applyAlignment="1">
      <alignment horizontal="center" vertical="center" wrapText="1"/>
    </xf>
    <xf numFmtId="0" fontId="45" fillId="38" borderId="16" xfId="58" applyFont="1" applyFill="1" applyBorder="1" applyAlignment="1">
      <alignment horizontal="center" vertical="center" wrapText="1"/>
    </xf>
    <xf numFmtId="0" fontId="45" fillId="38" borderId="17" xfId="58" applyFont="1" applyFill="1" applyBorder="1" applyAlignment="1">
      <alignment horizontal="center" vertical="center" wrapText="1"/>
    </xf>
    <xf numFmtId="0" fontId="45" fillId="38" borderId="13" xfId="58" applyFont="1" applyFill="1" applyBorder="1" applyAlignment="1">
      <alignment horizontal="center" vertical="center" wrapText="1"/>
    </xf>
    <xf numFmtId="0" fontId="45" fillId="38" borderId="2" xfId="58" applyFont="1" applyFill="1" applyBorder="1" applyAlignment="1">
      <alignment horizontal="center" vertical="center" wrapText="1"/>
    </xf>
    <xf numFmtId="0" fontId="45" fillId="38" borderId="20" xfId="58" applyFont="1" applyFill="1" applyBorder="1" applyAlignment="1">
      <alignment horizontal="center" vertical="center" wrapText="1"/>
    </xf>
    <xf numFmtId="0" fontId="45" fillId="35" borderId="0" xfId="58" applyFont="1" applyFill="1" applyBorder="1" applyAlignment="1">
      <alignment horizontal="center" vertical="center" wrapText="1"/>
    </xf>
    <xf numFmtId="1" fontId="27" fillId="38" borderId="0" xfId="61" applyNumberFormat="1" applyFont="1" applyFill="1" applyBorder="1" applyAlignment="1">
      <alignment horizontal="center" vertical="center" wrapText="1"/>
    </xf>
    <xf numFmtId="1" fontId="27" fillId="38" borderId="2" xfId="61" applyNumberFormat="1" applyFont="1" applyFill="1" applyBorder="1" applyAlignment="1">
      <alignment horizontal="center" vertical="center" wrapText="1"/>
    </xf>
    <xf numFmtId="1" fontId="27" fillId="37" borderId="0" xfId="61" applyNumberFormat="1" applyFont="1" applyFill="1" applyBorder="1" applyAlignment="1">
      <alignment horizontal="left" wrapText="1"/>
    </xf>
    <xf numFmtId="1" fontId="27" fillId="38" borderId="14" xfId="61" applyNumberFormat="1" applyFont="1" applyFill="1" applyBorder="1" applyAlignment="1">
      <alignment horizontal="center" vertical="center" wrapText="1"/>
    </xf>
    <xf numFmtId="1" fontId="27" fillId="38" borderId="13" xfId="61" applyNumberFormat="1" applyFont="1" applyFill="1" applyBorder="1" applyAlignment="1">
      <alignment horizontal="center" vertical="center" wrapText="1"/>
    </xf>
  </cellXfs>
  <cellStyles count="6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elda de comprobación" xfId="21" builtinId="23" customBuiltin="1"/>
    <cellStyle name="Celda vinculada" xfId="22" builtinId="24" customBuiltin="1"/>
    <cellStyle name="Encabezado 1" xfId="54" builtinId="16" customBuiltin="1"/>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Euro" xfId="31" xr:uid="{00000000-0005-0000-0000-00001E000000}"/>
    <cellStyle name="Hipervínculo" xfId="32" builtinId="8" customBuiltin="1"/>
    <cellStyle name="Hipervínculo visitado" xfId="33" builtinId="9" customBuiltin="1"/>
    <cellStyle name="Incorrecto" xfId="34" builtinId="27" customBuiltin="1"/>
    <cellStyle name="Millares" xfId="35" builtinId="3"/>
    <cellStyle name="Millares 2" xfId="36" xr:uid="{00000000-0005-0000-0000-000023000000}"/>
    <cellStyle name="Millares 3" xfId="37" xr:uid="{00000000-0005-0000-0000-000024000000}"/>
    <cellStyle name="Millares 4" xfId="59" xr:uid="{00000000-0005-0000-0000-000025000000}"/>
    <cellStyle name="Neutral" xfId="38" builtinId="28" customBuiltin="1"/>
    <cellStyle name="Normal" xfId="0" builtinId="0"/>
    <cellStyle name="Normal 2" xfId="39" xr:uid="{00000000-0005-0000-0000-000028000000}"/>
    <cellStyle name="Normal 2 2" xfId="40" xr:uid="{00000000-0005-0000-0000-000029000000}"/>
    <cellStyle name="Normal 2 3" xfId="60" xr:uid="{00000000-0005-0000-0000-00002A000000}"/>
    <cellStyle name="Normal 3" xfId="41" xr:uid="{00000000-0005-0000-0000-00002B000000}"/>
    <cellStyle name="Normal 4" xfId="42" xr:uid="{00000000-0005-0000-0000-00002C000000}"/>
    <cellStyle name="Normal 5" xfId="43" xr:uid="{00000000-0005-0000-0000-00002D000000}"/>
    <cellStyle name="Normal 6" xfId="44" xr:uid="{00000000-0005-0000-0000-00002E000000}"/>
    <cellStyle name="Normal 7" xfId="45" xr:uid="{00000000-0005-0000-0000-00002F000000}"/>
    <cellStyle name="Normal 8" xfId="46" xr:uid="{00000000-0005-0000-0000-000030000000}"/>
    <cellStyle name="Normal 8 2" xfId="58" xr:uid="{00000000-0005-0000-0000-000031000000}"/>
    <cellStyle name="Normal_empalme indice con trilla" xfId="62" xr:uid="{00000000-0005-0000-0000-000032000000}"/>
    <cellStyle name="Normal_empalme indice sin trilla" xfId="61" xr:uid="{00000000-0005-0000-0000-000033000000}"/>
    <cellStyle name="Notas" xfId="47" builtinId="10" customBuiltin="1"/>
    <cellStyle name="Porcentaje 2" xfId="48" xr:uid="{00000000-0005-0000-0000-000035000000}"/>
    <cellStyle name="Porcentual 2" xfId="49" xr:uid="{00000000-0005-0000-0000-000036000000}"/>
    <cellStyle name="Salida" xfId="50" builtinId="21" customBuiltin="1"/>
    <cellStyle name="Texto de advertencia" xfId="51" builtinId="11" customBuiltin="1"/>
    <cellStyle name="Texto explicativo" xfId="52" builtinId="53" customBuiltin="1"/>
    <cellStyle name="Título" xfId="53" builtinId="15" customBuiltin="1"/>
    <cellStyle name="Título 2" xfId="55" builtinId="17" customBuiltin="1"/>
    <cellStyle name="Título 3" xfId="56" builtinId="18" customBuiltin="1"/>
    <cellStyle name="Total" xfId="5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7.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7.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7.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1.pn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359832</xdr:rowOff>
    </xdr:from>
    <xdr:to>
      <xdr:col>1</xdr:col>
      <xdr:colOff>21166</xdr:colOff>
      <xdr:row>1</xdr:row>
      <xdr:rowOff>405551</xdr:rowOff>
    </xdr:to>
    <xdr:pic>
      <xdr:nvPicPr>
        <xdr:cNvPr id="5" name="Imagen 5" descr="linea">
          <a:extLst>
            <a:ext uri="{FF2B5EF4-FFF2-40B4-BE49-F238E27FC236}">
              <a16:creationId xmlns:a16="http://schemas.microsoft.com/office/drawing/2014/main" id="{00000000-0008-0000-0000-000005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14915"/>
          <a:ext cx="7323666"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4889501</xdr:colOff>
      <xdr:row>0</xdr:row>
      <xdr:rowOff>137585</xdr:rowOff>
    </xdr:from>
    <xdr:to>
      <xdr:col>0</xdr:col>
      <xdr:colOff>7204076</xdr:colOff>
      <xdr:row>1</xdr:row>
      <xdr:rowOff>225427</xdr:rowOff>
    </xdr:to>
    <xdr:pic>
      <xdr:nvPicPr>
        <xdr:cNvPr id="7" name="Imagen 2">
          <a:extLst>
            <a:ext uri="{FF2B5EF4-FFF2-40B4-BE49-F238E27FC236}">
              <a16:creationId xmlns:a16="http://schemas.microsoft.com/office/drawing/2014/main" id="{00000000-0008-0000-0000-000007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89501" y="137585"/>
          <a:ext cx="231457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486833</xdr:colOff>
      <xdr:row>0</xdr:row>
      <xdr:rowOff>211666</xdr:rowOff>
    </xdr:from>
    <xdr:to>
      <xdr:col>0</xdr:col>
      <xdr:colOff>1439333</xdr:colOff>
      <xdr:row>1</xdr:row>
      <xdr:rowOff>147108</xdr:rowOff>
    </xdr:to>
    <xdr:pic>
      <xdr:nvPicPr>
        <xdr:cNvPr id="8" name="Imagen 3">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6833" y="211666"/>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777329</xdr:colOff>
      <xdr:row>1</xdr:row>
      <xdr:rowOff>98533</xdr:rowOff>
    </xdr:from>
    <xdr:to>
      <xdr:col>6</xdr:col>
      <xdr:colOff>847508</xdr:colOff>
      <xdr:row>4</xdr:row>
      <xdr:rowOff>17406</xdr:rowOff>
    </xdr:to>
    <xdr:pic>
      <xdr:nvPicPr>
        <xdr:cNvPr id="6" name="Imagen 2">
          <a:extLst>
            <a:ext uri="{FF2B5EF4-FFF2-40B4-BE49-F238E27FC236}">
              <a16:creationId xmlns:a16="http://schemas.microsoft.com/office/drawing/2014/main" id="{00000000-0008-0000-0100-000006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2674" y="251809"/>
          <a:ext cx="231457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21895</xdr:colOff>
      <xdr:row>5</xdr:row>
      <xdr:rowOff>96607</xdr:rowOff>
    </xdr:from>
    <xdr:to>
      <xdr:col>6</xdr:col>
      <xdr:colOff>843017</xdr:colOff>
      <xdr:row>5</xdr:row>
      <xdr:rowOff>142326</xdr:rowOff>
    </xdr:to>
    <xdr:pic>
      <xdr:nvPicPr>
        <xdr:cNvPr id="7" name="Imagen 5" descr="linea">
          <a:extLst>
            <a:ext uri="{FF2B5EF4-FFF2-40B4-BE49-F238E27FC236}">
              <a16:creationId xmlns:a16="http://schemas.microsoft.com/office/drawing/2014/main" id="{00000000-0008-0000-0100-000007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21895" y="1081952"/>
          <a:ext cx="7860863"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667844</xdr:colOff>
      <xdr:row>1</xdr:row>
      <xdr:rowOff>142328</xdr:rowOff>
    </xdr:from>
    <xdr:to>
      <xdr:col>2</xdr:col>
      <xdr:colOff>5802</xdr:colOff>
      <xdr:row>3</xdr:row>
      <xdr:rowOff>202544</xdr:rowOff>
    </xdr:to>
    <xdr:pic>
      <xdr:nvPicPr>
        <xdr:cNvPr id="9" name="Imagen 7">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7844" y="295604"/>
          <a:ext cx="113347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558363</xdr:colOff>
      <xdr:row>1</xdr:row>
      <xdr:rowOff>120431</xdr:rowOff>
    </xdr:from>
    <xdr:to>
      <xdr:col>7</xdr:col>
      <xdr:colOff>814662</xdr:colOff>
      <xdr:row>4</xdr:row>
      <xdr:rowOff>39304</xdr:rowOff>
    </xdr:to>
    <xdr:pic>
      <xdr:nvPicPr>
        <xdr:cNvPr id="6" name="Imagen 2">
          <a:extLst>
            <a:ext uri="{FF2B5EF4-FFF2-40B4-BE49-F238E27FC236}">
              <a16:creationId xmlns:a16="http://schemas.microsoft.com/office/drawing/2014/main" id="{00000000-0008-0000-0200-000006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6380" y="273707"/>
          <a:ext cx="231457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21897</xdr:colOff>
      <xdr:row>5</xdr:row>
      <xdr:rowOff>65689</xdr:rowOff>
    </xdr:from>
    <xdr:to>
      <xdr:col>7</xdr:col>
      <xdr:colOff>832069</xdr:colOff>
      <xdr:row>5</xdr:row>
      <xdr:rowOff>120430</xdr:rowOff>
    </xdr:to>
    <xdr:pic>
      <xdr:nvPicPr>
        <xdr:cNvPr id="7" name="Imagen 5" descr="linea">
          <a:extLst>
            <a:ext uri="{FF2B5EF4-FFF2-40B4-BE49-F238E27FC236}">
              <a16:creationId xmlns:a16="http://schemas.microsoft.com/office/drawing/2014/main" id="{00000000-0008-0000-0200-000007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21897" y="963448"/>
          <a:ext cx="9273189" cy="54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76638</xdr:colOff>
      <xdr:row>1</xdr:row>
      <xdr:rowOff>142327</xdr:rowOff>
    </xdr:from>
    <xdr:to>
      <xdr:col>1</xdr:col>
      <xdr:colOff>1029138</xdr:colOff>
      <xdr:row>3</xdr:row>
      <xdr:rowOff>116818</xdr:rowOff>
    </xdr:to>
    <xdr:pic>
      <xdr:nvPicPr>
        <xdr:cNvPr id="8" name="Imagen 3">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1121" y="295603"/>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558363</xdr:colOff>
      <xdr:row>1</xdr:row>
      <xdr:rowOff>120431</xdr:rowOff>
    </xdr:from>
    <xdr:to>
      <xdr:col>7</xdr:col>
      <xdr:colOff>814662</xdr:colOff>
      <xdr:row>4</xdr:row>
      <xdr:rowOff>39304</xdr:rowOff>
    </xdr:to>
    <xdr:pic>
      <xdr:nvPicPr>
        <xdr:cNvPr id="2" name="Imagen 2">
          <a:extLst>
            <a:ext uri="{FF2B5EF4-FFF2-40B4-BE49-F238E27FC236}">
              <a16:creationId xmlns:a16="http://schemas.microsoft.com/office/drawing/2014/main" id="{00000000-0008-0000-03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1563" y="272831"/>
          <a:ext cx="2313699" cy="5475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21897</xdr:colOff>
      <xdr:row>5</xdr:row>
      <xdr:rowOff>65689</xdr:rowOff>
    </xdr:from>
    <xdr:to>
      <xdr:col>7</xdr:col>
      <xdr:colOff>832069</xdr:colOff>
      <xdr:row>5</xdr:row>
      <xdr:rowOff>120430</xdr:rowOff>
    </xdr:to>
    <xdr:pic>
      <xdr:nvPicPr>
        <xdr:cNvPr id="3" name="Imagen 5" descr="linea">
          <a:extLst>
            <a:ext uri="{FF2B5EF4-FFF2-40B4-BE49-F238E27FC236}">
              <a16:creationId xmlns:a16="http://schemas.microsoft.com/office/drawing/2014/main" id="{00000000-0008-0000-0300-000003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21897" y="1056289"/>
          <a:ext cx="9420772" cy="54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76638</xdr:colOff>
      <xdr:row>1</xdr:row>
      <xdr:rowOff>142327</xdr:rowOff>
    </xdr:from>
    <xdr:to>
      <xdr:col>1</xdr:col>
      <xdr:colOff>1029138</xdr:colOff>
      <xdr:row>3</xdr:row>
      <xdr:rowOff>116818</xdr:rowOff>
    </xdr:to>
    <xdr:pic>
      <xdr:nvPicPr>
        <xdr:cNvPr id="4" name="Imagen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9588" y="294727"/>
          <a:ext cx="952500" cy="3935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xdr:row>
      <xdr:rowOff>76636</xdr:rowOff>
    </xdr:from>
    <xdr:to>
      <xdr:col>9</xdr:col>
      <xdr:colOff>908707</xdr:colOff>
      <xdr:row>5</xdr:row>
      <xdr:rowOff>153274</xdr:rowOff>
    </xdr:to>
    <xdr:pic>
      <xdr:nvPicPr>
        <xdr:cNvPr id="7" name="Imagen 5" descr="linea">
          <a:extLst>
            <a:ext uri="{FF2B5EF4-FFF2-40B4-BE49-F238E27FC236}">
              <a16:creationId xmlns:a16="http://schemas.microsoft.com/office/drawing/2014/main" id="{00000000-0008-0000-0400-000007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V="1">
          <a:off x="0" y="1061981"/>
          <a:ext cx="9897241" cy="766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733535</xdr:colOff>
      <xdr:row>1</xdr:row>
      <xdr:rowOff>142328</xdr:rowOff>
    </xdr:from>
    <xdr:to>
      <xdr:col>9</xdr:col>
      <xdr:colOff>893819</xdr:colOff>
      <xdr:row>3</xdr:row>
      <xdr:rowOff>193019</xdr:rowOff>
    </xdr:to>
    <xdr:pic>
      <xdr:nvPicPr>
        <xdr:cNvPr id="8" name="Imagen 7">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1380" y="295604"/>
          <a:ext cx="2130973"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21897</xdr:colOff>
      <xdr:row>1</xdr:row>
      <xdr:rowOff>131379</xdr:rowOff>
    </xdr:from>
    <xdr:to>
      <xdr:col>1</xdr:col>
      <xdr:colOff>1069647</xdr:colOff>
      <xdr:row>3</xdr:row>
      <xdr:rowOff>143970</xdr:rowOff>
    </xdr:to>
    <xdr:pic>
      <xdr:nvPicPr>
        <xdr:cNvPr id="9" name="Imagen 6">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8276" y="284655"/>
          <a:ext cx="10477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21895</xdr:colOff>
      <xdr:row>5</xdr:row>
      <xdr:rowOff>76638</xdr:rowOff>
    </xdr:from>
    <xdr:to>
      <xdr:col>9</xdr:col>
      <xdr:colOff>974395</xdr:colOff>
      <xdr:row>5</xdr:row>
      <xdr:rowOff>131379</xdr:rowOff>
    </xdr:to>
    <xdr:pic>
      <xdr:nvPicPr>
        <xdr:cNvPr id="9" name="Imagen 5" descr="linea">
          <a:extLst>
            <a:ext uri="{FF2B5EF4-FFF2-40B4-BE49-F238E27FC236}">
              <a16:creationId xmlns:a16="http://schemas.microsoft.com/office/drawing/2014/main" id="{00000000-0008-0000-0500-000009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V="1">
          <a:off x="21895" y="974397"/>
          <a:ext cx="9557845" cy="54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10948</xdr:colOff>
      <xdr:row>1</xdr:row>
      <xdr:rowOff>98535</xdr:rowOff>
    </xdr:from>
    <xdr:to>
      <xdr:col>1</xdr:col>
      <xdr:colOff>1058698</xdr:colOff>
      <xdr:row>3</xdr:row>
      <xdr:rowOff>111126</xdr:rowOff>
    </xdr:to>
    <xdr:pic>
      <xdr:nvPicPr>
        <xdr:cNvPr id="5" name="Imagen 6">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2155" y="251811"/>
          <a:ext cx="10477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799224</xdr:colOff>
      <xdr:row>1</xdr:row>
      <xdr:rowOff>98535</xdr:rowOff>
    </xdr:from>
    <xdr:to>
      <xdr:col>9</xdr:col>
      <xdr:colOff>959507</xdr:colOff>
      <xdr:row>3</xdr:row>
      <xdr:rowOff>149226</xdr:rowOff>
    </xdr:to>
    <xdr:pic>
      <xdr:nvPicPr>
        <xdr:cNvPr id="6" name="Imagen 7">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41896" y="251811"/>
          <a:ext cx="2130973"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21895</xdr:colOff>
      <xdr:row>5</xdr:row>
      <xdr:rowOff>76638</xdr:rowOff>
    </xdr:from>
    <xdr:to>
      <xdr:col>9</xdr:col>
      <xdr:colOff>974395</xdr:colOff>
      <xdr:row>5</xdr:row>
      <xdr:rowOff>131379</xdr:rowOff>
    </xdr:to>
    <xdr:pic>
      <xdr:nvPicPr>
        <xdr:cNvPr id="2" name="Imagen 5" descr="linea">
          <a:extLst>
            <a:ext uri="{FF2B5EF4-FFF2-40B4-BE49-F238E27FC236}">
              <a16:creationId xmlns:a16="http://schemas.microsoft.com/office/drawing/2014/main" id="{00000000-0008-0000-06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V="1">
          <a:off x="21895" y="1067238"/>
          <a:ext cx="9734550" cy="54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10948</xdr:colOff>
      <xdr:row>1</xdr:row>
      <xdr:rowOff>98535</xdr:rowOff>
    </xdr:from>
    <xdr:to>
      <xdr:col>1</xdr:col>
      <xdr:colOff>1058698</xdr:colOff>
      <xdr:row>3</xdr:row>
      <xdr:rowOff>111126</xdr:rowOff>
    </xdr:to>
    <xdr:pic>
      <xdr:nvPicPr>
        <xdr:cNvPr id="3" name="Imagen 6">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1498" y="250935"/>
          <a:ext cx="1047750" cy="4316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799224</xdr:colOff>
      <xdr:row>1</xdr:row>
      <xdr:rowOff>98535</xdr:rowOff>
    </xdr:from>
    <xdr:to>
      <xdr:col>9</xdr:col>
      <xdr:colOff>959507</xdr:colOff>
      <xdr:row>3</xdr:row>
      <xdr:rowOff>149226</xdr:rowOff>
    </xdr:to>
    <xdr:pic>
      <xdr:nvPicPr>
        <xdr:cNvPr id="4" name="Imagen 7">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19124" y="250935"/>
          <a:ext cx="2122433" cy="4697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749957</xdr:colOff>
      <xdr:row>1</xdr:row>
      <xdr:rowOff>145064</xdr:rowOff>
    </xdr:from>
    <xdr:to>
      <xdr:col>13</xdr:col>
      <xdr:colOff>142</xdr:colOff>
      <xdr:row>4</xdr:row>
      <xdr:rowOff>37618</xdr:rowOff>
    </xdr:to>
    <xdr:pic>
      <xdr:nvPicPr>
        <xdr:cNvPr id="2" name="Imagen 2">
          <a:extLst>
            <a:ext uri="{FF2B5EF4-FFF2-40B4-BE49-F238E27FC236}">
              <a16:creationId xmlns:a16="http://schemas.microsoft.com/office/drawing/2014/main" id="{00000000-0008-0000-07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5082" y="303814"/>
          <a:ext cx="2312192" cy="511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32844</xdr:colOff>
      <xdr:row>5</xdr:row>
      <xdr:rowOff>52812</xdr:rowOff>
    </xdr:from>
    <xdr:to>
      <xdr:col>13</xdr:col>
      <xdr:colOff>76637</xdr:colOff>
      <xdr:row>5</xdr:row>
      <xdr:rowOff>98531</xdr:rowOff>
    </xdr:to>
    <xdr:pic>
      <xdr:nvPicPr>
        <xdr:cNvPr id="4" name="Imagen 3" descr="linea">
          <a:extLst>
            <a:ext uri="{FF2B5EF4-FFF2-40B4-BE49-F238E27FC236}">
              <a16:creationId xmlns:a16="http://schemas.microsoft.com/office/drawing/2014/main" id="{00000000-0008-0000-0700-000004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844" y="950571"/>
          <a:ext cx="8550603"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95250</xdr:colOff>
      <xdr:row>1</xdr:row>
      <xdr:rowOff>111125</xdr:rowOff>
    </xdr:from>
    <xdr:to>
      <xdr:col>2</xdr:col>
      <xdr:colOff>254000</xdr:colOff>
      <xdr:row>3</xdr:row>
      <xdr:rowOff>88900</xdr:rowOff>
    </xdr:to>
    <xdr:pic>
      <xdr:nvPicPr>
        <xdr:cNvPr id="5" name="Imagen 3">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6750" y="269875"/>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687809</xdr:colOff>
      <xdr:row>1</xdr:row>
      <xdr:rowOff>133181</xdr:rowOff>
    </xdr:from>
    <xdr:to>
      <xdr:col>10</xdr:col>
      <xdr:colOff>49118</xdr:colOff>
      <xdr:row>4</xdr:row>
      <xdr:rowOff>15463</xdr:rowOff>
    </xdr:to>
    <xdr:pic>
      <xdr:nvPicPr>
        <xdr:cNvPr id="2" name="Imagen 2">
          <a:extLst>
            <a:ext uri="{FF2B5EF4-FFF2-40B4-BE49-F238E27FC236}">
              <a16:creationId xmlns:a16="http://schemas.microsoft.com/office/drawing/2014/main" id="{00000000-0008-0000-08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48485" y="290063"/>
          <a:ext cx="2297251" cy="5210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xdr:row>
      <xdr:rowOff>109480</xdr:rowOff>
    </xdr:from>
    <xdr:to>
      <xdr:col>10</xdr:col>
      <xdr:colOff>43792</xdr:colOff>
      <xdr:row>5</xdr:row>
      <xdr:rowOff>155199</xdr:rowOff>
    </xdr:to>
    <xdr:pic>
      <xdr:nvPicPr>
        <xdr:cNvPr id="4" name="Imagen 3" descr="linea">
          <a:extLst>
            <a:ext uri="{FF2B5EF4-FFF2-40B4-BE49-F238E27FC236}">
              <a16:creationId xmlns:a16="http://schemas.microsoft.com/office/drawing/2014/main" id="{00000000-0008-0000-0800-000004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0" y="1007239"/>
          <a:ext cx="8550602"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593912</xdr:colOff>
      <xdr:row>1</xdr:row>
      <xdr:rowOff>179294</xdr:rowOff>
    </xdr:from>
    <xdr:to>
      <xdr:col>2</xdr:col>
      <xdr:colOff>0</xdr:colOff>
      <xdr:row>3</xdr:row>
      <xdr:rowOff>143995</xdr:rowOff>
    </xdr:to>
    <xdr:pic>
      <xdr:nvPicPr>
        <xdr:cNvPr id="5" name="Imagen 3">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93912" y="336176"/>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687809</xdr:colOff>
      <xdr:row>1</xdr:row>
      <xdr:rowOff>133181</xdr:rowOff>
    </xdr:from>
    <xdr:to>
      <xdr:col>10</xdr:col>
      <xdr:colOff>49118</xdr:colOff>
      <xdr:row>4</xdr:row>
      <xdr:rowOff>15463</xdr:rowOff>
    </xdr:to>
    <xdr:pic>
      <xdr:nvPicPr>
        <xdr:cNvPr id="2" name="Imagen 2">
          <a:extLst>
            <a:ext uri="{FF2B5EF4-FFF2-40B4-BE49-F238E27FC236}">
              <a16:creationId xmlns:a16="http://schemas.microsoft.com/office/drawing/2014/main" id="{00000000-0008-0000-09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36159" y="285581"/>
          <a:ext cx="2304534" cy="510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xdr:row>
      <xdr:rowOff>109480</xdr:rowOff>
    </xdr:from>
    <xdr:to>
      <xdr:col>10</xdr:col>
      <xdr:colOff>43792</xdr:colOff>
      <xdr:row>5</xdr:row>
      <xdr:rowOff>155199</xdr:rowOff>
    </xdr:to>
    <xdr:pic>
      <xdr:nvPicPr>
        <xdr:cNvPr id="3" name="Imagen 2" descr="linea">
          <a:extLst>
            <a:ext uri="{FF2B5EF4-FFF2-40B4-BE49-F238E27FC236}">
              <a16:creationId xmlns:a16="http://schemas.microsoft.com/office/drawing/2014/main" id="{00000000-0008-0000-0900-000003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0" y="1100080"/>
          <a:ext cx="883536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593912</xdr:colOff>
      <xdr:row>1</xdr:row>
      <xdr:rowOff>179294</xdr:rowOff>
    </xdr:from>
    <xdr:to>
      <xdr:col>2</xdr:col>
      <xdr:colOff>0</xdr:colOff>
      <xdr:row>3</xdr:row>
      <xdr:rowOff>143995</xdr:rowOff>
    </xdr:to>
    <xdr:pic>
      <xdr:nvPicPr>
        <xdr:cNvPr id="4" name="Imagen 3">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93912" y="331694"/>
          <a:ext cx="949138" cy="3838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21895</xdr:colOff>
      <xdr:row>5</xdr:row>
      <xdr:rowOff>76638</xdr:rowOff>
    </xdr:from>
    <xdr:to>
      <xdr:col>9</xdr:col>
      <xdr:colOff>974395</xdr:colOff>
      <xdr:row>5</xdr:row>
      <xdr:rowOff>131379</xdr:rowOff>
    </xdr:to>
    <xdr:pic>
      <xdr:nvPicPr>
        <xdr:cNvPr id="2" name="Imagen 5" descr="linea">
          <a:extLst>
            <a:ext uri="{FF2B5EF4-FFF2-40B4-BE49-F238E27FC236}">
              <a16:creationId xmlns:a16="http://schemas.microsoft.com/office/drawing/2014/main" id="{00000000-0008-0000-0A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V="1">
          <a:off x="21895" y="1067238"/>
          <a:ext cx="9734550" cy="54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10948</xdr:colOff>
      <xdr:row>1</xdr:row>
      <xdr:rowOff>98535</xdr:rowOff>
    </xdr:from>
    <xdr:to>
      <xdr:col>1</xdr:col>
      <xdr:colOff>1058698</xdr:colOff>
      <xdr:row>3</xdr:row>
      <xdr:rowOff>111126</xdr:rowOff>
    </xdr:to>
    <xdr:pic>
      <xdr:nvPicPr>
        <xdr:cNvPr id="3" name="Imagen 6">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1498" y="250935"/>
          <a:ext cx="1047750" cy="4316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799224</xdr:colOff>
      <xdr:row>1</xdr:row>
      <xdr:rowOff>98535</xdr:rowOff>
    </xdr:from>
    <xdr:to>
      <xdr:col>9</xdr:col>
      <xdr:colOff>959507</xdr:colOff>
      <xdr:row>3</xdr:row>
      <xdr:rowOff>149226</xdr:rowOff>
    </xdr:to>
    <xdr:pic>
      <xdr:nvPicPr>
        <xdr:cNvPr id="4" name="Imagen 7">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19124" y="250935"/>
          <a:ext cx="2122433" cy="4697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5</xdr:row>
      <xdr:rowOff>98534</xdr:rowOff>
    </xdr:from>
    <xdr:to>
      <xdr:col>5</xdr:col>
      <xdr:colOff>941551</xdr:colOff>
      <xdr:row>5</xdr:row>
      <xdr:rowOff>144253</xdr:rowOff>
    </xdr:to>
    <xdr:pic>
      <xdr:nvPicPr>
        <xdr:cNvPr id="7" name="Imagen 5" descr="linea">
          <a:extLst>
            <a:ext uri="{FF2B5EF4-FFF2-40B4-BE49-F238E27FC236}">
              <a16:creationId xmlns:a16="http://schemas.microsoft.com/office/drawing/2014/main" id="{00000000-0008-0000-0B00-000007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V="1">
          <a:off x="0" y="996293"/>
          <a:ext cx="5693103"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448236</xdr:colOff>
      <xdr:row>1</xdr:row>
      <xdr:rowOff>134470</xdr:rowOff>
    </xdr:from>
    <xdr:to>
      <xdr:col>1</xdr:col>
      <xdr:colOff>700368</xdr:colOff>
      <xdr:row>3</xdr:row>
      <xdr:rowOff>137271</xdr:rowOff>
    </xdr:to>
    <xdr:pic>
      <xdr:nvPicPr>
        <xdr:cNvPr id="8" name="Imagen 6">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8236" y="291352"/>
          <a:ext cx="10477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862853</xdr:colOff>
      <xdr:row>1</xdr:row>
      <xdr:rowOff>123265</xdr:rowOff>
    </xdr:from>
    <xdr:to>
      <xdr:col>6</xdr:col>
      <xdr:colOff>35473</xdr:colOff>
      <xdr:row>3</xdr:row>
      <xdr:rowOff>164166</xdr:rowOff>
    </xdr:to>
    <xdr:pic>
      <xdr:nvPicPr>
        <xdr:cNvPr id="9" name="Imagen 7">
          <a:extLst>
            <a:ext uri="{FF2B5EF4-FFF2-40B4-BE49-F238E27FC236}">
              <a16:creationId xmlns:a16="http://schemas.microsoft.com/office/drawing/2014/main" id="{00000000-0008-0000-0B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720353" y="280147"/>
          <a:ext cx="2130973"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5</xdr:row>
      <xdr:rowOff>95249</xdr:rowOff>
    </xdr:from>
    <xdr:to>
      <xdr:col>10</xdr:col>
      <xdr:colOff>47625</xdr:colOff>
      <xdr:row>5</xdr:row>
      <xdr:rowOff>150490</xdr:rowOff>
    </xdr:to>
    <xdr:pic>
      <xdr:nvPicPr>
        <xdr:cNvPr id="6" name="Imagen 5" descr="linea">
          <a:extLst>
            <a:ext uri="{FF2B5EF4-FFF2-40B4-BE49-F238E27FC236}">
              <a16:creationId xmlns:a16="http://schemas.microsoft.com/office/drawing/2014/main" id="{00000000-0008-0000-0C00-000006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V="1">
          <a:off x="0" y="1079499"/>
          <a:ext cx="9921875" cy="55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841375</xdr:colOff>
      <xdr:row>1</xdr:row>
      <xdr:rowOff>111125</xdr:rowOff>
    </xdr:from>
    <xdr:to>
      <xdr:col>10</xdr:col>
      <xdr:colOff>60325</xdr:colOff>
      <xdr:row>4</xdr:row>
      <xdr:rowOff>34925</xdr:rowOff>
    </xdr:to>
    <xdr:pic>
      <xdr:nvPicPr>
        <xdr:cNvPr id="8" name="Imagen 2">
          <a:extLst>
            <a:ext uri="{FF2B5EF4-FFF2-40B4-BE49-F238E27FC236}">
              <a16:creationId xmlns:a16="http://schemas.microsoft.com/office/drawing/2014/main" id="{00000000-0008-0000-0C00-000008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00" y="269875"/>
          <a:ext cx="231457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47625</xdr:colOff>
      <xdr:row>1</xdr:row>
      <xdr:rowOff>142875</xdr:rowOff>
    </xdr:from>
    <xdr:to>
      <xdr:col>2</xdr:col>
      <xdr:colOff>0</xdr:colOff>
      <xdr:row>3</xdr:row>
      <xdr:rowOff>120650</xdr:rowOff>
    </xdr:to>
    <xdr:pic>
      <xdr:nvPicPr>
        <xdr:cNvPr id="9" name="Imagen 3">
          <a:extLst>
            <a:ext uri="{FF2B5EF4-FFF2-40B4-BE49-F238E27FC236}">
              <a16:creationId xmlns:a16="http://schemas.microsoft.com/office/drawing/2014/main" id="{00000000-0008-0000-0C00-000009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98500" y="301625"/>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773205</xdr:colOff>
      <xdr:row>1</xdr:row>
      <xdr:rowOff>112058</xdr:rowOff>
    </xdr:from>
    <xdr:to>
      <xdr:col>9</xdr:col>
      <xdr:colOff>1061383</xdr:colOff>
      <xdr:row>4</xdr:row>
      <xdr:rowOff>23158</xdr:rowOff>
    </xdr:to>
    <xdr:pic>
      <xdr:nvPicPr>
        <xdr:cNvPr id="5" name="Imagen 2">
          <a:extLst>
            <a:ext uri="{FF2B5EF4-FFF2-40B4-BE49-F238E27FC236}">
              <a16:creationId xmlns:a16="http://schemas.microsoft.com/office/drawing/2014/main" id="{00000000-0008-0000-0D00-000005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72617" y="268940"/>
          <a:ext cx="2308972" cy="5395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xdr:row>
      <xdr:rowOff>100851</xdr:rowOff>
    </xdr:from>
    <xdr:to>
      <xdr:col>9</xdr:col>
      <xdr:colOff>1127125</xdr:colOff>
      <xdr:row>5</xdr:row>
      <xdr:rowOff>146570</xdr:rowOff>
    </xdr:to>
    <xdr:pic>
      <xdr:nvPicPr>
        <xdr:cNvPr id="6" name="Imagen 5" descr="linea">
          <a:extLst>
            <a:ext uri="{FF2B5EF4-FFF2-40B4-BE49-F238E27FC236}">
              <a16:creationId xmlns:a16="http://schemas.microsoft.com/office/drawing/2014/main" id="{00000000-0008-0000-0D00-000006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0" y="1085101"/>
          <a:ext cx="10033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63500</xdr:colOff>
      <xdr:row>1</xdr:row>
      <xdr:rowOff>142875</xdr:rowOff>
    </xdr:from>
    <xdr:to>
      <xdr:col>2</xdr:col>
      <xdr:colOff>111125</xdr:colOff>
      <xdr:row>3</xdr:row>
      <xdr:rowOff>158750</xdr:rowOff>
    </xdr:to>
    <xdr:pic>
      <xdr:nvPicPr>
        <xdr:cNvPr id="7" name="Imagen 6">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5500" y="301625"/>
          <a:ext cx="10477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5</xdr:row>
      <xdr:rowOff>78442</xdr:rowOff>
    </xdr:from>
    <xdr:to>
      <xdr:col>9</xdr:col>
      <xdr:colOff>997323</xdr:colOff>
      <xdr:row>5</xdr:row>
      <xdr:rowOff>124161</xdr:rowOff>
    </xdr:to>
    <xdr:pic>
      <xdr:nvPicPr>
        <xdr:cNvPr id="6" name="Imagen 5" descr="linea">
          <a:extLst>
            <a:ext uri="{FF2B5EF4-FFF2-40B4-BE49-F238E27FC236}">
              <a16:creationId xmlns:a16="http://schemas.microsoft.com/office/drawing/2014/main" id="{00000000-0008-0000-0E00-000006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V="1">
          <a:off x="0" y="963707"/>
          <a:ext cx="951379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728381</xdr:colOff>
      <xdr:row>1</xdr:row>
      <xdr:rowOff>78441</xdr:rowOff>
    </xdr:from>
    <xdr:to>
      <xdr:col>9</xdr:col>
      <xdr:colOff>1015625</xdr:colOff>
      <xdr:row>3</xdr:row>
      <xdr:rowOff>182842</xdr:rowOff>
    </xdr:to>
    <xdr:pic>
      <xdr:nvPicPr>
        <xdr:cNvPr id="8" name="Imagen 2">
          <a:extLst>
            <a:ext uri="{FF2B5EF4-FFF2-40B4-BE49-F238E27FC236}">
              <a16:creationId xmlns:a16="http://schemas.microsoft.com/office/drawing/2014/main" id="{00000000-0008-0000-0E00-000008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6734" y="235323"/>
          <a:ext cx="2304303" cy="53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11205</xdr:colOff>
      <xdr:row>1</xdr:row>
      <xdr:rowOff>112059</xdr:rowOff>
    </xdr:from>
    <xdr:to>
      <xdr:col>1</xdr:col>
      <xdr:colOff>963705</xdr:colOff>
      <xdr:row>3</xdr:row>
      <xdr:rowOff>76760</xdr:rowOff>
    </xdr:to>
    <xdr:pic>
      <xdr:nvPicPr>
        <xdr:cNvPr id="9" name="Imagen 3">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1146" y="268941"/>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472965</xdr:colOff>
      <xdr:row>1</xdr:row>
      <xdr:rowOff>99629</xdr:rowOff>
    </xdr:from>
    <xdr:to>
      <xdr:col>10</xdr:col>
      <xdr:colOff>713260</xdr:colOff>
      <xdr:row>4</xdr:row>
      <xdr:rowOff>1456</xdr:rowOff>
    </xdr:to>
    <xdr:pic>
      <xdr:nvPicPr>
        <xdr:cNvPr id="5" name="Imagen 2">
          <a:extLst>
            <a:ext uri="{FF2B5EF4-FFF2-40B4-BE49-F238E27FC236}">
              <a16:creationId xmlns:a16="http://schemas.microsoft.com/office/drawing/2014/main" id="{00000000-0008-0000-0F00-000005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5840" y="258379"/>
          <a:ext cx="2319920" cy="520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xdr:row>
      <xdr:rowOff>79374</xdr:rowOff>
    </xdr:from>
    <xdr:to>
      <xdr:col>11</xdr:col>
      <xdr:colOff>63500</xdr:colOff>
      <xdr:row>5</xdr:row>
      <xdr:rowOff>144251</xdr:rowOff>
    </xdr:to>
    <xdr:pic>
      <xdr:nvPicPr>
        <xdr:cNvPr id="7" name="Imagen 6" descr="linea">
          <a:extLst>
            <a:ext uri="{FF2B5EF4-FFF2-40B4-BE49-F238E27FC236}">
              <a16:creationId xmlns:a16="http://schemas.microsoft.com/office/drawing/2014/main" id="{00000000-0008-0000-0F00-000007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0" y="1063624"/>
          <a:ext cx="10572750" cy="6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127000</xdr:colOff>
      <xdr:row>1</xdr:row>
      <xdr:rowOff>142875</xdr:rowOff>
    </xdr:from>
    <xdr:to>
      <xdr:col>1</xdr:col>
      <xdr:colOff>1079500</xdr:colOff>
      <xdr:row>3</xdr:row>
      <xdr:rowOff>120650</xdr:rowOff>
    </xdr:to>
    <xdr:pic>
      <xdr:nvPicPr>
        <xdr:cNvPr id="8" name="Imagen 3">
          <a:extLst>
            <a:ext uri="{FF2B5EF4-FFF2-40B4-BE49-F238E27FC236}">
              <a16:creationId xmlns:a16="http://schemas.microsoft.com/office/drawing/2014/main" id="{00000000-0008-0000-0F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09625" y="301625"/>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531929</xdr:colOff>
      <xdr:row>1</xdr:row>
      <xdr:rowOff>104164</xdr:rowOff>
    </xdr:from>
    <xdr:to>
      <xdr:col>10</xdr:col>
      <xdr:colOff>797171</xdr:colOff>
      <xdr:row>4</xdr:row>
      <xdr:rowOff>28216</xdr:rowOff>
    </xdr:to>
    <xdr:pic>
      <xdr:nvPicPr>
        <xdr:cNvPr id="2" name="Imagen 2">
          <a:extLst>
            <a:ext uri="{FF2B5EF4-FFF2-40B4-BE49-F238E27FC236}">
              <a16:creationId xmlns:a16="http://schemas.microsoft.com/office/drawing/2014/main" id="{00000000-0008-0000-10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28822" y="253843"/>
          <a:ext cx="2319920" cy="5363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xdr:row>
      <xdr:rowOff>98533</xdr:rowOff>
    </xdr:from>
    <xdr:to>
      <xdr:col>11</xdr:col>
      <xdr:colOff>0</xdr:colOff>
      <xdr:row>5</xdr:row>
      <xdr:rowOff>144252</xdr:rowOff>
    </xdr:to>
    <xdr:pic>
      <xdr:nvPicPr>
        <xdr:cNvPr id="4" name="Imagen 3" descr="linea">
          <a:extLst>
            <a:ext uri="{FF2B5EF4-FFF2-40B4-BE49-F238E27FC236}">
              <a16:creationId xmlns:a16="http://schemas.microsoft.com/office/drawing/2014/main" id="{00000000-0008-0000-1000-000004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0" y="984358"/>
          <a:ext cx="964641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27214</xdr:colOff>
      <xdr:row>1</xdr:row>
      <xdr:rowOff>136071</xdr:rowOff>
    </xdr:from>
    <xdr:to>
      <xdr:col>1</xdr:col>
      <xdr:colOff>979714</xdr:colOff>
      <xdr:row>3</xdr:row>
      <xdr:rowOff>118382</xdr:rowOff>
    </xdr:to>
    <xdr:pic>
      <xdr:nvPicPr>
        <xdr:cNvPr id="5" name="Imagen 3">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25928" y="285750"/>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439026</xdr:colOff>
      <xdr:row>1</xdr:row>
      <xdr:rowOff>159845</xdr:rowOff>
    </xdr:from>
    <xdr:to>
      <xdr:col>10</xdr:col>
      <xdr:colOff>31215</xdr:colOff>
      <xdr:row>4</xdr:row>
      <xdr:rowOff>61672</xdr:rowOff>
    </xdr:to>
    <xdr:pic>
      <xdr:nvPicPr>
        <xdr:cNvPr id="5" name="Imagen 2">
          <a:extLst>
            <a:ext uri="{FF2B5EF4-FFF2-40B4-BE49-F238E27FC236}">
              <a16:creationId xmlns:a16="http://schemas.microsoft.com/office/drawing/2014/main" id="{00000000-0008-0000-1100-000005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62151" y="318595"/>
          <a:ext cx="2290939" cy="520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xdr:row>
      <xdr:rowOff>120430</xdr:rowOff>
    </xdr:from>
    <xdr:to>
      <xdr:col>10</xdr:col>
      <xdr:colOff>56030</xdr:colOff>
      <xdr:row>5</xdr:row>
      <xdr:rowOff>168088</xdr:rowOff>
    </xdr:to>
    <xdr:pic>
      <xdr:nvPicPr>
        <xdr:cNvPr id="7" name="Imagen 6" descr="linea">
          <a:extLst>
            <a:ext uri="{FF2B5EF4-FFF2-40B4-BE49-F238E27FC236}">
              <a16:creationId xmlns:a16="http://schemas.microsoft.com/office/drawing/2014/main" id="{00000000-0008-0000-1100-000007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0" y="1005695"/>
          <a:ext cx="7855324" cy="47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47625</xdr:colOff>
      <xdr:row>1</xdr:row>
      <xdr:rowOff>190500</xdr:rowOff>
    </xdr:from>
    <xdr:to>
      <xdr:col>1</xdr:col>
      <xdr:colOff>1000125</xdr:colOff>
      <xdr:row>3</xdr:row>
      <xdr:rowOff>168275</xdr:rowOff>
    </xdr:to>
    <xdr:pic>
      <xdr:nvPicPr>
        <xdr:cNvPr id="8" name="Imagen 3">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000" y="349250"/>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655254</xdr:colOff>
      <xdr:row>1</xdr:row>
      <xdr:rowOff>93607</xdr:rowOff>
    </xdr:from>
    <xdr:to>
      <xdr:col>11</xdr:col>
      <xdr:colOff>29476</xdr:colOff>
      <xdr:row>3</xdr:row>
      <xdr:rowOff>192536</xdr:rowOff>
    </xdr:to>
    <xdr:pic>
      <xdr:nvPicPr>
        <xdr:cNvPr id="5" name="Imagen 2">
          <a:extLst>
            <a:ext uri="{FF2B5EF4-FFF2-40B4-BE49-F238E27FC236}">
              <a16:creationId xmlns:a16="http://schemas.microsoft.com/office/drawing/2014/main" id="{00000000-0008-0000-1200-000005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7004" y="252357"/>
          <a:ext cx="2295222" cy="511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32845</xdr:colOff>
      <xdr:row>5</xdr:row>
      <xdr:rowOff>98532</xdr:rowOff>
    </xdr:from>
    <xdr:to>
      <xdr:col>11</xdr:col>
      <xdr:colOff>0</xdr:colOff>
      <xdr:row>5</xdr:row>
      <xdr:rowOff>143749</xdr:rowOff>
    </xdr:to>
    <xdr:pic>
      <xdr:nvPicPr>
        <xdr:cNvPr id="7" name="Imagen 6" descr="linea">
          <a:extLst>
            <a:ext uri="{FF2B5EF4-FFF2-40B4-BE49-F238E27FC236}">
              <a16:creationId xmlns:a16="http://schemas.microsoft.com/office/drawing/2014/main" id="{00000000-0008-0000-1200-000007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32845" y="996291"/>
          <a:ext cx="7740431" cy="45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47625</xdr:colOff>
      <xdr:row>1</xdr:row>
      <xdr:rowOff>190500</xdr:rowOff>
    </xdr:from>
    <xdr:to>
      <xdr:col>1</xdr:col>
      <xdr:colOff>1000125</xdr:colOff>
      <xdr:row>3</xdr:row>
      <xdr:rowOff>168275</xdr:rowOff>
    </xdr:to>
    <xdr:pic>
      <xdr:nvPicPr>
        <xdr:cNvPr id="8" name="Imagen 3">
          <a:extLst>
            <a:ext uri="{FF2B5EF4-FFF2-40B4-BE49-F238E27FC236}">
              <a16:creationId xmlns:a16="http://schemas.microsoft.com/office/drawing/2014/main" id="{00000000-0008-0000-12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6125" y="349250"/>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5</xdr:row>
      <xdr:rowOff>60112</xdr:rowOff>
    </xdr:from>
    <xdr:to>
      <xdr:col>5</xdr:col>
      <xdr:colOff>762000</xdr:colOff>
      <xdr:row>5</xdr:row>
      <xdr:rowOff>105831</xdr:rowOff>
    </xdr:to>
    <xdr:pic>
      <xdr:nvPicPr>
        <xdr:cNvPr id="2" name="Imagen 1" descr="linea">
          <a:extLst>
            <a:ext uri="{FF2B5EF4-FFF2-40B4-BE49-F238E27FC236}">
              <a16:creationId xmlns:a16="http://schemas.microsoft.com/office/drawing/2014/main" id="{981D16C0-7B6A-4440-AFE7-290B90A2D4D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V="1">
          <a:off x="0" y="1044362"/>
          <a:ext cx="51593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571500</xdr:colOff>
      <xdr:row>1</xdr:row>
      <xdr:rowOff>107950</xdr:rowOff>
    </xdr:from>
    <xdr:to>
      <xdr:col>5</xdr:col>
      <xdr:colOff>738365</xdr:colOff>
      <xdr:row>4</xdr:row>
      <xdr:rowOff>32204</xdr:rowOff>
    </xdr:to>
    <xdr:pic>
      <xdr:nvPicPr>
        <xdr:cNvPr id="3" name="Imagen 2">
          <a:extLst>
            <a:ext uri="{FF2B5EF4-FFF2-40B4-BE49-F238E27FC236}">
              <a16:creationId xmlns:a16="http://schemas.microsoft.com/office/drawing/2014/main" id="{5D5F2712-582F-C040-84FC-1C695FE37281}"/>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44750" y="266700"/>
          <a:ext cx="2690990" cy="5433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28575</xdr:colOff>
      <xdr:row>1</xdr:row>
      <xdr:rowOff>126207</xdr:rowOff>
    </xdr:from>
    <xdr:to>
      <xdr:col>1</xdr:col>
      <xdr:colOff>1088799</xdr:colOff>
      <xdr:row>3</xdr:row>
      <xdr:rowOff>142876</xdr:rowOff>
    </xdr:to>
    <xdr:pic>
      <xdr:nvPicPr>
        <xdr:cNvPr id="4" name="Imagen 3">
          <a:extLst>
            <a:ext uri="{FF2B5EF4-FFF2-40B4-BE49-F238E27FC236}">
              <a16:creationId xmlns:a16="http://schemas.microsoft.com/office/drawing/2014/main" id="{A4455CC6-0E66-E24D-AC5B-5EBEA2EF1C7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88975" y="278607"/>
          <a:ext cx="1060224" cy="4230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532790</xdr:colOff>
      <xdr:row>1</xdr:row>
      <xdr:rowOff>134429</xdr:rowOff>
    </xdr:from>
    <xdr:to>
      <xdr:col>8</xdr:col>
      <xdr:colOff>27776</xdr:colOff>
      <xdr:row>4</xdr:row>
      <xdr:rowOff>29251</xdr:rowOff>
    </xdr:to>
    <xdr:pic>
      <xdr:nvPicPr>
        <xdr:cNvPr id="2" name="Imagen 2">
          <a:extLst>
            <a:ext uri="{FF2B5EF4-FFF2-40B4-BE49-F238E27FC236}">
              <a16:creationId xmlns:a16="http://schemas.microsoft.com/office/drawing/2014/main" id="{00000000-0008-0000-13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76290" y="284108"/>
          <a:ext cx="2284450" cy="5071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32845</xdr:colOff>
      <xdr:row>5</xdr:row>
      <xdr:rowOff>98532</xdr:rowOff>
    </xdr:from>
    <xdr:to>
      <xdr:col>8</xdr:col>
      <xdr:colOff>0</xdr:colOff>
      <xdr:row>5</xdr:row>
      <xdr:rowOff>143749</xdr:rowOff>
    </xdr:to>
    <xdr:pic>
      <xdr:nvPicPr>
        <xdr:cNvPr id="3" name="Imagen 2" descr="linea">
          <a:extLst>
            <a:ext uri="{FF2B5EF4-FFF2-40B4-BE49-F238E27FC236}">
              <a16:creationId xmlns:a16="http://schemas.microsoft.com/office/drawing/2014/main" id="{00000000-0008-0000-1300-000003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32845" y="1089132"/>
          <a:ext cx="10539905" cy="45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47625</xdr:colOff>
      <xdr:row>1</xdr:row>
      <xdr:rowOff>190500</xdr:rowOff>
    </xdr:from>
    <xdr:to>
      <xdr:col>1</xdr:col>
      <xdr:colOff>1000125</xdr:colOff>
      <xdr:row>3</xdr:row>
      <xdr:rowOff>168275</xdr:rowOff>
    </xdr:to>
    <xdr:pic>
      <xdr:nvPicPr>
        <xdr:cNvPr id="4" name="Imagen 3">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2475" y="342900"/>
          <a:ext cx="952500" cy="39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192264</xdr:colOff>
      <xdr:row>1</xdr:row>
      <xdr:rowOff>66055</xdr:rowOff>
    </xdr:from>
    <xdr:to>
      <xdr:col>6</xdr:col>
      <xdr:colOff>3322</xdr:colOff>
      <xdr:row>3</xdr:row>
      <xdr:rowOff>156165</xdr:rowOff>
    </xdr:to>
    <xdr:pic>
      <xdr:nvPicPr>
        <xdr:cNvPr id="4" name="Imagen 2">
          <a:extLst>
            <a:ext uri="{FF2B5EF4-FFF2-40B4-BE49-F238E27FC236}">
              <a16:creationId xmlns:a16="http://schemas.microsoft.com/office/drawing/2014/main" id="{00000000-0008-0000-1400-000004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4042" y="221277"/>
          <a:ext cx="2633280" cy="485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xdr:colOff>
      <xdr:row>5</xdr:row>
      <xdr:rowOff>79374</xdr:rowOff>
    </xdr:from>
    <xdr:to>
      <xdr:col>6</xdr:col>
      <xdr:colOff>0</xdr:colOff>
      <xdr:row>5</xdr:row>
      <xdr:rowOff>141112</xdr:rowOff>
    </xdr:to>
    <xdr:pic>
      <xdr:nvPicPr>
        <xdr:cNvPr id="6" name="Imagen 5" descr="linea">
          <a:extLst>
            <a:ext uri="{FF2B5EF4-FFF2-40B4-BE49-F238E27FC236}">
              <a16:creationId xmlns:a16="http://schemas.microsoft.com/office/drawing/2014/main" id="{00000000-0008-0000-1400-000006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1" y="1024818"/>
          <a:ext cx="7873999" cy="61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15875</xdr:colOff>
      <xdr:row>1</xdr:row>
      <xdr:rowOff>158750</xdr:rowOff>
    </xdr:from>
    <xdr:to>
      <xdr:col>1</xdr:col>
      <xdr:colOff>968375</xdr:colOff>
      <xdr:row>3</xdr:row>
      <xdr:rowOff>136525</xdr:rowOff>
    </xdr:to>
    <xdr:pic>
      <xdr:nvPicPr>
        <xdr:cNvPr id="7" name="Imagen 3">
          <a:extLst>
            <a:ext uri="{FF2B5EF4-FFF2-40B4-BE49-F238E27FC236}">
              <a16:creationId xmlns:a16="http://schemas.microsoft.com/office/drawing/2014/main" id="{00000000-0008-0000-14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0875" y="317500"/>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5</xdr:row>
      <xdr:rowOff>42333</xdr:rowOff>
    </xdr:from>
    <xdr:to>
      <xdr:col>6</xdr:col>
      <xdr:colOff>0</xdr:colOff>
      <xdr:row>5</xdr:row>
      <xdr:rowOff>105832</xdr:rowOff>
    </xdr:to>
    <xdr:pic>
      <xdr:nvPicPr>
        <xdr:cNvPr id="4" name="Imagen 3" descr="linea">
          <a:extLst>
            <a:ext uri="{FF2B5EF4-FFF2-40B4-BE49-F238E27FC236}">
              <a16:creationId xmlns:a16="http://schemas.microsoft.com/office/drawing/2014/main" id="{00000000-0008-0000-1500-000004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V="1">
          <a:off x="0" y="937683"/>
          <a:ext cx="5219700" cy="6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355600</xdr:colOff>
      <xdr:row>1</xdr:row>
      <xdr:rowOff>76200</xdr:rowOff>
    </xdr:from>
    <xdr:to>
      <xdr:col>5</xdr:col>
      <xdr:colOff>958710</xdr:colOff>
      <xdr:row>4</xdr:row>
      <xdr:rowOff>454</xdr:rowOff>
    </xdr:to>
    <xdr:pic>
      <xdr:nvPicPr>
        <xdr:cNvPr id="5" name="Imagen 2">
          <a:extLst>
            <a:ext uri="{FF2B5EF4-FFF2-40B4-BE49-F238E27FC236}">
              <a16:creationId xmlns:a16="http://schemas.microsoft.com/office/drawing/2014/main" id="{00000000-0008-0000-1500-000005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13100" y="234950"/>
          <a:ext cx="2690990" cy="5433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28575</xdr:colOff>
      <xdr:row>1</xdr:row>
      <xdr:rowOff>126207</xdr:rowOff>
    </xdr:from>
    <xdr:to>
      <xdr:col>1</xdr:col>
      <xdr:colOff>1088799</xdr:colOff>
      <xdr:row>3</xdr:row>
      <xdr:rowOff>142876</xdr:rowOff>
    </xdr:to>
    <xdr:pic>
      <xdr:nvPicPr>
        <xdr:cNvPr id="6" name="Imagen 3">
          <a:extLst>
            <a:ext uri="{FF2B5EF4-FFF2-40B4-BE49-F238E27FC236}">
              <a16:creationId xmlns:a16="http://schemas.microsoft.com/office/drawing/2014/main" id="{00000000-0008-0000-15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11981" y="280988"/>
          <a:ext cx="1060224" cy="4452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84667</xdr:colOff>
      <xdr:row>1</xdr:row>
      <xdr:rowOff>74084</xdr:rowOff>
    </xdr:from>
    <xdr:to>
      <xdr:col>5</xdr:col>
      <xdr:colOff>51008</xdr:colOff>
      <xdr:row>3</xdr:row>
      <xdr:rowOff>181042</xdr:rowOff>
    </xdr:to>
    <xdr:pic>
      <xdr:nvPicPr>
        <xdr:cNvPr id="4" name="Imagen 2">
          <a:extLst>
            <a:ext uri="{FF2B5EF4-FFF2-40B4-BE49-F238E27FC236}">
              <a16:creationId xmlns:a16="http://schemas.microsoft.com/office/drawing/2014/main" id="{00000000-0008-0000-1600-000004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84500" y="222251"/>
          <a:ext cx="2294675" cy="530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xdr:row>
      <xdr:rowOff>42333</xdr:rowOff>
    </xdr:from>
    <xdr:to>
      <xdr:col>5</xdr:col>
      <xdr:colOff>0</xdr:colOff>
      <xdr:row>5</xdr:row>
      <xdr:rowOff>105832</xdr:rowOff>
    </xdr:to>
    <xdr:pic>
      <xdr:nvPicPr>
        <xdr:cNvPr id="6" name="Imagen 5" descr="linea">
          <a:extLst>
            <a:ext uri="{FF2B5EF4-FFF2-40B4-BE49-F238E27FC236}">
              <a16:creationId xmlns:a16="http://schemas.microsoft.com/office/drawing/2014/main" id="{00000000-0008-0000-1600-000006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0" y="931333"/>
          <a:ext cx="5228167" cy="6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31750</xdr:colOff>
      <xdr:row>1</xdr:row>
      <xdr:rowOff>84666</xdr:rowOff>
    </xdr:from>
    <xdr:to>
      <xdr:col>1</xdr:col>
      <xdr:colOff>984250</xdr:colOff>
      <xdr:row>3</xdr:row>
      <xdr:rowOff>51858</xdr:rowOff>
    </xdr:to>
    <xdr:pic>
      <xdr:nvPicPr>
        <xdr:cNvPr id="7" name="Imagen 3">
          <a:extLst>
            <a:ext uri="{FF2B5EF4-FFF2-40B4-BE49-F238E27FC236}">
              <a16:creationId xmlns:a16="http://schemas.microsoft.com/office/drawing/2014/main" id="{00000000-0008-0000-16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9750" y="232833"/>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314181</xdr:colOff>
      <xdr:row>0</xdr:row>
      <xdr:rowOff>146611</xdr:rowOff>
    </xdr:from>
    <xdr:to>
      <xdr:col>6</xdr:col>
      <xdr:colOff>789065</xdr:colOff>
      <xdr:row>4</xdr:row>
      <xdr:rowOff>26376</xdr:rowOff>
    </xdr:to>
    <xdr:pic>
      <xdr:nvPicPr>
        <xdr:cNvPr id="3" name="Imagen 2">
          <a:extLst>
            <a:ext uri="{FF2B5EF4-FFF2-40B4-BE49-F238E27FC236}">
              <a16:creationId xmlns:a16="http://schemas.microsoft.com/office/drawing/2014/main" id="{00000000-0008-0000-1700-000003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181" y="146611"/>
          <a:ext cx="2655333" cy="571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xdr:colOff>
      <xdr:row>5</xdr:row>
      <xdr:rowOff>66338</xdr:rowOff>
    </xdr:from>
    <xdr:to>
      <xdr:col>6</xdr:col>
      <xdr:colOff>851647</xdr:colOff>
      <xdr:row>5</xdr:row>
      <xdr:rowOff>112057</xdr:rowOff>
    </xdr:to>
    <xdr:pic>
      <xdr:nvPicPr>
        <xdr:cNvPr id="4" name="Imagen 3" descr="linea">
          <a:extLst>
            <a:ext uri="{FF2B5EF4-FFF2-40B4-BE49-F238E27FC236}">
              <a16:creationId xmlns:a16="http://schemas.microsoft.com/office/drawing/2014/main" id="{00000000-0008-0000-1700-000004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V="1">
          <a:off x="2" y="906779"/>
          <a:ext cx="5591733"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549089</xdr:colOff>
      <xdr:row>1</xdr:row>
      <xdr:rowOff>89648</xdr:rowOff>
    </xdr:from>
    <xdr:to>
      <xdr:col>2</xdr:col>
      <xdr:colOff>56030</xdr:colOff>
      <xdr:row>3</xdr:row>
      <xdr:rowOff>110379</xdr:rowOff>
    </xdr:to>
    <xdr:pic>
      <xdr:nvPicPr>
        <xdr:cNvPr id="5" name="Imagen 3">
          <a:extLst>
            <a:ext uri="{FF2B5EF4-FFF2-40B4-BE49-F238E27FC236}">
              <a16:creationId xmlns:a16="http://schemas.microsoft.com/office/drawing/2014/main" id="{00000000-0008-0000-17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49089" y="246530"/>
          <a:ext cx="9525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2</xdr:colOff>
      <xdr:row>5</xdr:row>
      <xdr:rowOff>77544</xdr:rowOff>
    </xdr:from>
    <xdr:to>
      <xdr:col>6</xdr:col>
      <xdr:colOff>1066386</xdr:colOff>
      <xdr:row>5</xdr:row>
      <xdr:rowOff>123263</xdr:rowOff>
    </xdr:to>
    <xdr:pic>
      <xdr:nvPicPr>
        <xdr:cNvPr id="4" name="Imagen 3" descr="linea">
          <a:extLst>
            <a:ext uri="{FF2B5EF4-FFF2-40B4-BE49-F238E27FC236}">
              <a16:creationId xmlns:a16="http://schemas.microsoft.com/office/drawing/2014/main" id="{00000000-0008-0000-1800-000004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V="1">
          <a:off x="2" y="905805"/>
          <a:ext cx="609806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383071</xdr:colOff>
      <xdr:row>1</xdr:row>
      <xdr:rowOff>20706</xdr:rowOff>
    </xdr:from>
    <xdr:to>
      <xdr:col>7</xdr:col>
      <xdr:colOff>18357</xdr:colOff>
      <xdr:row>4</xdr:row>
      <xdr:rowOff>45968</xdr:rowOff>
    </xdr:to>
    <xdr:pic>
      <xdr:nvPicPr>
        <xdr:cNvPr id="6" name="Imagen 2">
          <a:extLst>
            <a:ext uri="{FF2B5EF4-FFF2-40B4-BE49-F238E27FC236}">
              <a16:creationId xmlns:a16="http://schemas.microsoft.com/office/drawing/2014/main" id="{00000000-0008-0000-1800-000006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39837" y="176005"/>
          <a:ext cx="231457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452985</xdr:colOff>
      <xdr:row>1</xdr:row>
      <xdr:rowOff>62120</xdr:rowOff>
    </xdr:from>
    <xdr:to>
      <xdr:col>2</xdr:col>
      <xdr:colOff>253389</xdr:colOff>
      <xdr:row>3</xdr:row>
      <xdr:rowOff>145677</xdr:rowOff>
    </xdr:to>
    <xdr:pic>
      <xdr:nvPicPr>
        <xdr:cNvPr id="7" name="Imagen 3">
          <a:extLst>
            <a:ext uri="{FF2B5EF4-FFF2-40B4-BE49-F238E27FC236}">
              <a16:creationId xmlns:a16="http://schemas.microsoft.com/office/drawing/2014/main" id="{00000000-0008-0000-18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2985" y="219002"/>
          <a:ext cx="1077875" cy="453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Martha%20Sanchez\MUESTRA%20MENSUAL%20DE%20HOTELES\Boletin\2017\04.%20Abril\Productos\Productos%20a%20publicar\Anexos%20MMH%20Abril_201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artha%20Sanchez\MUESTRA%20MENSUAL%20DE%20HOTELES\Boletin\2017\09.%20Septiembre\Plantilla\Anexos%20MMH%20PLANTILL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ido"/>
      <sheetName val="Ingresos"/>
      <sheetName val="Personal Ocupado"/>
      <sheetName val="Ocupación hotelera"/>
      <sheetName val="Ocupación por escala de hab."/>
      <sheetName val="Motivo de viaje"/>
      <sheetName val="Motivo de viaje residentes"/>
      <sheetName val="Motivo de viaje no residentes"/>
      <sheetName val="Índices Hoteles"/>
      <sheetName val="Tarifas"/>
      <sheetName val="Coeficientes de variación"/>
    </sheetNames>
    <sheetDataSet>
      <sheetData sheetId="0"/>
      <sheetData sheetId="1">
        <row r="63">
          <cell r="A63">
            <v>2010</v>
          </cell>
        </row>
        <row r="75">
          <cell r="A75" t="str">
            <v>2011 (p)</v>
          </cell>
        </row>
        <row r="87">
          <cell r="A87" t="str">
            <v>2012 (p)</v>
          </cell>
        </row>
        <row r="99">
          <cell r="A99" t="str">
            <v>2013 (p)</v>
          </cell>
        </row>
        <row r="111">
          <cell r="A111" t="str">
            <v>2014 (p)</v>
          </cell>
        </row>
        <row r="123">
          <cell r="A123" t="str">
            <v>2015 (p)</v>
          </cell>
        </row>
        <row r="135">
          <cell r="A135" t="str">
            <v>2016 (p)</v>
          </cell>
        </row>
      </sheetData>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Contenido"/>
      <sheetName val="Tabls Carta Presi"/>
      <sheetName val="Ingresos"/>
      <sheetName val="Personal Ocupado"/>
      <sheetName val="Ocupación hotelera"/>
      <sheetName val="Motivo de viaje"/>
      <sheetName val="Motivo de viaje residentes"/>
      <sheetName val="Motivo de viaje no residentes"/>
      <sheetName val="Índices Hoteles"/>
      <sheetName val="Tarifas"/>
      <sheetName val="Coeficientes de variación"/>
    </sheetNames>
    <sheetDataSet>
      <sheetData sheetId="0">
        <row r="1">
          <cell r="H1" t="str">
            <v>Enero</v>
          </cell>
          <cell r="I1" t="str">
            <v>Ene</v>
          </cell>
        </row>
        <row r="2">
          <cell r="H2" t="str">
            <v>Febrero</v>
          </cell>
          <cell r="I2" t="str">
            <v>Feb</v>
          </cell>
        </row>
        <row r="3">
          <cell r="H3" t="str">
            <v>Marzo</v>
          </cell>
          <cell r="I3" t="str">
            <v>Mar</v>
          </cell>
        </row>
        <row r="4">
          <cell r="H4" t="str">
            <v>Abril</v>
          </cell>
          <cell r="I4" t="str">
            <v>Abr</v>
          </cell>
        </row>
        <row r="5">
          <cell r="H5" t="str">
            <v>Mayo</v>
          </cell>
          <cell r="I5" t="str">
            <v>May</v>
          </cell>
        </row>
        <row r="6">
          <cell r="H6" t="str">
            <v>Junio</v>
          </cell>
          <cell r="I6" t="str">
            <v>Jun</v>
          </cell>
        </row>
        <row r="7">
          <cell r="H7" t="str">
            <v>Julio</v>
          </cell>
          <cell r="I7" t="str">
            <v>Jul</v>
          </cell>
        </row>
        <row r="8">
          <cell r="H8" t="str">
            <v>Agosto</v>
          </cell>
          <cell r="I8" t="str">
            <v>Ago</v>
          </cell>
        </row>
        <row r="9">
          <cell r="H9" t="str">
            <v>Septiembre</v>
          </cell>
          <cell r="I9" t="str">
            <v>Sep</v>
          </cell>
        </row>
        <row r="10">
          <cell r="H10" t="str">
            <v>Octubre</v>
          </cell>
          <cell r="I10" t="str">
            <v>Oct</v>
          </cell>
        </row>
        <row r="11">
          <cell r="H11" t="str">
            <v>Noviembre</v>
          </cell>
          <cell r="I11" t="str">
            <v>Nov</v>
          </cell>
        </row>
        <row r="12">
          <cell r="H12" t="str">
            <v>Diciembre</v>
          </cell>
          <cell r="I12" t="str">
            <v>Dic</v>
          </cell>
        </row>
      </sheetData>
      <sheetData sheetId="1"/>
      <sheetData sheetId="2" refreshError="1"/>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F48"/>
  <sheetViews>
    <sheetView showGridLines="0" tabSelected="1" zoomScale="90" zoomScaleNormal="90" workbookViewId="0">
      <selection activeCell="A3" sqref="A3:A4"/>
    </sheetView>
  </sheetViews>
  <sheetFormatPr baseColWidth="10" defaultColWidth="11.42578125" defaultRowHeight="12" x14ac:dyDescent="0.2"/>
  <cols>
    <col min="1" max="1" width="109.42578125" style="75" customWidth="1"/>
    <col min="2" max="6" width="13.140625" style="75" customWidth="1"/>
    <col min="7" max="56" width="13.140625" style="3" customWidth="1"/>
    <col min="57" max="16384" width="11.42578125" style="3"/>
  </cols>
  <sheetData>
    <row r="1" spans="1:1" ht="36" customHeight="1" x14ac:dyDescent="0.2"/>
    <row r="2" spans="1:1" ht="36" customHeight="1" x14ac:dyDescent="0.2"/>
    <row r="3" spans="1:1" x14ac:dyDescent="0.2">
      <c r="A3" s="418" t="s">
        <v>4</v>
      </c>
    </row>
    <row r="4" spans="1:1" ht="18.75" customHeight="1" x14ac:dyDescent="0.2">
      <c r="A4" s="418"/>
    </row>
    <row r="5" spans="1:1" ht="6" customHeight="1" x14ac:dyDescent="0.2">
      <c r="A5" s="417" t="s">
        <v>39</v>
      </c>
    </row>
    <row r="6" spans="1:1" ht="21" customHeight="1" x14ac:dyDescent="0.2">
      <c r="A6" s="417"/>
    </row>
    <row r="7" spans="1:1" ht="6" customHeight="1" x14ac:dyDescent="0.2">
      <c r="A7" s="417"/>
    </row>
    <row r="8" spans="1:1" ht="17.25" customHeight="1" x14ac:dyDescent="0.2">
      <c r="A8" s="76" t="str">
        <f>'1.1 V.A Ing.real'!A10:O10</f>
        <v xml:space="preserve">1.1 Variaciones anuales de los ingresos reales 
</v>
      </c>
    </row>
    <row r="9" spans="1:1" ht="17.25" customHeight="1" x14ac:dyDescent="0.2">
      <c r="A9" s="76" t="str">
        <f>'1.2 V.A.C Ing.real'!A10:O10</f>
        <v xml:space="preserve">1.2 Variaciones año corrido de los ingresos reales </v>
      </c>
    </row>
    <row r="10" spans="1:1" ht="17.25" customHeight="1" x14ac:dyDescent="0.2">
      <c r="A10" s="76" t="s">
        <v>125</v>
      </c>
    </row>
    <row r="11" spans="1:1" ht="17.25" customHeight="1" x14ac:dyDescent="0.2">
      <c r="A11" s="76" t="str">
        <f>'2.1 V.A Per.categ'!A10:N10</f>
        <v>2.1 Variaciones anuales del personal total y por categoría</v>
      </c>
    </row>
    <row r="12" spans="1:1" ht="17.25" customHeight="1" x14ac:dyDescent="0.2">
      <c r="A12" s="76" t="str">
        <f>'2.2 V.A.C Per.categ'!A10:N10</f>
        <v>2.2 Variaciones año corrido del personal total y por categoría</v>
      </c>
    </row>
    <row r="13" spans="1:1" ht="17.25" customHeight="1" x14ac:dyDescent="0.2">
      <c r="A13" s="76" t="s">
        <v>126</v>
      </c>
    </row>
    <row r="14" spans="1:1" ht="17.25" customHeight="1" x14ac:dyDescent="0.2">
      <c r="A14" s="76" t="s">
        <v>117</v>
      </c>
    </row>
    <row r="15" spans="1:1" ht="17.25" customHeight="1" x14ac:dyDescent="0.2">
      <c r="A15" s="76" t="s">
        <v>118</v>
      </c>
    </row>
    <row r="16" spans="1:1" ht="17.25" customHeight="1" x14ac:dyDescent="0.2">
      <c r="A16" s="76" t="s">
        <v>127</v>
      </c>
    </row>
    <row r="17" spans="1:1" ht="17.25" customHeight="1" x14ac:dyDescent="0.2">
      <c r="A17" s="76" t="s">
        <v>157</v>
      </c>
    </row>
    <row r="18" spans="1:1" ht="16.5" customHeight="1" x14ac:dyDescent="0.2">
      <c r="A18" s="76" t="s">
        <v>138</v>
      </c>
    </row>
    <row r="19" spans="1:1" ht="16.5" customHeight="1" x14ac:dyDescent="0.2">
      <c r="A19" s="76" t="s">
        <v>139</v>
      </c>
    </row>
    <row r="20" spans="1:1" ht="16.5" customHeight="1" x14ac:dyDescent="0.2">
      <c r="A20" s="76" t="s">
        <v>140</v>
      </c>
    </row>
    <row r="21" spans="1:1" ht="16.5" customHeight="1" x14ac:dyDescent="0.2">
      <c r="A21" s="76" t="s">
        <v>150</v>
      </c>
    </row>
    <row r="22" spans="1:1" ht="16.5" customHeight="1" x14ac:dyDescent="0.2">
      <c r="A22" s="76" t="s">
        <v>151</v>
      </c>
    </row>
    <row r="23" spans="1:1" ht="16.5" customHeight="1" x14ac:dyDescent="0.2">
      <c r="A23" s="76" t="s">
        <v>152</v>
      </c>
    </row>
    <row r="24" spans="1:1" ht="16.5" customHeight="1" x14ac:dyDescent="0.2">
      <c r="A24" s="76" t="str">
        <f>'6.3 Porc Mens Motivo.viaje.R'!A10:W10</f>
        <v>6.3 Distribución porcentual de los motivos de viaje huéspedes residentes, mensual</v>
      </c>
    </row>
    <row r="25" spans="1:1" ht="16.5" customHeight="1" x14ac:dyDescent="0.2">
      <c r="A25" s="76" t="str">
        <f>'6.4 Porc Mens Motivo.viaje.NR'!A10:W10</f>
        <v>6.4 Distribución porcentual de los motivos de viaje huéspedes no residentes, mensual.</v>
      </c>
    </row>
    <row r="26" spans="1:1" ht="16.5" customHeight="1" x14ac:dyDescent="0.2">
      <c r="A26" s="76" t="s">
        <v>165</v>
      </c>
    </row>
    <row r="27" spans="1:1" ht="16.5" customHeight="1" x14ac:dyDescent="0.2">
      <c r="A27" s="76" t="s">
        <v>153</v>
      </c>
    </row>
    <row r="28" spans="1:1" ht="16.5" customHeight="1" x14ac:dyDescent="0.2">
      <c r="A28" s="76" t="s">
        <v>154</v>
      </c>
    </row>
    <row r="29" spans="1:1" ht="16.5" customHeight="1" x14ac:dyDescent="0.2">
      <c r="A29" s="76" t="s">
        <v>166</v>
      </c>
    </row>
    <row r="30" spans="1:1" ht="16.5" customHeight="1" x14ac:dyDescent="0.2">
      <c r="A30" s="76" t="s">
        <v>148</v>
      </c>
    </row>
    <row r="31" spans="1:1" ht="16.5" customHeight="1" x14ac:dyDescent="0.2">
      <c r="A31" s="76" t="s">
        <v>155</v>
      </c>
    </row>
    <row r="32" spans="1:1" ht="16.5" customHeight="1" x14ac:dyDescent="0.2">
      <c r="A32" s="76" t="s">
        <v>156</v>
      </c>
    </row>
    <row r="33" spans="1:6" ht="16.5" customHeight="1" x14ac:dyDescent="0.2">
      <c r="A33" s="310"/>
    </row>
    <row r="34" spans="1:6" ht="16.5" customHeight="1" x14ac:dyDescent="0.2">
      <c r="A34" s="77"/>
    </row>
    <row r="35" spans="1:6" ht="15.75" customHeight="1" x14ac:dyDescent="0.2">
      <c r="A35" s="78"/>
      <c r="B35" s="3"/>
      <c r="C35" s="3"/>
      <c r="D35" s="3"/>
      <c r="E35" s="3"/>
      <c r="F35" s="3"/>
    </row>
    <row r="36" spans="1:6" ht="36" customHeight="1" x14ac:dyDescent="0.2">
      <c r="A36" s="78"/>
      <c r="B36" s="3"/>
      <c r="C36" s="3"/>
      <c r="D36" s="3"/>
      <c r="E36" s="3"/>
      <c r="F36" s="3"/>
    </row>
    <row r="37" spans="1:6" ht="36" customHeight="1" x14ac:dyDescent="0.2">
      <c r="A37" s="78"/>
      <c r="B37" s="3"/>
      <c r="C37" s="3"/>
      <c r="D37" s="3"/>
      <c r="E37" s="3"/>
      <c r="F37" s="3"/>
    </row>
    <row r="38" spans="1:6" ht="36" customHeight="1" x14ac:dyDescent="0.2">
      <c r="A38" s="78"/>
      <c r="B38" s="3"/>
      <c r="C38" s="3"/>
      <c r="D38" s="3"/>
      <c r="E38" s="3"/>
      <c r="F38" s="3"/>
    </row>
    <row r="39" spans="1:6" ht="36" customHeight="1" x14ac:dyDescent="0.2">
      <c r="A39" s="78"/>
      <c r="B39" s="3"/>
      <c r="C39" s="3"/>
      <c r="D39" s="3"/>
      <c r="E39" s="3"/>
      <c r="F39" s="3"/>
    </row>
    <row r="40" spans="1:6" ht="36" customHeight="1" x14ac:dyDescent="0.2">
      <c r="A40" s="78"/>
      <c r="B40" s="3"/>
      <c r="C40" s="3"/>
      <c r="D40" s="3"/>
      <c r="E40" s="3"/>
      <c r="F40" s="3"/>
    </row>
    <row r="41" spans="1:6" x14ac:dyDescent="0.2">
      <c r="A41" s="78"/>
      <c r="B41" s="3"/>
      <c r="C41" s="3"/>
      <c r="D41" s="3"/>
      <c r="E41" s="3"/>
      <c r="F41" s="3"/>
    </row>
    <row r="42" spans="1:6" x14ac:dyDescent="0.2">
      <c r="A42" s="78"/>
      <c r="B42" s="3"/>
      <c r="C42" s="3"/>
      <c r="D42" s="3"/>
      <c r="E42" s="3"/>
      <c r="F42" s="3"/>
    </row>
    <row r="43" spans="1:6" x14ac:dyDescent="0.2">
      <c r="A43" s="78"/>
      <c r="B43" s="3"/>
      <c r="C43" s="3"/>
      <c r="D43" s="3"/>
      <c r="E43" s="3"/>
      <c r="F43" s="3"/>
    </row>
    <row r="44" spans="1:6" x14ac:dyDescent="0.2">
      <c r="B44" s="3"/>
      <c r="C44" s="3"/>
      <c r="D44" s="3"/>
      <c r="E44" s="3"/>
      <c r="F44" s="3"/>
    </row>
    <row r="45" spans="1:6" x14ac:dyDescent="0.2">
      <c r="A45" s="3"/>
    </row>
    <row r="46" spans="1:6" x14ac:dyDescent="0.2">
      <c r="A46" s="79"/>
      <c r="B46" s="3"/>
      <c r="C46" s="3"/>
      <c r="D46" s="3"/>
      <c r="E46" s="3"/>
      <c r="F46" s="3"/>
    </row>
    <row r="47" spans="1:6" x14ac:dyDescent="0.2">
      <c r="A47" s="79"/>
      <c r="B47" s="3"/>
      <c r="C47" s="3"/>
      <c r="D47" s="3"/>
      <c r="E47" s="3"/>
      <c r="F47" s="3"/>
    </row>
    <row r="48" spans="1:6" x14ac:dyDescent="0.2">
      <c r="B48" s="3"/>
      <c r="C48" s="3"/>
      <c r="D48" s="3"/>
      <c r="E48" s="3"/>
      <c r="F48" s="3"/>
    </row>
  </sheetData>
  <mergeCells count="2">
    <mergeCell ref="A5:A7"/>
    <mergeCell ref="A3:A4"/>
  </mergeCells>
  <hyperlinks>
    <hyperlink ref="A11" location="'2.1 V.A Per.categ'!A1" display="'2.1 V.A Per.categ'!A1" xr:uid="{00000000-0004-0000-0000-000000000000}"/>
    <hyperlink ref="A12" location="'2.2 V.A.C Per.Ccateg'!A1" display="'2.2 V.A.C Per.Ccateg'!A1" xr:uid="{00000000-0004-0000-0000-000001000000}"/>
    <hyperlink ref="A8" location="'1.1 V.A Ing.real'!A1" display="'1.1 V.A Ing.real'!A1" xr:uid="{00000000-0004-0000-0000-000002000000}"/>
    <hyperlink ref="A9" location="'1.2 V.A.C Ing.real'!A1" display="'1.2 V.A.C Ing.real'!A1" xr:uid="{00000000-0004-0000-0000-000003000000}"/>
    <hyperlink ref="A14" location="'3.1 V.A Salarios'!Área_de_impresión" display="3.1 Total variaciones de salarios por región" xr:uid="{00000000-0004-0000-0000-000004000000}"/>
    <hyperlink ref="A15" location="'3.2 V.A.C Salarios'!Área_de_impresión" display="3.2 Total variaciones salarios año corrido " xr:uid="{00000000-0004-0000-0000-000005000000}"/>
    <hyperlink ref="A10" location="'1.3 V.12Meses Ing.real'!Área_de_impresión" display="1.3 Variaciones 12 meses de los ingresos reales " xr:uid="{00000000-0004-0000-0000-000006000000}"/>
    <hyperlink ref="A13" location="'2.3 V.12Meses Per.Ccateg'!Área_de_impresión" display="2.3 Variaciones 12 meses del personal total y por categoría" xr:uid="{00000000-0004-0000-0000-000007000000}"/>
    <hyperlink ref="A16" location="'3.3 V.12Meses Salarios'!Área_de_impresión" display="3.3 Total variaciones salarios 12 meses" xr:uid="{00000000-0004-0000-0000-000008000000}"/>
    <hyperlink ref="A18" location="'5.1 Porc Ocupación.escala.hab'!Área_de_impresión" display="5.1 Porcentaje de ocupación  por escala de habitación" xr:uid="{00000000-0004-0000-0000-000009000000}"/>
    <hyperlink ref="A19" location="'5.2 Porc Mens Ocupación.reg'!A1" display="5.2 Porcentaje de ocupación  mensual por región" xr:uid="{00000000-0004-0000-0000-00000A000000}"/>
    <hyperlink ref="A20" location="'5.3 Porc A.C Ocupación.reg'!A1" display="5.3 Porcentaje de ocupación año corrido* por región" xr:uid="{00000000-0004-0000-0000-00000B000000}"/>
    <hyperlink ref="A21" location="'5.4 Porc 12.meses Ocupación.reg'!A1" display="5.4 Porcentaje de ocupación 12 meses" xr:uid="{00000000-0004-0000-0000-00000C000000}"/>
    <hyperlink ref="A22" location="'6.1 Porc Mens Motivo.viaje.reg'!A1" display="6.1 Distribución porcentual de los motivo de viaje total huéspedes regional mensual" xr:uid="{00000000-0004-0000-0000-00000D000000}"/>
    <hyperlink ref="A23" location="'6.2 Porc AC Motivo.viaje.reg'!Área_de_impresión" display="6.2 Distribución porcentual de los Motivo de viaje total huéspedes regional año corrido" xr:uid="{00000000-0004-0000-0000-00000E000000}"/>
    <hyperlink ref="A24" location="'6.3 Porc Mens Motivo.viaje.R'!A1" display="'6.3 Porc Mens Motivo.viaje.R'!A1" xr:uid="{00000000-0004-0000-0000-00000F000000}"/>
    <hyperlink ref="A25" location="'6.4 Porc Mens Motivo.viaje.NR'!A1" display="'6.4 Porc Mens Motivo.viaje.NR'!A1" xr:uid="{00000000-0004-0000-0000-000010000000}"/>
    <hyperlink ref="A27" location="'7.1 Ind.Var Tarifas.acomoda'!A1" display="7.1  Tarifas" xr:uid="{00000000-0004-0000-0000-000011000000}"/>
    <hyperlink ref="A28" location="'8.1 Ind.Mes oferta.demanda'!A1" display="8.1 Índices de oferta y demanda de habitaciones y camas  por región total mes." xr:uid="{00000000-0004-0000-0000-000012000000}"/>
    <hyperlink ref="A29" location="'9.1 Ind.EMA'!A1" display="9.1 Series índices de la Encuesta Mensual de Alojamiento" xr:uid="{00000000-0004-0000-0000-000013000000}"/>
    <hyperlink ref="A30" location="'9.2 Ind empalmados.MMH'!A1" display="9.2 Series índices de la Muestra Mensual de Hoteles empalmadas" xr:uid="{00000000-0004-0000-0000-000014000000}"/>
    <hyperlink ref="A31" location="'10.1 Coef.Varia.Naci'!A1" display="10.1  Coeficientes de variación estimado porcentual Total nacional" xr:uid="{00000000-0004-0000-0000-000015000000}"/>
    <hyperlink ref="A17" location="'4.1 VAR_BIENALES'!A1" display="4.1 Variaciones bienales de ingresos reales, personal ocupado y salarios" xr:uid="{00000000-0004-0000-0000-000016000000}"/>
    <hyperlink ref="A32" location="'10.2 Coef.Variación.Regi'!A1" display="10.2  Coeficientes de variación estimado porcentual Total regional" xr:uid="{00000000-0004-0000-0000-000017000000}"/>
    <hyperlink ref="A26" location="'6.5 Porc Huéspedes.EMA'!A1" display="6.5 Distribución de huéspedes residentes y no residentes" xr:uid="{00000000-0004-0000-0000-000018000000}"/>
  </hyperlinks>
  <pageMargins left="0.75" right="0.75" top="1" bottom="1" header="0.5" footer="0.5"/>
  <pageSetup scale="41"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80"/>
  <sheetViews>
    <sheetView showGridLines="0" zoomScale="80" zoomScaleNormal="80" zoomScaleSheetLayoutView="90" workbookViewId="0">
      <selection activeCell="A7" sqref="A7:G8"/>
    </sheetView>
  </sheetViews>
  <sheetFormatPr baseColWidth="10" defaultColWidth="11.42578125" defaultRowHeight="16.5" x14ac:dyDescent="0.3"/>
  <cols>
    <col min="1" max="1" width="12" style="100" customWidth="1"/>
    <col min="2" max="2" width="15" style="128" customWidth="1"/>
    <col min="3" max="3" width="26.42578125" style="128" customWidth="1"/>
    <col min="4" max="4" width="18.42578125" style="128" customWidth="1"/>
    <col min="5" max="5" width="15.42578125" style="100" customWidth="1"/>
    <col min="6" max="6" width="18" style="100" customWidth="1"/>
    <col min="7" max="9" width="12.85546875" style="100" bestFit="1" customWidth="1"/>
    <col min="10" max="10" width="14.7109375" style="100" customWidth="1"/>
    <col min="11" max="11" width="12.85546875" style="100" bestFit="1" customWidth="1"/>
    <col min="12" max="12" width="15.42578125" style="100" customWidth="1"/>
    <col min="13" max="13" width="12.85546875" style="100" bestFit="1" customWidth="1"/>
    <col min="14" max="14" width="24" style="100" customWidth="1"/>
    <col min="15" max="15" width="15.42578125" style="100" customWidth="1"/>
    <col min="16" max="16384" width="11.42578125" style="100"/>
  </cols>
  <sheetData>
    <row r="1" spans="1:15" s="83" customFormat="1" ht="12" customHeight="1" x14ac:dyDescent="0.3">
      <c r="A1" s="80"/>
      <c r="B1" s="81"/>
      <c r="C1" s="81"/>
      <c r="D1" s="81"/>
      <c r="E1" s="81"/>
      <c r="F1" s="82"/>
      <c r="G1" s="82"/>
      <c r="H1" s="82"/>
      <c r="I1" s="82"/>
      <c r="J1" s="82"/>
      <c r="K1" s="82"/>
      <c r="L1" s="82"/>
      <c r="M1" s="82"/>
      <c r="N1" s="82"/>
      <c r="O1" s="82"/>
    </row>
    <row r="2" spans="1:15" s="87" customFormat="1" x14ac:dyDescent="0.3">
      <c r="A2" s="84"/>
      <c r="B2" s="85"/>
      <c r="C2" s="85"/>
      <c r="D2" s="85"/>
      <c r="E2" s="85"/>
      <c r="F2" s="86"/>
      <c r="G2" s="86"/>
      <c r="H2" s="130"/>
      <c r="I2" s="130"/>
      <c r="J2" s="130"/>
      <c r="K2" s="130"/>
      <c r="L2" s="130"/>
      <c r="M2" s="130"/>
      <c r="N2" s="130"/>
      <c r="O2" s="130"/>
    </row>
    <row r="3" spans="1:15" s="87" customFormat="1" x14ac:dyDescent="0.3">
      <c r="A3" s="84"/>
      <c r="B3" s="85"/>
      <c r="C3" s="85"/>
      <c r="D3" s="85"/>
      <c r="E3" s="85"/>
      <c r="F3" s="86"/>
      <c r="G3" s="86"/>
      <c r="H3" s="130"/>
      <c r="I3" s="130"/>
      <c r="J3" s="130"/>
      <c r="K3" s="130"/>
      <c r="L3" s="130"/>
      <c r="M3" s="130"/>
      <c r="N3" s="130"/>
      <c r="O3" s="130"/>
    </row>
    <row r="4" spans="1:15" s="87" customFormat="1" x14ac:dyDescent="0.3">
      <c r="A4" s="84"/>
      <c r="B4" s="85"/>
      <c r="C4" s="85"/>
      <c r="D4" s="85"/>
      <c r="E4" s="85"/>
      <c r="F4" s="86"/>
      <c r="G4" s="86"/>
      <c r="H4" s="130"/>
      <c r="I4" s="130"/>
      <c r="J4" s="130"/>
      <c r="K4" s="130"/>
      <c r="L4" s="224" t="s">
        <v>0</v>
      </c>
      <c r="M4" s="130"/>
      <c r="N4" s="130"/>
      <c r="O4" s="130"/>
    </row>
    <row r="5" spans="1:15" s="87" customFormat="1" x14ac:dyDescent="0.3">
      <c r="A5" s="84"/>
      <c r="B5" s="85"/>
      <c r="C5" s="85"/>
      <c r="D5" s="85"/>
      <c r="E5" s="85"/>
      <c r="F5" s="86"/>
      <c r="G5" s="86"/>
      <c r="H5" s="130"/>
      <c r="I5" s="130"/>
      <c r="J5" s="130"/>
      <c r="K5" s="130"/>
      <c r="L5" s="130"/>
      <c r="M5" s="130"/>
      <c r="N5" s="130"/>
      <c r="O5" s="130"/>
    </row>
    <row r="6" spans="1:15" s="87" customFormat="1" x14ac:dyDescent="0.3">
      <c r="A6" s="84"/>
      <c r="B6" s="85"/>
      <c r="C6" s="85"/>
      <c r="D6" s="85"/>
      <c r="E6" s="85"/>
      <c r="F6" s="86"/>
      <c r="G6" s="86"/>
      <c r="H6" s="130"/>
      <c r="I6" s="130"/>
      <c r="J6" s="130"/>
      <c r="K6" s="130"/>
      <c r="L6" s="130"/>
      <c r="M6" s="130"/>
      <c r="N6" s="130"/>
      <c r="O6" s="130"/>
    </row>
    <row r="7" spans="1:15" s="87" customFormat="1" ht="15" customHeight="1" x14ac:dyDescent="0.3">
      <c r="A7" s="420" t="s">
        <v>4</v>
      </c>
      <c r="B7" s="421"/>
      <c r="C7" s="421"/>
      <c r="D7" s="421"/>
      <c r="E7" s="421"/>
      <c r="F7" s="421"/>
      <c r="G7" s="421"/>
      <c r="H7" s="197"/>
      <c r="I7" s="197"/>
      <c r="J7" s="197"/>
      <c r="K7" s="197"/>
      <c r="L7" s="197"/>
      <c r="M7" s="197"/>
      <c r="N7" s="197"/>
      <c r="O7" s="197"/>
    </row>
    <row r="8" spans="1:15" s="87" customFormat="1" ht="15" customHeight="1" x14ac:dyDescent="0.3">
      <c r="A8" s="420"/>
      <c r="B8" s="421"/>
      <c r="C8" s="421"/>
      <c r="D8" s="421"/>
      <c r="E8" s="421"/>
      <c r="F8" s="421"/>
      <c r="G8" s="421"/>
      <c r="H8" s="197"/>
      <c r="I8" s="197"/>
      <c r="J8" s="197"/>
      <c r="K8" s="197"/>
      <c r="L8" s="197"/>
      <c r="M8" s="197"/>
      <c r="N8" s="197"/>
      <c r="O8" s="197"/>
    </row>
    <row r="9" spans="1:15" s="87" customFormat="1" ht="15" customHeight="1" x14ac:dyDescent="0.3">
      <c r="A9" s="232"/>
      <c r="B9" s="233"/>
      <c r="C9" s="233"/>
      <c r="D9" s="233"/>
      <c r="E9" s="233"/>
      <c r="F9" s="233"/>
      <c r="G9" s="233"/>
      <c r="H9" s="197"/>
      <c r="I9" s="197"/>
      <c r="J9" s="197"/>
      <c r="K9" s="197"/>
      <c r="L9" s="197"/>
      <c r="M9" s="197"/>
      <c r="N9" s="197"/>
      <c r="O9" s="197"/>
    </row>
    <row r="10" spans="1:15" s="89" customFormat="1" ht="15" customHeight="1" x14ac:dyDescent="0.3">
      <c r="A10" s="90" t="s">
        <v>76</v>
      </c>
      <c r="B10" s="216"/>
      <c r="C10" s="216"/>
      <c r="D10" s="216"/>
      <c r="E10" s="216"/>
      <c r="F10" s="217"/>
      <c r="G10" s="217"/>
      <c r="H10" s="130"/>
      <c r="I10" s="130"/>
      <c r="J10" s="130"/>
      <c r="K10" s="130"/>
      <c r="L10" s="130"/>
      <c r="M10" s="130"/>
      <c r="N10" s="130"/>
      <c r="O10" s="130"/>
    </row>
    <row r="11" spans="1:15" s="83" customFormat="1" ht="18" customHeight="1" x14ac:dyDescent="0.3">
      <c r="A11" s="231" t="s">
        <v>77</v>
      </c>
      <c r="B11" s="164"/>
      <c r="C11" s="164"/>
      <c r="D11" s="164"/>
      <c r="E11" s="164"/>
      <c r="F11" s="164"/>
      <c r="G11" s="164"/>
      <c r="H11" s="137"/>
      <c r="I11" s="137"/>
      <c r="J11" s="137"/>
      <c r="K11" s="137"/>
      <c r="L11" s="137"/>
      <c r="M11" s="137"/>
      <c r="N11" s="137"/>
      <c r="O11" s="137"/>
    </row>
    <row r="12" spans="1:15" s="83" customFormat="1" ht="18" customHeight="1" x14ac:dyDescent="0.3">
      <c r="A12" s="90" t="s">
        <v>176</v>
      </c>
      <c r="B12" s="91"/>
      <c r="C12" s="91"/>
      <c r="D12" s="91"/>
      <c r="E12" s="91"/>
      <c r="F12" s="91"/>
      <c r="G12" s="91"/>
      <c r="H12" s="226"/>
      <c r="I12" s="226"/>
      <c r="J12" s="226"/>
      <c r="K12" s="226"/>
      <c r="L12" s="226"/>
      <c r="M12" s="226"/>
      <c r="N12" s="226"/>
      <c r="O12" s="226"/>
    </row>
    <row r="13" spans="1:15" s="83" customFormat="1" ht="18" customHeight="1" x14ac:dyDescent="0.3">
      <c r="A13" s="218"/>
      <c r="B13" s="219"/>
      <c r="C13" s="219"/>
      <c r="D13" s="220"/>
      <c r="E13" s="221"/>
      <c r="F13" s="222"/>
      <c r="G13" s="222"/>
    </row>
    <row r="14" spans="1:15" s="95" customFormat="1" ht="39" customHeight="1" x14ac:dyDescent="0.3">
      <c r="A14" s="307" t="s">
        <v>25</v>
      </c>
      <c r="B14" s="308" t="s">
        <v>26</v>
      </c>
      <c r="C14" s="308" t="s">
        <v>24</v>
      </c>
      <c r="D14" s="306" t="s">
        <v>5</v>
      </c>
      <c r="E14" s="306" t="s">
        <v>6</v>
      </c>
      <c r="F14" s="306" t="s">
        <v>20</v>
      </c>
      <c r="G14" s="306" t="s">
        <v>21</v>
      </c>
      <c r="H14" s="306" t="s">
        <v>22</v>
      </c>
      <c r="I14" s="306" t="s">
        <v>3</v>
      </c>
      <c r="J14" s="306" t="s">
        <v>7</v>
      </c>
      <c r="K14" s="306" t="s">
        <v>41</v>
      </c>
      <c r="L14" s="306" t="s">
        <v>38</v>
      </c>
      <c r="M14" s="306" t="s">
        <v>42</v>
      </c>
      <c r="N14" s="306" t="s">
        <v>23</v>
      </c>
      <c r="O14" s="309" t="s">
        <v>40</v>
      </c>
    </row>
    <row r="15" spans="1:15" ht="15.75" customHeight="1" x14ac:dyDescent="0.3">
      <c r="A15" s="269" t="s">
        <v>69</v>
      </c>
      <c r="B15" s="270" t="s">
        <v>54</v>
      </c>
      <c r="C15" s="271">
        <v>8.1592410766617931</v>
      </c>
      <c r="D15" s="272">
        <v>4.1596065811346339</v>
      </c>
      <c r="E15" s="272">
        <v>10.449723389700626</v>
      </c>
      <c r="F15" s="272">
        <v>3.8583185343512572</v>
      </c>
      <c r="G15" s="272">
        <v>11.948116862140235</v>
      </c>
      <c r="H15" s="272">
        <v>17.289323923174681</v>
      </c>
      <c r="I15" s="272">
        <v>10.455826735704887</v>
      </c>
      <c r="J15" s="272">
        <v>1.9115721763727223</v>
      </c>
      <c r="K15" s="272">
        <v>8.3367292097917378</v>
      </c>
      <c r="L15" s="272">
        <v>12.281732484426033</v>
      </c>
      <c r="M15" s="272">
        <v>-0.29511843249733216</v>
      </c>
      <c r="N15" s="272">
        <v>7.3944021945271832</v>
      </c>
      <c r="O15" s="273">
        <v>13.948905192132877</v>
      </c>
    </row>
    <row r="16" spans="1:15" ht="15.75" customHeight="1" x14ac:dyDescent="0.3">
      <c r="A16" s="101"/>
      <c r="B16" s="102" t="s">
        <v>56</v>
      </c>
      <c r="C16" s="103">
        <v>10.410570801701624</v>
      </c>
      <c r="D16" s="104">
        <v>6.9185238225956569</v>
      </c>
      <c r="E16" s="105">
        <v>9.6222835607340471</v>
      </c>
      <c r="F16" s="105">
        <v>6.2568595311143671</v>
      </c>
      <c r="G16" s="105">
        <v>29.292180721436978</v>
      </c>
      <c r="H16" s="105">
        <v>6.4126241292231656</v>
      </c>
      <c r="I16" s="105">
        <v>14.181218869171763</v>
      </c>
      <c r="J16" s="105">
        <v>10.423430293464907</v>
      </c>
      <c r="K16" s="105">
        <v>6.8803347669013082</v>
      </c>
      <c r="L16" s="105">
        <v>4.7515078393988386</v>
      </c>
      <c r="M16" s="105">
        <v>-3.9701389654280606</v>
      </c>
      <c r="N16" s="105">
        <v>3.6955686391696663</v>
      </c>
      <c r="O16" s="106">
        <v>5.5799745690923164</v>
      </c>
    </row>
    <row r="17" spans="1:15" ht="15.75" customHeight="1" x14ac:dyDescent="0.3">
      <c r="A17" s="101"/>
      <c r="B17" s="96" t="s">
        <v>65</v>
      </c>
      <c r="C17" s="97">
        <v>-45.127160978058768</v>
      </c>
      <c r="D17" s="98">
        <v>-42.846109438996919</v>
      </c>
      <c r="E17" s="98">
        <v>-49.792226844140153</v>
      </c>
      <c r="F17" s="98">
        <v>-52.682472089990476</v>
      </c>
      <c r="G17" s="98">
        <v>-51.348371205825757</v>
      </c>
      <c r="H17" s="98">
        <v>-51.788265067856628</v>
      </c>
      <c r="I17" s="98">
        <v>-42.779947007390675</v>
      </c>
      <c r="J17" s="98">
        <v>-32.138019927332643</v>
      </c>
      <c r="K17" s="98">
        <v>-42.315827827455877</v>
      </c>
      <c r="L17" s="98">
        <v>-39.810124658783394</v>
      </c>
      <c r="M17" s="98">
        <v>-42.083410044743729</v>
      </c>
      <c r="N17" s="98">
        <v>-46.103127299785825</v>
      </c>
      <c r="O17" s="99">
        <v>-50.171494372337158</v>
      </c>
    </row>
    <row r="18" spans="1:15" ht="15.75" customHeight="1" x14ac:dyDescent="0.3">
      <c r="A18" s="101"/>
      <c r="B18" s="102" t="s">
        <v>66</v>
      </c>
      <c r="C18" s="103">
        <v>-94.943710564972022</v>
      </c>
      <c r="D18" s="104">
        <v>-88.299000151460362</v>
      </c>
      <c r="E18" s="105">
        <v>-98.939576728538427</v>
      </c>
      <c r="F18" s="107">
        <v>-97.43264316267441</v>
      </c>
      <c r="G18" s="105">
        <v>-96.449355505059103</v>
      </c>
      <c r="H18" s="105">
        <v>-97.655857085930108</v>
      </c>
      <c r="I18" s="105">
        <v>-94.581327322069924</v>
      </c>
      <c r="J18" s="105">
        <v>-100</v>
      </c>
      <c r="K18" s="105">
        <v>-95.280684141709855</v>
      </c>
      <c r="L18" s="105">
        <v>-92.16248982668202</v>
      </c>
      <c r="M18" s="105">
        <v>-94.867818750927682</v>
      </c>
      <c r="N18" s="105">
        <v>-98.508163217567173</v>
      </c>
      <c r="O18" s="106">
        <v>-95.547847878699173</v>
      </c>
    </row>
    <row r="19" spans="1:15" ht="15.75" customHeight="1" x14ac:dyDescent="0.3">
      <c r="A19" s="101"/>
      <c r="B19" s="96" t="s">
        <v>15</v>
      </c>
      <c r="C19" s="97">
        <v>-94.64156351617909</v>
      </c>
      <c r="D19" s="98">
        <v>-91.058971044544037</v>
      </c>
      <c r="E19" s="98">
        <v>-98.544637912008582</v>
      </c>
      <c r="F19" s="98">
        <v>-93.165972307020823</v>
      </c>
      <c r="G19" s="98">
        <v>-95.614943261202853</v>
      </c>
      <c r="H19" s="98">
        <v>-96.061814900190512</v>
      </c>
      <c r="I19" s="98">
        <v>-93.909362367873811</v>
      </c>
      <c r="J19" s="98">
        <v>-100</v>
      </c>
      <c r="K19" s="98">
        <v>-93.615444396225428</v>
      </c>
      <c r="L19" s="98">
        <v>-91.702502536734599</v>
      </c>
      <c r="M19" s="98">
        <v>-92.19696775714219</v>
      </c>
      <c r="N19" s="98">
        <v>-98.106636356720273</v>
      </c>
      <c r="O19" s="99">
        <v>-95.161696428364223</v>
      </c>
    </row>
    <row r="20" spans="1:15" ht="15.75" customHeight="1" x14ac:dyDescent="0.3">
      <c r="A20" s="101"/>
      <c r="B20" s="111" t="s">
        <v>67</v>
      </c>
      <c r="C20" s="192">
        <v>-92.896110379987604</v>
      </c>
      <c r="D20" s="198">
        <v>-86.685410502496566</v>
      </c>
      <c r="E20" s="198">
        <v>-98.219430187537299</v>
      </c>
      <c r="F20" s="198">
        <v>-96.383612763234964</v>
      </c>
      <c r="G20" s="198">
        <v>-94.02828954165318</v>
      </c>
      <c r="H20" s="198">
        <v>-97.039871595279251</v>
      </c>
      <c r="I20" s="198">
        <v>-90.951472163856479</v>
      </c>
      <c r="J20" s="198">
        <v>-100</v>
      </c>
      <c r="K20" s="198">
        <v>-91.488096668414016</v>
      </c>
      <c r="L20" s="198">
        <v>-87.701194364887868</v>
      </c>
      <c r="M20" s="198">
        <v>-81.405606553314826</v>
      </c>
      <c r="N20" s="198">
        <v>-93.594782353432251</v>
      </c>
      <c r="O20" s="199">
        <v>-92.522660050005712</v>
      </c>
    </row>
    <row r="21" spans="1:15" ht="15.75" customHeight="1" x14ac:dyDescent="0.3">
      <c r="A21" s="101"/>
      <c r="B21" s="96" t="s">
        <v>87</v>
      </c>
      <c r="C21" s="97">
        <v>-91.833348529181478</v>
      </c>
      <c r="D21" s="98">
        <v>-88.639864172832233</v>
      </c>
      <c r="E21" s="98">
        <v>-98.408639670097827</v>
      </c>
      <c r="F21" s="98">
        <v>-93.659540152410301</v>
      </c>
      <c r="G21" s="98">
        <v>-92.240312216875154</v>
      </c>
      <c r="H21" s="98">
        <v>-92.459257563178525</v>
      </c>
      <c r="I21" s="98">
        <v>-86.544855894279721</v>
      </c>
      <c r="J21" s="98">
        <v>-100</v>
      </c>
      <c r="K21" s="98">
        <v>-87.687598783236353</v>
      </c>
      <c r="L21" s="98">
        <v>-82.807934655890392</v>
      </c>
      <c r="M21" s="98">
        <v>-72.817543211752977</v>
      </c>
      <c r="N21" s="98">
        <v>-88.419472362902283</v>
      </c>
      <c r="O21" s="99">
        <v>-90.873261836117848</v>
      </c>
    </row>
    <row r="22" spans="1:15" ht="15.75" customHeight="1" x14ac:dyDescent="0.3">
      <c r="A22" s="101"/>
      <c r="B22" s="111" t="s">
        <v>9</v>
      </c>
      <c r="C22" s="192">
        <v>-91.461446010402739</v>
      </c>
      <c r="D22" s="198">
        <v>-88.17652888248935</v>
      </c>
      <c r="E22" s="198">
        <v>-98.64870780656122</v>
      </c>
      <c r="F22" s="198">
        <v>-90.580767874458473</v>
      </c>
      <c r="G22" s="198">
        <v>-92.751916720066859</v>
      </c>
      <c r="H22" s="198">
        <v>-86.07816372792432</v>
      </c>
      <c r="I22" s="198">
        <v>-88.521942264547931</v>
      </c>
      <c r="J22" s="198">
        <v>-99.992701826371999</v>
      </c>
      <c r="K22" s="198">
        <v>-86.526480858129801</v>
      </c>
      <c r="L22" s="198">
        <v>-81.319904644176106</v>
      </c>
      <c r="M22" s="198">
        <v>-71.795314788775968</v>
      </c>
      <c r="N22" s="198">
        <v>-87.193960421699558</v>
      </c>
      <c r="O22" s="199">
        <v>-89.127085694374301</v>
      </c>
    </row>
    <row r="23" spans="1:15" ht="15.75" customHeight="1" x14ac:dyDescent="0.3">
      <c r="A23" s="101"/>
      <c r="B23" s="96" t="s">
        <v>10</v>
      </c>
      <c r="C23" s="97">
        <v>-83.147047412967424</v>
      </c>
      <c r="D23" s="98">
        <v>-85.286681782950552</v>
      </c>
      <c r="E23" s="98">
        <v>-93.016229510801139</v>
      </c>
      <c r="F23" s="98">
        <v>-74.902816130100817</v>
      </c>
      <c r="G23" s="98">
        <v>-80.462349148606677</v>
      </c>
      <c r="H23" s="98">
        <v>-60.737708917558386</v>
      </c>
      <c r="I23" s="98">
        <v>-76.304342390844823</v>
      </c>
      <c r="J23" s="98">
        <v>-99.997765536734562</v>
      </c>
      <c r="K23" s="98">
        <v>-73.306890859002394</v>
      </c>
      <c r="L23" s="98">
        <v>-65.55138394511053</v>
      </c>
      <c r="M23" s="98">
        <v>-49.393599266950375</v>
      </c>
      <c r="N23" s="98">
        <v>-70.188957321927475</v>
      </c>
      <c r="O23" s="99">
        <v>-86.353891022861873</v>
      </c>
    </row>
    <row r="24" spans="1:15" ht="15.75" customHeight="1" x14ac:dyDescent="0.3">
      <c r="A24" s="101"/>
      <c r="B24" s="111" t="s">
        <v>11</v>
      </c>
      <c r="C24" s="192">
        <v>-64.547524673318051</v>
      </c>
      <c r="D24" s="198">
        <v>-78.027665771271089</v>
      </c>
      <c r="E24" s="198">
        <v>-66.694745453355083</v>
      </c>
      <c r="F24" s="198">
        <v>-43.869315756135094</v>
      </c>
      <c r="G24" s="198">
        <v>-47.129278544980913</v>
      </c>
      <c r="H24" s="198">
        <v>-31.532234120368898</v>
      </c>
      <c r="I24" s="198">
        <v>-59.320127664846488</v>
      </c>
      <c r="J24" s="198">
        <v>-87.167169081845614</v>
      </c>
      <c r="K24" s="198">
        <v>-59.246890791654991</v>
      </c>
      <c r="L24" s="198">
        <v>-48.223915039613118</v>
      </c>
      <c r="M24" s="198">
        <v>-13.721049301782596</v>
      </c>
      <c r="N24" s="198">
        <v>-52.091066701870538</v>
      </c>
      <c r="O24" s="199">
        <v>-85.224084509825431</v>
      </c>
    </row>
    <row r="25" spans="1:15" ht="15.75" customHeight="1" x14ac:dyDescent="0.3">
      <c r="A25" s="101"/>
      <c r="B25" s="96" t="s">
        <v>12</v>
      </c>
      <c r="C25" s="97">
        <v>-58.454006243998982</v>
      </c>
      <c r="D25" s="98">
        <v>-69.228042526736289</v>
      </c>
      <c r="E25" s="98">
        <v>-65.449106272771957</v>
      </c>
      <c r="F25" s="98">
        <v>-41.413225375816197</v>
      </c>
      <c r="G25" s="98">
        <v>-44.215724818529104</v>
      </c>
      <c r="H25" s="98">
        <v>-30.678385798225271</v>
      </c>
      <c r="I25" s="98">
        <v>-54.05344273733246</v>
      </c>
      <c r="J25" s="98">
        <v>-76.075322390284853</v>
      </c>
      <c r="K25" s="98">
        <v>-47.456662350909909</v>
      </c>
      <c r="L25" s="98">
        <v>-38.532695560302074</v>
      </c>
      <c r="M25" s="98">
        <v>-17.654246918748473</v>
      </c>
      <c r="N25" s="98">
        <v>-33.681107133830579</v>
      </c>
      <c r="O25" s="99">
        <v>-81.621370842231386</v>
      </c>
    </row>
    <row r="26" spans="1:15" ht="15.75" customHeight="1" x14ac:dyDescent="0.3">
      <c r="A26" s="101"/>
      <c r="B26" s="111" t="s">
        <v>13</v>
      </c>
      <c r="C26" s="192">
        <v>-49.144590909236143</v>
      </c>
      <c r="D26" s="198">
        <v>-61.315811816858357</v>
      </c>
      <c r="E26" s="198">
        <v>-57.672845639674485</v>
      </c>
      <c r="F26" s="198">
        <v>-32.29884809396404</v>
      </c>
      <c r="G26" s="198">
        <v>-33.655355484977193</v>
      </c>
      <c r="H26" s="198">
        <v>-23.864402010765652</v>
      </c>
      <c r="I26" s="198">
        <v>-43.962677441813035</v>
      </c>
      <c r="J26" s="198">
        <v>-59.806263960521811</v>
      </c>
      <c r="K26" s="198">
        <v>-44.729680576507988</v>
      </c>
      <c r="L26" s="198">
        <v>-35.626733990208471</v>
      </c>
      <c r="M26" s="198">
        <v>-20.163447369475264</v>
      </c>
      <c r="N26" s="198">
        <v>-23.991386644953415</v>
      </c>
      <c r="O26" s="199">
        <v>-78.971258127347028</v>
      </c>
    </row>
    <row r="27" spans="1:15" ht="15.75" customHeight="1" x14ac:dyDescent="0.3">
      <c r="A27" s="364" t="s">
        <v>124</v>
      </c>
      <c r="B27" s="96" t="s">
        <v>54</v>
      </c>
      <c r="C27" s="97">
        <v>-45.562466789765345</v>
      </c>
      <c r="D27" s="98">
        <v>-67.192310728996034</v>
      </c>
      <c r="E27" s="98">
        <v>-50.594362147012831</v>
      </c>
      <c r="F27" s="98">
        <v>-33.53052320636737</v>
      </c>
      <c r="G27" s="98">
        <v>-20.084274297718441</v>
      </c>
      <c r="H27" s="98">
        <v>-31.432758035379027</v>
      </c>
      <c r="I27" s="98">
        <v>-46.622661340733806</v>
      </c>
      <c r="J27" s="98">
        <v>-49.322744177013732</v>
      </c>
      <c r="K27" s="98">
        <v>-49.046071964878557</v>
      </c>
      <c r="L27" s="98">
        <v>-26.294864224360026</v>
      </c>
      <c r="M27" s="98">
        <v>-18.309695192736331</v>
      </c>
      <c r="N27" s="98">
        <v>-19.668785841437717</v>
      </c>
      <c r="O27" s="99">
        <v>-70.803195372604137</v>
      </c>
    </row>
    <row r="28" spans="1:15" ht="15.75" customHeight="1" x14ac:dyDescent="0.3">
      <c r="A28" s="101"/>
      <c r="B28" s="111" t="s">
        <v>56</v>
      </c>
      <c r="C28" s="192">
        <v>-52.112316120577852</v>
      </c>
      <c r="D28" s="198">
        <v>-70.560503120949321</v>
      </c>
      <c r="E28" s="198">
        <v>-60.899066500175756</v>
      </c>
      <c r="F28" s="198">
        <v>-26.284304229352983</v>
      </c>
      <c r="G28" s="198">
        <v>-35.659753862363374</v>
      </c>
      <c r="H28" s="198">
        <v>-27.96239727845261</v>
      </c>
      <c r="I28" s="198">
        <v>-46.742157447026486</v>
      </c>
      <c r="J28" s="198">
        <v>-44.428985084363589</v>
      </c>
      <c r="K28" s="198">
        <v>-48.105912680809347</v>
      </c>
      <c r="L28" s="198">
        <v>-28.48851075687362</v>
      </c>
      <c r="M28" s="198">
        <v>-18.9001955901429</v>
      </c>
      <c r="N28" s="198">
        <v>-9.3172200573579325</v>
      </c>
      <c r="O28" s="199">
        <v>-77.803871876841342</v>
      </c>
    </row>
    <row r="29" spans="1:15" ht="15.75" customHeight="1" x14ac:dyDescent="0.3">
      <c r="A29" s="101"/>
      <c r="B29" s="96" t="s">
        <v>65</v>
      </c>
      <c r="C29" s="97">
        <v>14.933773404285212</v>
      </c>
      <c r="D29" s="98">
        <v>-35.005463198479923</v>
      </c>
      <c r="E29" s="98">
        <v>18.250282474814593</v>
      </c>
      <c r="F29" s="98">
        <v>114.87955115673731</v>
      </c>
      <c r="G29" s="98">
        <v>58.712732210149099</v>
      </c>
      <c r="H29" s="98">
        <v>84.62351213313643</v>
      </c>
      <c r="I29" s="98">
        <v>20.485919565837317</v>
      </c>
      <c r="J29" s="98">
        <v>4.6697145740159707</v>
      </c>
      <c r="K29" s="98">
        <v>24.692943426713931</v>
      </c>
      <c r="L29" s="98">
        <v>45.914013136872377</v>
      </c>
      <c r="M29" s="98">
        <v>64.64426150036013</v>
      </c>
      <c r="N29" s="98">
        <v>72.004845803555284</v>
      </c>
      <c r="O29" s="99">
        <v>-49.749892977678336</v>
      </c>
    </row>
    <row r="30" spans="1:15" ht="15.75" customHeight="1" x14ac:dyDescent="0.3">
      <c r="A30" s="101"/>
      <c r="B30" s="111" t="s">
        <v>66</v>
      </c>
      <c r="C30" s="192">
        <v>992.34888050324503</v>
      </c>
      <c r="D30" s="198">
        <v>184.80117785879764</v>
      </c>
      <c r="E30" s="198">
        <v>5547.4780133538452</v>
      </c>
      <c r="F30" s="198">
        <v>2615.5922259670215</v>
      </c>
      <c r="G30" s="198">
        <v>1436.4888985432397</v>
      </c>
      <c r="H30" s="198">
        <v>3110.5040053757675</v>
      </c>
      <c r="I30" s="198">
        <v>865.48385226695791</v>
      </c>
      <c r="J30" s="198" t="s">
        <v>108</v>
      </c>
      <c r="K30" s="198">
        <v>1309.8816509961096</v>
      </c>
      <c r="L30" s="198">
        <v>901.29243639254355</v>
      </c>
      <c r="M30" s="198">
        <v>1352.3890473097715</v>
      </c>
      <c r="N30" s="198">
        <v>4745.6484545824078</v>
      </c>
      <c r="O30" s="199">
        <v>429.81694721785277</v>
      </c>
    </row>
    <row r="31" spans="1:15" ht="15.75" customHeight="1" x14ac:dyDescent="0.3">
      <c r="A31" s="101"/>
      <c r="B31" s="96" t="s">
        <v>15</v>
      </c>
      <c r="C31" s="97">
        <v>811.14943538004184</v>
      </c>
      <c r="D31" s="98">
        <v>228.11791207612347</v>
      </c>
      <c r="E31" s="98">
        <v>3453.2729587503786</v>
      </c>
      <c r="F31" s="98">
        <v>853.1303302617282</v>
      </c>
      <c r="G31" s="98">
        <v>1487.8792005725113</v>
      </c>
      <c r="H31" s="98">
        <v>1024.677390508946</v>
      </c>
      <c r="I31" s="98">
        <v>745.37269828423143</v>
      </c>
      <c r="J31" s="98" t="s">
        <v>108</v>
      </c>
      <c r="K31" s="98">
        <v>502.20120265601389</v>
      </c>
      <c r="L31" s="98">
        <v>729.27649518510566</v>
      </c>
      <c r="M31" s="98">
        <v>789.7787552441398</v>
      </c>
      <c r="N31" s="98">
        <v>3632.3264262706007</v>
      </c>
      <c r="O31" s="99">
        <v>314.70027837232652</v>
      </c>
    </row>
    <row r="32" spans="1:15" ht="15.75" customHeight="1" x14ac:dyDescent="0.3">
      <c r="A32" s="101"/>
      <c r="B32" s="111" t="s">
        <v>67</v>
      </c>
      <c r="C32" s="192">
        <v>870.12948396198476</v>
      </c>
      <c r="D32" s="198">
        <v>206.18225556125239</v>
      </c>
      <c r="E32" s="198">
        <v>4454.392762222059</v>
      </c>
      <c r="F32" s="198">
        <v>2072.5657567502544</v>
      </c>
      <c r="G32" s="198">
        <v>1520.5755584106569</v>
      </c>
      <c r="H32" s="198">
        <v>2374.119326086452</v>
      </c>
      <c r="I32" s="198">
        <v>619.71093413693416</v>
      </c>
      <c r="J32" s="198" t="s">
        <v>108</v>
      </c>
      <c r="K32" s="198">
        <v>539.20595790772654</v>
      </c>
      <c r="L32" s="198">
        <v>507.54547774900783</v>
      </c>
      <c r="M32" s="198">
        <v>537.00967996436202</v>
      </c>
      <c r="N32" s="198">
        <v>1314.7725534946228</v>
      </c>
      <c r="O32" s="199">
        <v>252.20613997983438</v>
      </c>
    </row>
    <row r="33" spans="1:15" ht="15.75" customHeight="1" x14ac:dyDescent="0.3">
      <c r="A33" s="101"/>
      <c r="B33" s="96" t="s">
        <v>87</v>
      </c>
      <c r="C33" s="97">
        <v>884.55667561910241</v>
      </c>
      <c r="D33" s="98">
        <v>288.91097612906049</v>
      </c>
      <c r="E33" s="98">
        <v>5657.0927084354316</v>
      </c>
      <c r="F33" s="98">
        <v>1489.2477396578981</v>
      </c>
      <c r="G33" s="98">
        <v>1323.1969512377304</v>
      </c>
      <c r="H33" s="98">
        <v>1221.8384956099651</v>
      </c>
      <c r="I33" s="98">
        <v>503.16433694471635</v>
      </c>
      <c r="J33" s="98" t="s">
        <v>108</v>
      </c>
      <c r="K33" s="98">
        <v>481.54108805324267</v>
      </c>
      <c r="L33" s="98">
        <v>430.1317681592983</v>
      </c>
      <c r="M33" s="98">
        <v>381.06024460370031</v>
      </c>
      <c r="N33" s="98">
        <v>902.06612513735854</v>
      </c>
      <c r="O33" s="99">
        <v>318.9516373853628</v>
      </c>
    </row>
    <row r="34" spans="1:15" ht="15.75" customHeight="1" x14ac:dyDescent="0.3">
      <c r="A34" s="101"/>
      <c r="B34" s="111" t="s">
        <v>9</v>
      </c>
      <c r="C34" s="192">
        <v>822.45700510294887</v>
      </c>
      <c r="D34" s="198">
        <v>315.39324340888714</v>
      </c>
      <c r="E34" s="198">
        <v>6249.3935305873174</v>
      </c>
      <c r="F34" s="198">
        <v>915.60544419902305</v>
      </c>
      <c r="G34" s="198">
        <v>1273.7928240135884</v>
      </c>
      <c r="H34" s="198">
        <v>536.16145167669004</v>
      </c>
      <c r="I34" s="198">
        <v>584.78508156839803</v>
      </c>
      <c r="J34" s="198" t="s">
        <v>171</v>
      </c>
      <c r="K34" s="198">
        <v>480.09733690938418</v>
      </c>
      <c r="L34" s="198">
        <v>395.01584753505705</v>
      </c>
      <c r="M34" s="198">
        <v>367.7088447315428</v>
      </c>
      <c r="N34" s="198">
        <v>753.43494593301057</v>
      </c>
      <c r="O34" s="199">
        <v>432.99141072586804</v>
      </c>
    </row>
    <row r="35" spans="1:15" ht="15.75" customHeight="1" x14ac:dyDescent="0.3">
      <c r="A35" s="101"/>
      <c r="B35" s="96" t="s">
        <v>10</v>
      </c>
      <c r="C35" s="97">
        <v>391.98746468266029</v>
      </c>
      <c r="D35" s="98">
        <v>257.64387683963042</v>
      </c>
      <c r="E35" s="98">
        <v>1250.6585540858243</v>
      </c>
      <c r="F35" s="98">
        <v>314.59904584450805</v>
      </c>
      <c r="G35" s="98">
        <v>442.6771879906517</v>
      </c>
      <c r="H35" s="98">
        <v>166.06653806789154</v>
      </c>
      <c r="I35" s="98">
        <v>264.30791375393835</v>
      </c>
      <c r="J35" s="98" t="s">
        <v>171</v>
      </c>
      <c r="K35" s="98">
        <v>219.04085312127359</v>
      </c>
      <c r="L35" s="98">
        <v>180.51068304516744</v>
      </c>
      <c r="M35" s="98">
        <v>145.55187296114843</v>
      </c>
      <c r="N35" s="98">
        <v>256.17904112518346</v>
      </c>
      <c r="O35" s="99">
        <v>315.37694412849379</v>
      </c>
    </row>
    <row r="36" spans="1:15" ht="15.75" customHeight="1" x14ac:dyDescent="0.3">
      <c r="A36" s="360"/>
      <c r="B36" s="401" t="s">
        <v>11</v>
      </c>
      <c r="C36" s="402">
        <v>175.05895479430387</v>
      </c>
      <c r="D36" s="403">
        <v>171.79898171420257</v>
      </c>
      <c r="E36" s="403">
        <v>242.94460903672555</v>
      </c>
      <c r="F36" s="403">
        <v>116.39146256574655</v>
      </c>
      <c r="G36" s="403">
        <v>172.2466124414095</v>
      </c>
      <c r="H36" s="403">
        <v>71.360062150138745</v>
      </c>
      <c r="I36" s="403">
        <v>147.90882392851685</v>
      </c>
      <c r="J36" s="403">
        <v>666.31362690325227</v>
      </c>
      <c r="K36" s="403">
        <v>123.87744386030981</v>
      </c>
      <c r="L36" s="403">
        <v>116.01579091171708</v>
      </c>
      <c r="M36" s="403">
        <v>55.135559402987781</v>
      </c>
      <c r="N36" s="403">
        <v>138.76208527663948</v>
      </c>
      <c r="O36" s="404">
        <v>342.52348767936047</v>
      </c>
    </row>
    <row r="37" spans="1:15" s="109" customFormat="1" ht="15" customHeight="1" x14ac:dyDescent="0.3">
      <c r="A37" s="108"/>
      <c r="D37" s="110"/>
      <c r="O37" s="111"/>
    </row>
    <row r="38" spans="1:15" s="109" customFormat="1" x14ac:dyDescent="0.3">
      <c r="A38" s="108"/>
      <c r="B38" s="109" t="s">
        <v>84</v>
      </c>
      <c r="D38" s="110"/>
      <c r="O38" s="111"/>
    </row>
    <row r="39" spans="1:15" s="109" customFormat="1" ht="33" x14ac:dyDescent="0.3">
      <c r="A39" s="108"/>
      <c r="B39" s="112" t="s">
        <v>17</v>
      </c>
      <c r="D39" s="110"/>
      <c r="O39" s="111"/>
    </row>
    <row r="40" spans="1:15" s="114" customFormat="1" ht="35.25" customHeight="1" x14ac:dyDescent="0.25">
      <c r="A40" s="113"/>
      <c r="B40" s="422" t="s">
        <v>161</v>
      </c>
      <c r="C40" s="422"/>
      <c r="D40" s="422"/>
      <c r="E40" s="422"/>
      <c r="F40" s="422"/>
      <c r="G40" s="422"/>
      <c r="H40" s="422"/>
      <c r="I40" s="422"/>
      <c r="J40" s="422"/>
      <c r="K40" s="422"/>
      <c r="L40" s="422"/>
      <c r="M40" s="422"/>
      <c r="N40" s="422"/>
      <c r="O40" s="115"/>
    </row>
    <row r="41" spans="1:15" s="117" customFormat="1" x14ac:dyDescent="0.3">
      <c r="A41" s="116"/>
      <c r="B41" s="422"/>
      <c r="C41" s="422"/>
      <c r="D41" s="422"/>
      <c r="E41" s="422"/>
      <c r="F41" s="422"/>
      <c r="G41" s="422"/>
      <c r="H41" s="422"/>
      <c r="I41" s="422"/>
      <c r="J41" s="422"/>
      <c r="K41" s="422"/>
      <c r="L41" s="422"/>
      <c r="M41" s="422"/>
      <c r="N41" s="422"/>
      <c r="O41" s="118"/>
    </row>
    <row r="42" spans="1:15" s="117" customFormat="1" ht="35.25" customHeight="1" x14ac:dyDescent="0.3">
      <c r="A42" s="116"/>
      <c r="B42" s="422"/>
      <c r="C42" s="422"/>
      <c r="D42" s="422"/>
      <c r="E42" s="422"/>
      <c r="F42" s="422"/>
      <c r="G42" s="422"/>
      <c r="H42" s="422"/>
      <c r="I42" s="422"/>
      <c r="J42" s="422"/>
      <c r="K42" s="422"/>
      <c r="L42" s="422"/>
      <c r="M42" s="422"/>
      <c r="N42" s="422"/>
      <c r="O42" s="118"/>
    </row>
    <row r="43" spans="1:15" s="120" customFormat="1" x14ac:dyDescent="0.3">
      <c r="A43" s="119"/>
      <c r="B43" s="419" t="s">
        <v>18</v>
      </c>
      <c r="C43" s="419"/>
      <c r="D43" s="419"/>
      <c r="E43" s="419"/>
      <c r="F43" s="419"/>
      <c r="G43" s="419"/>
      <c r="H43" s="419"/>
      <c r="I43" s="419"/>
      <c r="J43" s="419"/>
      <c r="K43" s="419"/>
      <c r="O43" s="121"/>
    </row>
    <row r="44" spans="1:15" s="120" customFormat="1" ht="18" customHeight="1" x14ac:dyDescent="0.3">
      <c r="A44" s="119"/>
      <c r="B44" s="419" t="s">
        <v>180</v>
      </c>
      <c r="C44" s="419"/>
      <c r="D44" s="419"/>
      <c r="E44" s="419"/>
      <c r="F44" s="419"/>
      <c r="G44" s="419"/>
      <c r="H44" s="419"/>
      <c r="I44" s="419"/>
      <c r="J44" s="372"/>
      <c r="K44" s="372"/>
      <c r="O44" s="121"/>
    </row>
    <row r="45" spans="1:15" ht="15" customHeight="1" x14ac:dyDescent="0.3">
      <c r="A45" s="123"/>
      <c r="B45" s="124" t="s">
        <v>175</v>
      </c>
      <c r="C45" s="124"/>
      <c r="D45" s="124"/>
      <c r="E45" s="124"/>
      <c r="F45" s="124"/>
      <c r="G45" s="124"/>
      <c r="H45" s="124"/>
      <c r="I45" s="124"/>
      <c r="J45" s="124"/>
      <c r="O45" s="102"/>
    </row>
    <row r="46" spans="1:15" s="83" customFormat="1" x14ac:dyDescent="0.3">
      <c r="A46" s="125"/>
      <c r="B46" s="126"/>
      <c r="C46" s="126"/>
      <c r="D46" s="126"/>
      <c r="E46" s="126"/>
      <c r="F46" s="126"/>
      <c r="G46" s="126"/>
      <c r="H46" s="126"/>
      <c r="I46" s="126"/>
      <c r="J46" s="126"/>
      <c r="K46" s="126"/>
      <c r="L46" s="126"/>
      <c r="M46" s="126"/>
      <c r="N46" s="126"/>
      <c r="O46" s="127"/>
    </row>
    <row r="48" spans="1:15" x14ac:dyDescent="0.3">
      <c r="C48" s="374"/>
      <c r="D48" s="374"/>
      <c r="E48" s="374"/>
      <c r="F48" s="374"/>
      <c r="G48" s="374"/>
      <c r="H48" s="374"/>
      <c r="I48" s="374"/>
      <c r="J48" s="374"/>
      <c r="K48" s="374"/>
      <c r="L48" s="374"/>
      <c r="M48" s="374"/>
      <c r="N48" s="374"/>
      <c r="O48" s="374"/>
    </row>
    <row r="63" spans="3:15" x14ac:dyDescent="0.3">
      <c r="C63" s="374"/>
      <c r="D63" s="374"/>
      <c r="E63" s="374"/>
      <c r="F63" s="374"/>
      <c r="G63" s="374"/>
      <c r="H63" s="374"/>
      <c r="I63" s="374"/>
      <c r="J63" s="374"/>
      <c r="K63" s="374"/>
      <c r="L63" s="374"/>
      <c r="M63" s="374"/>
      <c r="N63" s="374"/>
      <c r="O63" s="374"/>
    </row>
    <row r="64" spans="3:15" x14ac:dyDescent="0.3">
      <c r="C64" s="374"/>
      <c r="D64" s="374"/>
      <c r="E64" s="374"/>
      <c r="F64" s="374"/>
      <c r="G64" s="374"/>
      <c r="H64" s="374"/>
      <c r="I64" s="374"/>
      <c r="J64" s="374"/>
      <c r="K64" s="374"/>
      <c r="L64" s="374"/>
      <c r="M64" s="374"/>
      <c r="N64" s="374"/>
      <c r="O64" s="374"/>
    </row>
    <row r="65" spans="3:15" x14ac:dyDescent="0.3">
      <c r="C65" s="374"/>
      <c r="D65" s="374"/>
      <c r="E65" s="374"/>
      <c r="F65" s="374"/>
      <c r="G65" s="374"/>
      <c r="H65" s="374"/>
      <c r="I65" s="374"/>
      <c r="J65" s="374"/>
      <c r="K65" s="374"/>
      <c r="L65" s="374"/>
      <c r="M65" s="374"/>
      <c r="N65" s="374"/>
      <c r="O65" s="374"/>
    </row>
    <row r="66" spans="3:15" x14ac:dyDescent="0.3">
      <c r="C66" s="374"/>
      <c r="D66" s="374"/>
      <c r="E66" s="374"/>
      <c r="F66" s="374"/>
      <c r="G66" s="374"/>
      <c r="H66" s="374"/>
      <c r="I66" s="374"/>
      <c r="J66" s="374"/>
      <c r="K66" s="374"/>
      <c r="L66" s="374"/>
      <c r="M66" s="374"/>
      <c r="N66" s="374"/>
      <c r="O66" s="374"/>
    </row>
    <row r="67" spans="3:15" x14ac:dyDescent="0.3">
      <c r="C67" s="374"/>
      <c r="D67" s="374"/>
      <c r="E67" s="374"/>
      <c r="F67" s="374"/>
      <c r="G67" s="374"/>
      <c r="H67" s="374"/>
      <c r="I67" s="374"/>
      <c r="J67" s="374"/>
      <c r="K67" s="374"/>
      <c r="L67" s="374"/>
      <c r="M67" s="374"/>
      <c r="N67" s="374"/>
      <c r="O67" s="374"/>
    </row>
    <row r="68" spans="3:15" x14ac:dyDescent="0.3">
      <c r="C68" s="374"/>
      <c r="D68" s="374"/>
      <c r="E68" s="374"/>
      <c r="F68" s="374"/>
      <c r="G68" s="374"/>
      <c r="H68" s="374"/>
      <c r="I68" s="374"/>
      <c r="J68" s="374"/>
      <c r="K68" s="374"/>
      <c r="L68" s="374"/>
      <c r="M68" s="374"/>
      <c r="N68" s="374"/>
      <c r="O68" s="374"/>
    </row>
    <row r="69" spans="3:15" x14ac:dyDescent="0.3">
      <c r="C69" s="374"/>
      <c r="D69" s="374"/>
      <c r="E69" s="374"/>
      <c r="F69" s="374"/>
      <c r="G69" s="374"/>
      <c r="H69" s="374"/>
      <c r="I69" s="374"/>
      <c r="J69" s="374"/>
      <c r="K69" s="374"/>
      <c r="L69" s="374"/>
      <c r="M69" s="374"/>
      <c r="N69" s="374"/>
      <c r="O69" s="374"/>
    </row>
    <row r="70" spans="3:15" x14ac:dyDescent="0.3">
      <c r="C70" s="374"/>
      <c r="D70" s="374"/>
      <c r="E70" s="374"/>
      <c r="F70" s="374"/>
      <c r="G70" s="374"/>
      <c r="H70" s="374"/>
      <c r="I70" s="374"/>
      <c r="J70" s="374"/>
      <c r="K70" s="374"/>
      <c r="L70" s="374"/>
      <c r="M70" s="374"/>
      <c r="N70" s="374"/>
      <c r="O70" s="374"/>
    </row>
    <row r="71" spans="3:15" x14ac:dyDescent="0.3">
      <c r="C71" s="374"/>
      <c r="D71" s="374"/>
      <c r="E71" s="374"/>
      <c r="F71" s="374"/>
      <c r="G71" s="374"/>
      <c r="H71" s="374"/>
      <c r="I71" s="374"/>
      <c r="J71" s="374"/>
      <c r="K71" s="374"/>
      <c r="L71" s="374"/>
      <c r="M71" s="374"/>
      <c r="N71" s="374"/>
      <c r="O71" s="374"/>
    </row>
    <row r="72" spans="3:15" x14ac:dyDescent="0.3">
      <c r="C72" s="374"/>
      <c r="D72" s="374"/>
      <c r="E72" s="374"/>
      <c r="F72" s="374"/>
      <c r="G72" s="374"/>
      <c r="H72" s="374"/>
      <c r="I72" s="374"/>
      <c r="J72" s="374"/>
      <c r="K72" s="374"/>
      <c r="L72" s="374"/>
      <c r="M72" s="374"/>
      <c r="N72" s="374"/>
      <c r="O72" s="374"/>
    </row>
    <row r="73" spans="3:15" x14ac:dyDescent="0.3">
      <c r="C73" s="374"/>
      <c r="D73" s="374"/>
      <c r="E73" s="374"/>
      <c r="F73" s="374"/>
      <c r="G73" s="374"/>
      <c r="H73" s="374"/>
      <c r="I73" s="374"/>
      <c r="J73" s="374"/>
      <c r="K73" s="374"/>
      <c r="L73" s="374"/>
      <c r="M73" s="374"/>
      <c r="N73" s="374"/>
      <c r="O73" s="374"/>
    </row>
    <row r="74" spans="3:15" x14ac:dyDescent="0.3">
      <c r="C74" s="374"/>
      <c r="D74" s="374"/>
      <c r="E74" s="374"/>
      <c r="F74" s="374"/>
      <c r="G74" s="374"/>
      <c r="H74" s="374"/>
      <c r="I74" s="374"/>
      <c r="J74" s="374"/>
      <c r="K74" s="374"/>
      <c r="L74" s="374"/>
      <c r="M74" s="374"/>
      <c r="N74" s="374"/>
      <c r="O74" s="374"/>
    </row>
    <row r="75" spans="3:15" x14ac:dyDescent="0.3">
      <c r="C75" s="374"/>
      <c r="D75" s="374"/>
      <c r="E75" s="374"/>
      <c r="F75" s="374"/>
      <c r="G75" s="374"/>
      <c r="H75" s="374"/>
      <c r="I75" s="374"/>
      <c r="J75" s="374"/>
      <c r="K75" s="374"/>
      <c r="L75" s="374"/>
      <c r="M75" s="374"/>
      <c r="N75" s="374"/>
      <c r="O75" s="374"/>
    </row>
    <row r="76" spans="3:15" x14ac:dyDescent="0.3">
      <c r="C76" s="374"/>
      <c r="D76" s="374"/>
      <c r="E76" s="374"/>
      <c r="F76" s="374"/>
      <c r="G76" s="374"/>
      <c r="H76" s="374"/>
      <c r="I76" s="374"/>
      <c r="J76" s="374"/>
      <c r="K76" s="374"/>
      <c r="L76" s="374"/>
      <c r="M76" s="374"/>
      <c r="N76" s="374"/>
      <c r="O76" s="374"/>
    </row>
    <row r="77" spans="3:15" x14ac:dyDescent="0.3">
      <c r="C77" s="374"/>
    </row>
    <row r="78" spans="3:15" x14ac:dyDescent="0.3">
      <c r="C78" s="374"/>
    </row>
    <row r="79" spans="3:15" x14ac:dyDescent="0.3">
      <c r="C79" s="374"/>
    </row>
    <row r="80" spans="3:15" x14ac:dyDescent="0.3">
      <c r="C80" s="374"/>
    </row>
  </sheetData>
  <mergeCells count="4">
    <mergeCell ref="B43:K43"/>
    <mergeCell ref="A7:G8"/>
    <mergeCell ref="B44:I44"/>
    <mergeCell ref="B40:N42"/>
  </mergeCells>
  <hyperlinks>
    <hyperlink ref="L4" location="Contenido!A1" display="Inicio" xr:uid="{00000000-0004-0000-01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78"/>
  <sheetViews>
    <sheetView showGridLines="0" zoomScale="80" zoomScaleNormal="80" zoomScaleSheetLayoutView="90" workbookViewId="0">
      <selection activeCell="A7" sqref="A7:H8"/>
    </sheetView>
  </sheetViews>
  <sheetFormatPr baseColWidth="10" defaultColWidth="11.42578125" defaultRowHeight="16.5" x14ac:dyDescent="0.3"/>
  <cols>
    <col min="1" max="1" width="11.140625" style="100" customWidth="1"/>
    <col min="2" max="3" width="26.42578125" style="128" customWidth="1"/>
    <col min="4" max="4" width="18.42578125" style="128" customWidth="1"/>
    <col min="5" max="5" width="15.42578125" style="100" customWidth="1"/>
    <col min="6" max="6" width="18" style="100" customWidth="1"/>
    <col min="7" max="9" width="12.85546875" style="100" bestFit="1" customWidth="1"/>
    <col min="10" max="10" width="13.28515625" style="100" customWidth="1"/>
    <col min="11" max="11" width="12.85546875" style="100" bestFit="1" customWidth="1"/>
    <col min="12" max="12" width="14.28515625" style="100" customWidth="1"/>
    <col min="13" max="13" width="12.85546875" style="100" bestFit="1" customWidth="1"/>
    <col min="14" max="14" width="14.7109375" style="100" customWidth="1"/>
    <col min="15" max="15" width="15.42578125" style="100" customWidth="1"/>
    <col min="16" max="16384" width="11.42578125" style="100"/>
  </cols>
  <sheetData>
    <row r="1" spans="1:15" s="83" customFormat="1" ht="12" customHeight="1" x14ac:dyDescent="0.3">
      <c r="A1" s="80"/>
      <c r="B1" s="362"/>
      <c r="C1" s="81"/>
      <c r="D1" s="81"/>
      <c r="E1" s="81"/>
      <c r="F1" s="82"/>
      <c r="G1" s="82"/>
      <c r="H1" s="82"/>
      <c r="I1" s="82"/>
      <c r="J1" s="82"/>
      <c r="K1" s="82"/>
      <c r="L1" s="82"/>
      <c r="M1" s="82"/>
      <c r="N1" s="82"/>
      <c r="O1" s="82"/>
    </row>
    <row r="2" spans="1:15" s="87" customFormat="1" x14ac:dyDescent="0.3">
      <c r="A2" s="84"/>
      <c r="B2" s="85"/>
      <c r="C2" s="85"/>
      <c r="D2" s="85"/>
      <c r="E2" s="85"/>
      <c r="F2" s="86"/>
      <c r="G2" s="86"/>
      <c r="H2" s="86"/>
      <c r="I2" s="130"/>
      <c r="J2" s="130"/>
      <c r="K2" s="130"/>
      <c r="L2" s="130"/>
      <c r="M2" s="130"/>
      <c r="N2" s="130"/>
      <c r="O2" s="130"/>
    </row>
    <row r="3" spans="1:15" s="87" customFormat="1" x14ac:dyDescent="0.3">
      <c r="A3" s="84"/>
      <c r="B3" s="85"/>
      <c r="C3" s="85"/>
      <c r="D3" s="85"/>
      <c r="E3" s="85"/>
      <c r="F3" s="86"/>
      <c r="G3" s="86"/>
      <c r="H3" s="86"/>
      <c r="I3" s="130"/>
      <c r="J3" s="130"/>
      <c r="K3" s="130"/>
      <c r="L3" s="130"/>
      <c r="M3" s="130"/>
      <c r="N3" s="130"/>
      <c r="O3" s="130"/>
    </row>
    <row r="4" spans="1:15" s="87" customFormat="1" x14ac:dyDescent="0.3">
      <c r="A4" s="84"/>
      <c r="B4" s="85"/>
      <c r="C4" s="85"/>
      <c r="D4" s="85"/>
      <c r="E4" s="85"/>
      <c r="F4" s="86"/>
      <c r="G4" s="86"/>
      <c r="H4" s="86"/>
      <c r="I4" s="130"/>
      <c r="J4" s="130"/>
      <c r="K4" s="130"/>
      <c r="L4" s="224" t="s">
        <v>0</v>
      </c>
      <c r="M4" s="130"/>
      <c r="N4" s="130"/>
      <c r="O4" s="130"/>
    </row>
    <row r="5" spans="1:15" s="87" customFormat="1" x14ac:dyDescent="0.3">
      <c r="A5" s="84"/>
      <c r="B5" s="85"/>
      <c r="C5" s="85"/>
      <c r="D5" s="85"/>
      <c r="E5" s="85"/>
      <c r="F5" s="86"/>
      <c r="G5" s="86"/>
      <c r="H5" s="86"/>
      <c r="I5" s="130"/>
      <c r="J5" s="130"/>
      <c r="K5" s="130"/>
      <c r="L5" s="130"/>
      <c r="M5" s="130"/>
      <c r="N5" s="130"/>
      <c r="O5" s="130"/>
    </row>
    <row r="6" spans="1:15" s="87" customFormat="1" x14ac:dyDescent="0.3">
      <c r="A6" s="84"/>
      <c r="B6" s="85"/>
      <c r="C6" s="85"/>
      <c r="D6" s="85"/>
      <c r="E6" s="85"/>
      <c r="F6" s="86"/>
      <c r="G6" s="86"/>
      <c r="H6" s="86"/>
      <c r="I6" s="130"/>
      <c r="J6" s="130"/>
      <c r="K6" s="130"/>
      <c r="L6" s="130"/>
      <c r="M6" s="130"/>
      <c r="N6" s="130"/>
      <c r="O6" s="130"/>
    </row>
    <row r="7" spans="1:15" s="87" customFormat="1" ht="15" customHeight="1" x14ac:dyDescent="0.3">
      <c r="A7" s="420" t="s">
        <v>4</v>
      </c>
      <c r="B7" s="421"/>
      <c r="C7" s="421"/>
      <c r="D7" s="421"/>
      <c r="E7" s="421"/>
      <c r="F7" s="421"/>
      <c r="G7" s="421"/>
      <c r="H7" s="421"/>
      <c r="I7" s="197"/>
      <c r="J7" s="197"/>
      <c r="K7" s="197"/>
      <c r="L7" s="197"/>
      <c r="M7" s="197"/>
      <c r="N7" s="197"/>
      <c r="O7" s="197"/>
    </row>
    <row r="8" spans="1:15" s="87" customFormat="1" ht="15" customHeight="1" x14ac:dyDescent="0.3">
      <c r="A8" s="420"/>
      <c r="B8" s="421"/>
      <c r="C8" s="421"/>
      <c r="D8" s="421"/>
      <c r="E8" s="421"/>
      <c r="F8" s="421"/>
      <c r="G8" s="421"/>
      <c r="H8" s="421"/>
      <c r="I8" s="197"/>
      <c r="J8" s="197"/>
      <c r="K8" s="197"/>
      <c r="L8" s="197"/>
      <c r="M8" s="197"/>
      <c r="N8" s="197"/>
      <c r="O8" s="197"/>
    </row>
    <row r="9" spans="1:15" s="87" customFormat="1" ht="15" customHeight="1" x14ac:dyDescent="0.3">
      <c r="A9" s="232"/>
      <c r="B9" s="233"/>
      <c r="C9" s="233"/>
      <c r="D9" s="233"/>
      <c r="E9" s="233"/>
      <c r="F9" s="233"/>
      <c r="G9" s="233"/>
      <c r="H9" s="233"/>
      <c r="I9" s="197"/>
      <c r="J9" s="197"/>
      <c r="K9" s="197"/>
      <c r="L9" s="197"/>
      <c r="M9" s="197"/>
      <c r="N9" s="197"/>
      <c r="O9" s="197"/>
    </row>
    <row r="10" spans="1:15" s="89" customFormat="1" ht="15" customHeight="1" x14ac:dyDescent="0.3">
      <c r="A10" s="90" t="s">
        <v>78</v>
      </c>
      <c r="B10" s="216"/>
      <c r="C10" s="216"/>
      <c r="D10" s="216"/>
      <c r="E10" s="216"/>
      <c r="F10" s="217"/>
      <c r="G10" s="217"/>
      <c r="H10" s="217"/>
      <c r="I10" s="130"/>
      <c r="J10" s="130"/>
      <c r="K10" s="130"/>
      <c r="L10" s="130"/>
      <c r="M10" s="130"/>
      <c r="N10" s="130"/>
      <c r="O10" s="130"/>
    </row>
    <row r="11" spans="1:15" s="83" customFormat="1" ht="18" customHeight="1" x14ac:dyDescent="0.3">
      <c r="A11" s="90" t="s">
        <v>77</v>
      </c>
      <c r="B11" s="164"/>
      <c r="C11" s="164"/>
      <c r="D11" s="164"/>
      <c r="E11" s="164"/>
      <c r="F11" s="164"/>
      <c r="G11" s="164"/>
      <c r="H11" s="164"/>
      <c r="I11" s="137"/>
      <c r="J11" s="137"/>
      <c r="K11" s="137"/>
      <c r="L11" s="137"/>
      <c r="M11" s="137"/>
      <c r="N11" s="137"/>
      <c r="O11" s="137"/>
    </row>
    <row r="12" spans="1:15" s="83" customFormat="1" ht="18" customHeight="1" x14ac:dyDescent="0.3">
      <c r="A12" s="90" t="str">
        <f>'1.1 V.A Ing.real'!A12</f>
        <v>Enero 2020 - octubre 2021</v>
      </c>
      <c r="B12" s="91"/>
      <c r="C12" s="91"/>
      <c r="D12" s="91"/>
      <c r="E12" s="91"/>
      <c r="F12" s="91"/>
      <c r="G12" s="91"/>
      <c r="H12" s="91"/>
      <c r="I12" s="226"/>
      <c r="J12" s="226"/>
      <c r="K12" s="226"/>
      <c r="L12" s="226"/>
      <c r="M12" s="226"/>
      <c r="N12" s="226"/>
      <c r="O12" s="226"/>
    </row>
    <row r="13" spans="1:15" s="83" customFormat="1" ht="18" customHeight="1" x14ac:dyDescent="0.3">
      <c r="A13" s="218"/>
      <c r="B13" s="219"/>
      <c r="C13" s="219"/>
      <c r="D13" s="220"/>
      <c r="E13" s="221"/>
      <c r="F13" s="222"/>
      <c r="G13" s="222"/>
      <c r="H13" s="222"/>
    </row>
    <row r="14" spans="1:15" s="95" customFormat="1" ht="47.25" customHeight="1" x14ac:dyDescent="0.3">
      <c r="A14" s="307" t="s">
        <v>25</v>
      </c>
      <c r="B14" s="308" t="s">
        <v>26</v>
      </c>
      <c r="C14" s="308" t="s">
        <v>24</v>
      </c>
      <c r="D14" s="306" t="s">
        <v>5</v>
      </c>
      <c r="E14" s="306" t="s">
        <v>6</v>
      </c>
      <c r="F14" s="306" t="s">
        <v>20</v>
      </c>
      <c r="G14" s="306" t="s">
        <v>21</v>
      </c>
      <c r="H14" s="306" t="s">
        <v>22</v>
      </c>
      <c r="I14" s="306" t="s">
        <v>3</v>
      </c>
      <c r="J14" s="306" t="s">
        <v>7</v>
      </c>
      <c r="K14" s="306" t="s">
        <v>41</v>
      </c>
      <c r="L14" s="306" t="s">
        <v>38</v>
      </c>
      <c r="M14" s="306" t="s">
        <v>42</v>
      </c>
      <c r="N14" s="306" t="s">
        <v>23</v>
      </c>
      <c r="O14" s="309" t="s">
        <v>158</v>
      </c>
    </row>
    <row r="15" spans="1:15" ht="15.75" customHeight="1" x14ac:dyDescent="0.3">
      <c r="A15" s="269" t="s">
        <v>69</v>
      </c>
      <c r="B15" s="361" t="s">
        <v>54</v>
      </c>
      <c r="C15" s="271">
        <v>8.1592410766617931</v>
      </c>
      <c r="D15" s="272">
        <v>4.1596065811346339</v>
      </c>
      <c r="E15" s="272">
        <v>10.449723389700626</v>
      </c>
      <c r="F15" s="272">
        <v>3.8583185343512572</v>
      </c>
      <c r="G15" s="272">
        <v>11.948116862140235</v>
      </c>
      <c r="H15" s="272">
        <v>17.289323923174681</v>
      </c>
      <c r="I15" s="272">
        <v>10.455826735704887</v>
      </c>
      <c r="J15" s="272">
        <v>1.9115721763727223</v>
      </c>
      <c r="K15" s="272">
        <v>8.3367292097917378</v>
      </c>
      <c r="L15" s="272">
        <v>12.281732484426033</v>
      </c>
      <c r="M15" s="272">
        <v>-0.29511843249733216</v>
      </c>
      <c r="N15" s="272">
        <v>7.3944021945271832</v>
      </c>
      <c r="O15" s="273">
        <v>13.948905192132877</v>
      </c>
    </row>
    <row r="16" spans="1:15" ht="15.75" customHeight="1" x14ac:dyDescent="0.3">
      <c r="A16" s="101"/>
      <c r="B16" s="100" t="s">
        <v>56</v>
      </c>
      <c r="C16" s="103">
        <v>9.2324135877829718</v>
      </c>
      <c r="D16" s="104">
        <v>5.7357750266271434</v>
      </c>
      <c r="E16" s="105">
        <v>10.073638149773112</v>
      </c>
      <c r="F16" s="105">
        <v>4.7916768549211897</v>
      </c>
      <c r="G16" s="105">
        <v>19.251740705507679</v>
      </c>
      <c r="H16" s="105">
        <v>12.996356342254444</v>
      </c>
      <c r="I16" s="105">
        <v>12.266912889846049</v>
      </c>
      <c r="J16" s="105">
        <v>5.6652042934306479</v>
      </c>
      <c r="K16" s="105">
        <v>7.5800798513029566</v>
      </c>
      <c r="L16" s="105">
        <v>8.4810469745685513</v>
      </c>
      <c r="M16" s="105">
        <v>-1.9464535546838468</v>
      </c>
      <c r="N16" s="105">
        <v>5.777684988425813</v>
      </c>
      <c r="O16" s="106">
        <v>10.365928975038319</v>
      </c>
    </row>
    <row r="17" spans="1:15" ht="15.75" customHeight="1" x14ac:dyDescent="0.3">
      <c r="A17" s="101"/>
      <c r="B17" s="156" t="s">
        <v>65</v>
      </c>
      <c r="C17" s="97">
        <v>-9.4580824563571415</v>
      </c>
      <c r="D17" s="98">
        <v>-12.742833651828301</v>
      </c>
      <c r="E17" s="98">
        <v>-9.5681500815039797</v>
      </c>
      <c r="F17" s="98">
        <v>-12.424759642565919</v>
      </c>
      <c r="G17" s="98">
        <v>-5.6597482158622592</v>
      </c>
      <c r="H17" s="98">
        <v>-7.0815816108690477</v>
      </c>
      <c r="I17" s="98">
        <v>-6.7095725915044646</v>
      </c>
      <c r="J17" s="98">
        <v>-6.475885413304006</v>
      </c>
      <c r="K17" s="98">
        <v>-10.131891404414549</v>
      </c>
      <c r="L17" s="98">
        <v>-8.4697449961581679</v>
      </c>
      <c r="M17" s="98">
        <v>-15.370549604726314</v>
      </c>
      <c r="N17" s="98">
        <v>-11.682998918702337</v>
      </c>
      <c r="O17" s="99">
        <v>-7.5097073562006127</v>
      </c>
    </row>
    <row r="18" spans="1:15" ht="15.75" customHeight="1" x14ac:dyDescent="0.3">
      <c r="A18" s="101"/>
      <c r="B18" s="100" t="s">
        <v>66</v>
      </c>
      <c r="C18" s="103">
        <v>-30.051356774417581</v>
      </c>
      <c r="D18" s="104">
        <v>-32.003725618784848</v>
      </c>
      <c r="E18" s="105">
        <v>-29.284367074097496</v>
      </c>
      <c r="F18" s="107">
        <v>-33.588254321838171</v>
      </c>
      <c r="G18" s="105">
        <v>-27.311857607944432</v>
      </c>
      <c r="H18" s="105">
        <v>-29.066746607981997</v>
      </c>
      <c r="I18" s="105">
        <v>-27.680363499823322</v>
      </c>
      <c r="J18" s="105">
        <v>-28.485584373522819</v>
      </c>
      <c r="K18" s="105">
        <v>-31.745894023849452</v>
      </c>
      <c r="L18" s="105">
        <v>-30.700309736857655</v>
      </c>
      <c r="M18" s="105">
        <v>-36.345300079172674</v>
      </c>
      <c r="N18" s="105">
        <v>-32.99696384848032</v>
      </c>
      <c r="O18" s="106">
        <v>-28.500560395188479</v>
      </c>
    </row>
    <row r="19" spans="1:15" ht="15.75" customHeight="1" x14ac:dyDescent="0.3">
      <c r="A19" s="101"/>
      <c r="B19" s="156" t="s">
        <v>15</v>
      </c>
      <c r="C19" s="97">
        <v>-42.934949893658526</v>
      </c>
      <c r="D19" s="98">
        <v>-46.126238724926353</v>
      </c>
      <c r="E19" s="98">
        <v>-41.130060977479332</v>
      </c>
      <c r="F19" s="98">
        <v>-43.98415543879176</v>
      </c>
      <c r="G19" s="98">
        <v>-39.207291729958037</v>
      </c>
      <c r="H19" s="98">
        <v>-41.269472481798509</v>
      </c>
      <c r="I19" s="98">
        <v>-41.461162318022581</v>
      </c>
      <c r="J19" s="98">
        <v>-41.996095955294003</v>
      </c>
      <c r="K19" s="98">
        <v>-45.684164547188843</v>
      </c>
      <c r="L19" s="98">
        <v>-43.291524141165297</v>
      </c>
      <c r="M19" s="98">
        <v>-46.401005517806041</v>
      </c>
      <c r="N19" s="98">
        <v>-45.526590770564049</v>
      </c>
      <c r="O19" s="99">
        <v>-41.858951441218771</v>
      </c>
    </row>
    <row r="20" spans="1:15" ht="15.75" customHeight="1" x14ac:dyDescent="0.3">
      <c r="A20" s="101"/>
      <c r="B20" s="109" t="s">
        <v>67</v>
      </c>
      <c r="C20" s="192">
        <v>-51.304689056285468</v>
      </c>
      <c r="D20" s="198">
        <v>-53.03216503413487</v>
      </c>
      <c r="E20" s="198">
        <v>-49.09262582975542</v>
      </c>
      <c r="F20" s="198">
        <v>-54.614664891783995</v>
      </c>
      <c r="G20" s="198">
        <v>-48.574650457923262</v>
      </c>
      <c r="H20" s="198">
        <v>-51.390429217753784</v>
      </c>
      <c r="I20" s="198">
        <v>-50.1770610255994</v>
      </c>
      <c r="J20" s="198">
        <v>-52.001782326070781</v>
      </c>
      <c r="K20" s="198">
        <v>-53.973654743588497</v>
      </c>
      <c r="L20" s="198">
        <v>-51.644181482471076</v>
      </c>
      <c r="M20" s="198">
        <v>-51.033197120748639</v>
      </c>
      <c r="N20" s="198">
        <v>-54.0659933012426</v>
      </c>
      <c r="O20" s="199">
        <v>-51.256879854113372</v>
      </c>
    </row>
    <row r="21" spans="1:15" ht="15.75" customHeight="1" x14ac:dyDescent="0.3">
      <c r="A21" s="101"/>
      <c r="B21" s="156" t="s">
        <v>87</v>
      </c>
      <c r="C21" s="97">
        <v>-57.457834878657529</v>
      </c>
      <c r="D21" s="98">
        <v>-58.537971039962436</v>
      </c>
      <c r="E21" s="98">
        <v>-55.946016446194946</v>
      </c>
      <c r="F21" s="98">
        <v>-60.842249830476248</v>
      </c>
      <c r="G21" s="98">
        <v>-55.240693933017404</v>
      </c>
      <c r="H21" s="98">
        <v>-57.633302319589163</v>
      </c>
      <c r="I21" s="98">
        <v>-56.17364357835222</v>
      </c>
      <c r="J21" s="98">
        <v>-59.200499316728994</v>
      </c>
      <c r="K21" s="98">
        <v>-59.333056758450397</v>
      </c>
      <c r="L21" s="98">
        <v>-56.436022394754026</v>
      </c>
      <c r="M21" s="98">
        <v>-53.687242865322673</v>
      </c>
      <c r="N21" s="98">
        <v>-59.168431448798067</v>
      </c>
      <c r="O21" s="99">
        <v>-59.041385695722283</v>
      </c>
    </row>
    <row r="22" spans="1:15" ht="15.75" customHeight="1" x14ac:dyDescent="0.3">
      <c r="A22" s="101"/>
      <c r="B22" s="109" t="s">
        <v>9</v>
      </c>
      <c r="C22" s="192">
        <v>-62.175433584714888</v>
      </c>
      <c r="D22" s="198">
        <v>-62.679499176545114</v>
      </c>
      <c r="E22" s="198">
        <v>-61.619826165549242</v>
      </c>
      <c r="F22" s="198">
        <v>-64.827544835030238</v>
      </c>
      <c r="G22" s="198">
        <v>-60.594531688829619</v>
      </c>
      <c r="H22" s="198">
        <v>-61.599432948078437</v>
      </c>
      <c r="I22" s="198">
        <v>-61.049058655039026</v>
      </c>
      <c r="J22" s="198">
        <v>-64.535503359457209</v>
      </c>
      <c r="K22" s="198">
        <v>-63.382725706505362</v>
      </c>
      <c r="L22" s="198">
        <v>-60.016767955427341</v>
      </c>
      <c r="M22" s="198">
        <v>-55.636926180436809</v>
      </c>
      <c r="N22" s="198">
        <v>-62.908001043406813</v>
      </c>
      <c r="O22" s="199">
        <v>-63.584580112390967</v>
      </c>
    </row>
    <row r="23" spans="1:15" ht="15.75" customHeight="1" x14ac:dyDescent="0.3">
      <c r="A23" s="101"/>
      <c r="B23" s="156" t="s">
        <v>10</v>
      </c>
      <c r="C23" s="97">
        <v>-64.611451888946874</v>
      </c>
      <c r="D23" s="98">
        <v>-65.613426754699759</v>
      </c>
      <c r="E23" s="98">
        <v>-64.844928457275827</v>
      </c>
      <c r="F23" s="98">
        <v>-65.895239259798103</v>
      </c>
      <c r="G23" s="98">
        <v>-62.824353285716214</v>
      </c>
      <c r="H23" s="98">
        <v>-61.512173538589977</v>
      </c>
      <c r="I23" s="98">
        <v>-62.877571569083671</v>
      </c>
      <c r="J23" s="98">
        <v>-68.558087174182958</v>
      </c>
      <c r="K23" s="98">
        <v>-64.631149709002813</v>
      </c>
      <c r="L23" s="98">
        <v>-60.713197590133561</v>
      </c>
      <c r="M23" s="98">
        <v>-54.965865700645942</v>
      </c>
      <c r="N23" s="98">
        <v>-63.708664057034646</v>
      </c>
      <c r="O23" s="99">
        <v>-66.466575023879017</v>
      </c>
    </row>
    <row r="24" spans="1:15" ht="15.75" customHeight="1" x14ac:dyDescent="0.3">
      <c r="A24" s="101"/>
      <c r="B24" s="109" t="s">
        <v>11</v>
      </c>
      <c r="C24" s="192">
        <v>-64.604731617672257</v>
      </c>
      <c r="D24" s="198">
        <v>-67.038865039858365</v>
      </c>
      <c r="E24" s="198">
        <v>-65.018612209671133</v>
      </c>
      <c r="F24" s="198">
        <v>-63.457933083494957</v>
      </c>
      <c r="G24" s="198">
        <v>-61.295247078662385</v>
      </c>
      <c r="H24" s="198">
        <v>-58.376593514842746</v>
      </c>
      <c r="I24" s="198">
        <v>-62.514906689817337</v>
      </c>
      <c r="J24" s="198">
        <v>-70.47569390923492</v>
      </c>
      <c r="K24" s="198">
        <v>-64.028855870933739</v>
      </c>
      <c r="L24" s="198">
        <v>-59.295020490800219</v>
      </c>
      <c r="M24" s="198">
        <v>-50.667073845236807</v>
      </c>
      <c r="N24" s="198">
        <v>-62.409841519631094</v>
      </c>
      <c r="O24" s="199">
        <v>-68.702294270637609</v>
      </c>
    </row>
    <row r="25" spans="1:15" ht="15.75" customHeight="1" x14ac:dyDescent="0.3">
      <c r="A25" s="101"/>
      <c r="B25" s="156" t="s">
        <v>12</v>
      </c>
      <c r="C25" s="97">
        <v>-63.985796581609321</v>
      </c>
      <c r="D25" s="98">
        <v>-67.271424422579599</v>
      </c>
      <c r="E25" s="98">
        <v>-65.060953804371223</v>
      </c>
      <c r="F25" s="98">
        <v>-61.137267631499803</v>
      </c>
      <c r="G25" s="98">
        <v>-59.593249362987464</v>
      </c>
      <c r="H25" s="98">
        <v>-55.751359660024704</v>
      </c>
      <c r="I25" s="98">
        <v>-61.686442583095968</v>
      </c>
      <c r="J25" s="98">
        <v>-70.996698516105397</v>
      </c>
      <c r="K25" s="98">
        <v>-62.348061804232955</v>
      </c>
      <c r="L25" s="98">
        <v>-57.146215470618166</v>
      </c>
      <c r="M25" s="98">
        <v>-47.38701246748208</v>
      </c>
      <c r="N25" s="98">
        <v>-59.683317204990274</v>
      </c>
      <c r="O25" s="99">
        <v>-70.036799897068775</v>
      </c>
    </row>
    <row r="26" spans="1:15" ht="15.75" customHeight="1" x14ac:dyDescent="0.3">
      <c r="A26" s="101"/>
      <c r="B26" s="109" t="s">
        <v>13</v>
      </c>
      <c r="C26" s="192">
        <v>-62.577211355744652</v>
      </c>
      <c r="D26" s="198">
        <v>-66.785869711362338</v>
      </c>
      <c r="E26" s="198">
        <v>-64.287266217093759</v>
      </c>
      <c r="F26" s="198">
        <v>-58.092365111021095</v>
      </c>
      <c r="G26" s="198">
        <v>-56.902903520525719</v>
      </c>
      <c r="H26" s="198">
        <v>-52.593410903388495</v>
      </c>
      <c r="I26" s="198">
        <v>-60.074666785661677</v>
      </c>
      <c r="J26" s="198">
        <v>-69.947645998135826</v>
      </c>
      <c r="K26" s="198">
        <v>-60.697664126606298</v>
      </c>
      <c r="L26" s="198">
        <v>-55.033554948733411</v>
      </c>
      <c r="M26" s="198">
        <v>-44.44973337340565</v>
      </c>
      <c r="N26" s="198">
        <v>-56.353226327814724</v>
      </c>
      <c r="O26" s="199">
        <v>-70.925851826423084</v>
      </c>
    </row>
    <row r="27" spans="1:15" ht="15.75" customHeight="1" x14ac:dyDescent="0.3">
      <c r="A27" s="156" t="s">
        <v>124</v>
      </c>
      <c r="B27" s="156" t="s">
        <v>54</v>
      </c>
      <c r="C27" s="97">
        <v>-45.562466789765345</v>
      </c>
      <c r="D27" s="98">
        <v>-67.192310728996034</v>
      </c>
      <c r="E27" s="98">
        <v>-50.594362147012831</v>
      </c>
      <c r="F27" s="98">
        <v>-33.53052320636737</v>
      </c>
      <c r="G27" s="98">
        <v>-20.084274297718441</v>
      </c>
      <c r="H27" s="98">
        <v>-31.432758035379027</v>
      </c>
      <c r="I27" s="98">
        <v>-46.622661340733806</v>
      </c>
      <c r="J27" s="98">
        <v>-49.322744177013732</v>
      </c>
      <c r="K27" s="98">
        <v>-49.046071964878557</v>
      </c>
      <c r="L27" s="98">
        <v>-26.294864224360026</v>
      </c>
      <c r="M27" s="98">
        <v>-18.309695192736331</v>
      </c>
      <c r="N27" s="98">
        <v>-19.668785841437717</v>
      </c>
      <c r="O27" s="99">
        <v>-70.803195372604137</v>
      </c>
    </row>
    <row r="28" spans="1:15" ht="15.75" customHeight="1" x14ac:dyDescent="0.3">
      <c r="A28" s="109"/>
      <c r="B28" s="111" t="s">
        <v>56</v>
      </c>
      <c r="C28" s="192">
        <v>-48.718349611226543</v>
      </c>
      <c r="D28" s="198">
        <v>-69.138082270268413</v>
      </c>
      <c r="E28" s="198">
        <v>-55.258817356787837</v>
      </c>
      <c r="F28" s="198">
        <v>-30.671333987507378</v>
      </c>
      <c r="G28" s="198">
        <v>-27.19536952830769</v>
      </c>
      <c r="H28" s="198">
        <v>-30.142834982968068</v>
      </c>
      <c r="I28" s="198">
        <v>-46.681744507616195</v>
      </c>
      <c r="J28" s="198">
        <v>-47.067471002558889</v>
      </c>
      <c r="K28" s="198">
        <v>-48.560802418849569</v>
      </c>
      <c r="L28" s="198">
        <v>-27.363985735288821</v>
      </c>
      <c r="M28" s="198">
        <v>-18.569554715584637</v>
      </c>
      <c r="N28" s="198">
        <v>-15.233297342631547</v>
      </c>
      <c r="O28" s="199">
        <v>-73.670411939486272</v>
      </c>
    </row>
    <row r="29" spans="1:15" ht="15.75" customHeight="1" x14ac:dyDescent="0.3">
      <c r="A29" s="109"/>
      <c r="B29" s="96" t="s">
        <v>65</v>
      </c>
      <c r="C29" s="97">
        <v>-35.454627500329984</v>
      </c>
      <c r="D29" s="98">
        <v>-60.63435703523119</v>
      </c>
      <c r="E29" s="98">
        <v>-41.868452471678232</v>
      </c>
      <c r="F29" s="98">
        <v>-7.1139925938039861</v>
      </c>
      <c r="G29" s="98">
        <v>-11.562857474881971</v>
      </c>
      <c r="H29" s="98">
        <v>-11.687892641119769</v>
      </c>
      <c r="I29" s="98">
        <v>-32.47957635937172</v>
      </c>
      <c r="J29" s="98">
        <v>-35.010601847510223</v>
      </c>
      <c r="K29" s="98">
        <v>-31.869782647223698</v>
      </c>
      <c r="L29" s="98">
        <v>-10.449662567115981</v>
      </c>
      <c r="M29" s="98">
        <v>0.47704766253251485</v>
      </c>
      <c r="N29" s="98">
        <v>2.6843155381780726</v>
      </c>
      <c r="O29" s="99">
        <v>-69.86510331695473</v>
      </c>
    </row>
    <row r="30" spans="1:15" ht="15.75" customHeight="1" x14ac:dyDescent="0.3">
      <c r="A30" s="109"/>
      <c r="B30" s="111" t="s">
        <v>66</v>
      </c>
      <c r="C30" s="192">
        <v>-17.557018156670544</v>
      </c>
      <c r="D30" s="198">
        <v>-49.867677721052182</v>
      </c>
      <c r="E30" s="198">
        <v>-23.377905992073234</v>
      </c>
      <c r="F30" s="198">
        <v>18.127740212204557</v>
      </c>
      <c r="G30" s="198">
        <v>5.3062373910710336</v>
      </c>
      <c r="H30" s="198">
        <v>13.356970287431192</v>
      </c>
      <c r="I30" s="198">
        <v>-16.422708117956773</v>
      </c>
      <c r="J30" s="198">
        <v>-11.657691311204099</v>
      </c>
      <c r="K30" s="198">
        <v>-8.3204266142837486</v>
      </c>
      <c r="L30" s="198">
        <v>16.93967424365994</v>
      </c>
      <c r="M30" s="198">
        <v>29.235434820125739</v>
      </c>
      <c r="N30" s="198">
        <v>28.607914976981917</v>
      </c>
      <c r="O30" s="199">
        <v>-62.446531026822292</v>
      </c>
    </row>
    <row r="31" spans="1:15" ht="15.75" customHeight="1" x14ac:dyDescent="0.3">
      <c r="A31" s="109"/>
      <c r="B31" s="96" t="s">
        <v>15</v>
      </c>
      <c r="C31" s="97">
        <v>-2.0353308068305043</v>
      </c>
      <c r="D31" s="98">
        <v>-38.834871378486532</v>
      </c>
      <c r="E31" s="98">
        <v>-8.6779893557454297</v>
      </c>
      <c r="F31" s="98">
        <v>35.903654365842442</v>
      </c>
      <c r="G31" s="98">
        <v>23.930529477544169</v>
      </c>
      <c r="H31" s="98">
        <v>25.708905939438953</v>
      </c>
      <c r="I31" s="98">
        <v>6.9667540081552737E-2</v>
      </c>
      <c r="J31" s="98">
        <v>11.870038406969341</v>
      </c>
      <c r="K31" s="98">
        <v>5.1987513701469146</v>
      </c>
      <c r="L31" s="98">
        <v>38.452958702725851</v>
      </c>
      <c r="M31" s="98">
        <v>49.17001589179992</v>
      </c>
      <c r="N31" s="98">
        <v>52.71212853348559</v>
      </c>
      <c r="O31" s="99">
        <v>-56.157233589739697</v>
      </c>
    </row>
    <row r="32" spans="1:15" ht="15.75" customHeight="1" x14ac:dyDescent="0.3">
      <c r="A32" s="109"/>
      <c r="B32" s="111" t="s">
        <v>67</v>
      </c>
      <c r="C32" s="192">
        <v>19.279752276294062</v>
      </c>
      <c r="D32" s="198">
        <v>-27.008362976475585</v>
      </c>
      <c r="E32" s="198">
        <v>13.094586854159651</v>
      </c>
      <c r="F32" s="198">
        <v>68.827128198739956</v>
      </c>
      <c r="G32" s="198">
        <v>53.627388266308905</v>
      </c>
      <c r="H32" s="198">
        <v>51.661488341799981</v>
      </c>
      <c r="I32" s="198">
        <v>19.888630183796852</v>
      </c>
      <c r="J32" s="198">
        <v>42.74729972758842</v>
      </c>
      <c r="K32" s="198">
        <v>23.071542074704542</v>
      </c>
      <c r="L32" s="198">
        <v>60.892802179394479</v>
      </c>
      <c r="M32" s="198">
        <v>73.684274187821615</v>
      </c>
      <c r="N32" s="198">
        <v>83.976479187900395</v>
      </c>
      <c r="O32" s="199">
        <v>-47.382544368621623</v>
      </c>
    </row>
    <row r="33" spans="1:15" ht="15.75" customHeight="1" x14ac:dyDescent="0.3">
      <c r="A33" s="109"/>
      <c r="B33" s="96" t="s">
        <v>87</v>
      </c>
      <c r="C33" s="97">
        <v>44.497977683617783</v>
      </c>
      <c r="D33" s="98">
        <v>-13.624355240097152</v>
      </c>
      <c r="E33" s="98">
        <v>41.427271163390735</v>
      </c>
      <c r="F33" s="98">
        <v>105.51103749863171</v>
      </c>
      <c r="G33" s="98">
        <v>87.227869699098264</v>
      </c>
      <c r="H33" s="98">
        <v>83.321658744881972</v>
      </c>
      <c r="I33" s="98">
        <v>44.353043187189535</v>
      </c>
      <c r="J33" s="98">
        <v>77.822853850591684</v>
      </c>
      <c r="K33" s="98">
        <v>45.137282040163541</v>
      </c>
      <c r="L33" s="98">
        <v>83.298614217956143</v>
      </c>
      <c r="M33" s="98">
        <v>95.663979149255169</v>
      </c>
      <c r="N33" s="98">
        <v>118.43845734833658</v>
      </c>
      <c r="O33" s="99">
        <v>-31.342557151662241</v>
      </c>
    </row>
    <row r="34" spans="1:15" ht="15.75" customHeight="1" x14ac:dyDescent="0.3">
      <c r="A34" s="109"/>
      <c r="B34" s="111" t="s">
        <v>9</v>
      </c>
      <c r="C34" s="192">
        <v>68.862788853387187</v>
      </c>
      <c r="D34" s="198">
        <v>0.94097072360954659</v>
      </c>
      <c r="E34" s="198">
        <v>70.468246473653423</v>
      </c>
      <c r="F34" s="198">
        <v>134.58402093202909</v>
      </c>
      <c r="G34" s="198">
        <v>118.37816608666697</v>
      </c>
      <c r="H34" s="198">
        <v>106.21275857952752</v>
      </c>
      <c r="I34" s="198">
        <v>68.355278318916973</v>
      </c>
      <c r="J34" s="198">
        <v>112.46731874155702</v>
      </c>
      <c r="K34" s="198">
        <v>68.971451967560597</v>
      </c>
      <c r="L34" s="198">
        <v>104.25504556477367</v>
      </c>
      <c r="M34" s="198">
        <v>114.28622368247044</v>
      </c>
      <c r="N34" s="198">
        <v>147.69168063120611</v>
      </c>
      <c r="O34" s="199">
        <v>-10.406625116248291</v>
      </c>
    </row>
    <row r="35" spans="1:15" ht="15.75" customHeight="1" x14ac:dyDescent="0.3">
      <c r="A35" s="109"/>
      <c r="B35" s="96" t="s">
        <v>10</v>
      </c>
      <c r="C35" s="97">
        <v>86.737213600628579</v>
      </c>
      <c r="D35" s="98">
        <v>15.195584721429544</v>
      </c>
      <c r="E35" s="98">
        <v>94.551636007466215</v>
      </c>
      <c r="F35" s="98">
        <v>148.6221414348957</v>
      </c>
      <c r="G35" s="98">
        <v>137.5065996585445</v>
      </c>
      <c r="H35" s="98">
        <v>112.39559700940389</v>
      </c>
      <c r="I35" s="98">
        <v>83.347335791326117</v>
      </c>
      <c r="J35" s="98">
        <v>145.63033204495349</v>
      </c>
      <c r="K35" s="98">
        <v>83.218946398916003</v>
      </c>
      <c r="L35" s="98">
        <v>112.66874129359338</v>
      </c>
      <c r="M35" s="98">
        <v>118.06261221692296</v>
      </c>
      <c r="N35" s="98">
        <v>157.49142387798892</v>
      </c>
      <c r="O35" s="99">
        <v>6.373817876675858</v>
      </c>
    </row>
    <row r="36" spans="1:15" ht="15.75" customHeight="1" x14ac:dyDescent="0.3">
      <c r="A36" s="360"/>
      <c r="B36" s="401" t="s">
        <v>11</v>
      </c>
      <c r="C36" s="402">
        <v>96.036936139820654</v>
      </c>
      <c r="D36" s="403">
        <v>27.18239230341155</v>
      </c>
      <c r="E36" s="403">
        <v>107.81700962135221</v>
      </c>
      <c r="F36" s="403">
        <v>143.1437552517329</v>
      </c>
      <c r="G36" s="403">
        <v>142.12993264998616</v>
      </c>
      <c r="H36" s="403">
        <v>105.33574214183781</v>
      </c>
      <c r="I36" s="403">
        <v>90.49002834446118</v>
      </c>
      <c r="J36" s="403">
        <v>168.95153864219577</v>
      </c>
      <c r="K36" s="403">
        <v>88.371711039750593</v>
      </c>
      <c r="L36" s="403">
        <v>113.15217485320778</v>
      </c>
      <c r="M36" s="403">
        <v>106.59211052550303</v>
      </c>
      <c r="N36" s="403">
        <v>154.82273293804934</v>
      </c>
      <c r="O36" s="404">
        <v>25.289267781273072</v>
      </c>
    </row>
    <row r="37" spans="1:15" s="109" customFormat="1" ht="15" customHeight="1" x14ac:dyDescent="0.3">
      <c r="A37" s="108"/>
      <c r="D37" s="110"/>
      <c r="O37" s="111"/>
    </row>
    <row r="38" spans="1:15" s="109" customFormat="1" x14ac:dyDescent="0.3">
      <c r="A38" s="108"/>
      <c r="B38" s="109" t="s">
        <v>84</v>
      </c>
      <c r="D38" s="110"/>
      <c r="O38" s="111"/>
    </row>
    <row r="39" spans="1:15" s="109" customFormat="1" x14ac:dyDescent="0.3">
      <c r="A39" s="108"/>
      <c r="B39" s="112" t="s">
        <v>17</v>
      </c>
      <c r="D39" s="110"/>
      <c r="O39" s="111"/>
    </row>
    <row r="40" spans="1:15" s="114" customFormat="1" ht="14.25" customHeight="1" x14ac:dyDescent="0.25">
      <c r="A40" s="113"/>
      <c r="B40" s="423" t="s">
        <v>73</v>
      </c>
      <c r="C40" s="424"/>
      <c r="D40" s="424"/>
      <c r="E40" s="424"/>
      <c r="F40" s="424"/>
      <c r="G40" s="424"/>
      <c r="H40" s="424"/>
      <c r="I40" s="424"/>
      <c r="J40" s="424"/>
      <c r="K40" s="424"/>
      <c r="O40" s="115"/>
    </row>
    <row r="41" spans="1:15" s="117" customFormat="1" ht="27" customHeight="1" x14ac:dyDescent="0.3">
      <c r="A41" s="116"/>
      <c r="B41" s="424"/>
      <c r="C41" s="424"/>
      <c r="D41" s="424"/>
      <c r="E41" s="424"/>
      <c r="F41" s="424"/>
      <c r="G41" s="424"/>
      <c r="H41" s="424"/>
      <c r="I41" s="424"/>
      <c r="J41" s="424"/>
      <c r="K41" s="424"/>
      <c r="O41" s="118"/>
    </row>
    <row r="42" spans="1:15" s="117" customFormat="1" ht="25.5" customHeight="1" x14ac:dyDescent="0.3">
      <c r="A42" s="116"/>
      <c r="B42" s="424"/>
      <c r="C42" s="424"/>
      <c r="D42" s="424"/>
      <c r="E42" s="424"/>
      <c r="F42" s="424"/>
      <c r="G42" s="424"/>
      <c r="H42" s="424"/>
      <c r="I42" s="424"/>
      <c r="J42" s="424"/>
      <c r="K42" s="424"/>
      <c r="O42" s="118"/>
    </row>
    <row r="43" spans="1:15" s="117" customFormat="1" ht="26.25" customHeight="1" x14ac:dyDescent="0.3">
      <c r="A43" s="116"/>
      <c r="B43" s="424"/>
      <c r="C43" s="424"/>
      <c r="D43" s="424"/>
      <c r="E43" s="424"/>
      <c r="F43" s="424"/>
      <c r="G43" s="424"/>
      <c r="H43" s="424"/>
      <c r="I43" s="424"/>
      <c r="J43" s="424"/>
      <c r="K43" s="424"/>
      <c r="O43" s="118"/>
    </row>
    <row r="44" spans="1:15" s="120" customFormat="1" ht="32.25" customHeight="1" x14ac:dyDescent="0.3">
      <c r="A44" s="119"/>
      <c r="B44" s="424" t="s">
        <v>19</v>
      </c>
      <c r="C44" s="424"/>
      <c r="D44" s="424"/>
      <c r="E44" s="424"/>
      <c r="F44" s="424"/>
      <c r="G44" s="424"/>
      <c r="H44" s="424"/>
      <c r="I44" s="424"/>
      <c r="J44" s="424"/>
      <c r="K44" s="424"/>
      <c r="O44" s="121"/>
    </row>
    <row r="45" spans="1:15" s="120" customFormat="1" x14ac:dyDescent="0.3">
      <c r="A45" s="119"/>
      <c r="B45" s="419" t="s">
        <v>159</v>
      </c>
      <c r="C45" s="419"/>
      <c r="D45" s="419"/>
      <c r="E45" s="419"/>
      <c r="F45" s="419"/>
      <c r="G45" s="419"/>
      <c r="H45" s="419"/>
      <c r="I45" s="419"/>
      <c r="J45" s="373"/>
      <c r="K45" s="373"/>
      <c r="O45" s="121"/>
    </row>
    <row r="46" spans="1:15" ht="15" customHeight="1" x14ac:dyDescent="0.3">
      <c r="A46" s="123"/>
      <c r="B46" s="124" t="str">
        <f>'1.1 V.A Ing.real'!B45</f>
        <v>Actualizado el 15 de diciembre de 2021</v>
      </c>
      <c r="C46" s="124"/>
      <c r="D46" s="124"/>
      <c r="E46" s="124"/>
      <c r="F46" s="124"/>
      <c r="G46" s="124"/>
      <c r="H46" s="124"/>
      <c r="I46" s="124"/>
      <c r="J46" s="124"/>
      <c r="O46" s="102"/>
    </row>
    <row r="47" spans="1:15" s="83" customFormat="1" x14ac:dyDescent="0.3">
      <c r="A47" s="125"/>
      <c r="B47" s="126"/>
      <c r="C47" s="126"/>
      <c r="D47" s="126"/>
      <c r="E47" s="126"/>
      <c r="F47" s="126"/>
      <c r="G47" s="126"/>
      <c r="H47" s="126"/>
      <c r="I47" s="126"/>
      <c r="J47" s="126"/>
      <c r="K47" s="126"/>
      <c r="L47" s="126"/>
      <c r="M47" s="126"/>
      <c r="N47" s="126"/>
      <c r="O47" s="127"/>
    </row>
    <row r="49" spans="3:15" x14ac:dyDescent="0.3">
      <c r="C49" s="374"/>
      <c r="D49" s="374"/>
      <c r="E49" s="374"/>
      <c r="F49" s="374"/>
      <c r="G49" s="374"/>
      <c r="H49" s="374"/>
      <c r="I49" s="374"/>
      <c r="J49" s="374"/>
      <c r="K49" s="374"/>
      <c r="L49" s="374"/>
      <c r="M49" s="374"/>
      <c r="N49" s="374"/>
      <c r="O49" s="374"/>
    </row>
    <row r="65" spans="3:15" x14ac:dyDescent="0.3">
      <c r="C65" s="374"/>
      <c r="D65" s="374"/>
      <c r="E65" s="374"/>
      <c r="F65" s="374"/>
      <c r="G65" s="374"/>
      <c r="H65" s="374"/>
      <c r="I65" s="374"/>
      <c r="J65" s="374"/>
      <c r="K65" s="374"/>
      <c r="L65" s="374"/>
      <c r="M65" s="374"/>
      <c r="N65" s="374"/>
      <c r="O65" s="374"/>
    </row>
    <row r="66" spans="3:15" x14ac:dyDescent="0.3">
      <c r="C66" s="374"/>
      <c r="D66" s="374"/>
      <c r="E66" s="374"/>
      <c r="F66" s="374"/>
      <c r="G66" s="374"/>
      <c r="H66" s="374"/>
      <c r="I66" s="374"/>
      <c r="J66" s="374"/>
      <c r="K66" s="374"/>
      <c r="L66" s="374"/>
      <c r="M66" s="374"/>
      <c r="N66" s="374"/>
      <c r="O66" s="374"/>
    </row>
    <row r="67" spans="3:15" x14ac:dyDescent="0.3">
      <c r="C67" s="374"/>
      <c r="D67" s="374"/>
      <c r="E67" s="374"/>
      <c r="F67" s="374"/>
      <c r="G67" s="374"/>
      <c r="H67" s="374"/>
      <c r="I67" s="374"/>
      <c r="J67" s="374"/>
      <c r="K67" s="374"/>
      <c r="L67" s="374"/>
      <c r="M67" s="374"/>
      <c r="N67" s="374"/>
      <c r="O67" s="374"/>
    </row>
    <row r="68" spans="3:15" x14ac:dyDescent="0.3">
      <c r="C68" s="374"/>
      <c r="D68" s="374"/>
      <c r="E68" s="374"/>
      <c r="F68" s="374"/>
      <c r="G68" s="374"/>
      <c r="H68" s="374"/>
      <c r="I68" s="374"/>
      <c r="J68" s="374"/>
      <c r="K68" s="374"/>
      <c r="L68" s="374"/>
      <c r="M68" s="374"/>
      <c r="N68" s="374"/>
      <c r="O68" s="374"/>
    </row>
    <row r="69" spans="3:15" x14ac:dyDescent="0.3">
      <c r="C69" s="374"/>
      <c r="D69" s="374"/>
      <c r="E69" s="374"/>
      <c r="F69" s="374"/>
      <c r="G69" s="374"/>
      <c r="H69" s="374"/>
      <c r="I69" s="374"/>
      <c r="J69" s="374"/>
      <c r="K69" s="374"/>
      <c r="L69" s="374"/>
      <c r="M69" s="374"/>
      <c r="N69" s="374"/>
      <c r="O69" s="374"/>
    </row>
    <row r="70" spans="3:15" x14ac:dyDescent="0.3">
      <c r="C70" s="374"/>
      <c r="D70" s="374"/>
      <c r="E70" s="374"/>
      <c r="F70" s="374"/>
      <c r="G70" s="374"/>
      <c r="H70" s="374"/>
      <c r="I70" s="374"/>
      <c r="J70" s="374"/>
      <c r="K70" s="374"/>
      <c r="L70" s="374"/>
      <c r="M70" s="374"/>
      <c r="N70" s="374"/>
      <c r="O70" s="374"/>
    </row>
    <row r="71" spans="3:15" x14ac:dyDescent="0.3">
      <c r="C71" s="374"/>
      <c r="D71" s="374"/>
      <c r="E71" s="374"/>
      <c r="F71" s="374"/>
      <c r="G71" s="374"/>
      <c r="H71" s="374"/>
      <c r="I71" s="374"/>
      <c r="J71" s="374"/>
      <c r="K71" s="374"/>
      <c r="L71" s="374"/>
      <c r="M71" s="374"/>
      <c r="N71" s="374"/>
      <c r="O71" s="374"/>
    </row>
    <row r="72" spans="3:15" x14ac:dyDescent="0.3">
      <c r="C72" s="374"/>
      <c r="D72" s="374"/>
      <c r="E72" s="374"/>
      <c r="F72" s="374"/>
      <c r="G72" s="374"/>
      <c r="H72" s="374"/>
      <c r="I72" s="374"/>
      <c r="J72" s="374"/>
      <c r="K72" s="374"/>
      <c r="L72" s="374"/>
      <c r="M72" s="374"/>
      <c r="N72" s="374"/>
      <c r="O72" s="374"/>
    </row>
    <row r="73" spans="3:15" x14ac:dyDescent="0.3">
      <c r="C73" s="374"/>
      <c r="D73" s="374"/>
      <c r="E73" s="374"/>
      <c r="F73" s="374"/>
      <c r="G73" s="374"/>
      <c r="H73" s="374"/>
      <c r="I73" s="374"/>
      <c r="J73" s="374"/>
      <c r="K73" s="374"/>
      <c r="L73" s="374"/>
      <c r="M73" s="374"/>
      <c r="N73" s="374"/>
      <c r="O73" s="374"/>
    </row>
    <row r="74" spans="3:15" x14ac:dyDescent="0.3">
      <c r="C74" s="374"/>
      <c r="D74" s="374"/>
      <c r="E74" s="374"/>
      <c r="F74" s="374"/>
      <c r="G74" s="374"/>
      <c r="H74" s="374"/>
      <c r="I74" s="374"/>
      <c r="J74" s="374"/>
      <c r="K74" s="374"/>
      <c r="L74" s="374"/>
      <c r="M74" s="374"/>
      <c r="N74" s="374"/>
      <c r="O74" s="374"/>
    </row>
    <row r="75" spans="3:15" x14ac:dyDescent="0.3">
      <c r="C75" s="374"/>
      <c r="D75" s="374"/>
      <c r="E75" s="374"/>
      <c r="F75" s="374"/>
      <c r="G75" s="374"/>
      <c r="H75" s="374"/>
      <c r="I75" s="374"/>
      <c r="J75" s="374"/>
      <c r="K75" s="374"/>
      <c r="L75" s="374"/>
      <c r="M75" s="374"/>
      <c r="N75" s="374"/>
      <c r="O75" s="374"/>
    </row>
    <row r="76" spans="3:15" x14ac:dyDescent="0.3">
      <c r="C76" s="374"/>
      <c r="D76" s="374"/>
      <c r="E76" s="374"/>
      <c r="F76" s="374"/>
      <c r="G76" s="374"/>
      <c r="H76" s="374"/>
      <c r="I76" s="374"/>
      <c r="J76" s="374"/>
      <c r="K76" s="374"/>
      <c r="L76" s="374"/>
      <c r="M76" s="374"/>
      <c r="N76" s="374"/>
      <c r="O76" s="374"/>
    </row>
    <row r="77" spans="3:15" x14ac:dyDescent="0.3">
      <c r="C77" s="374"/>
      <c r="D77" s="374"/>
      <c r="E77" s="374"/>
      <c r="F77" s="374"/>
      <c r="G77" s="374"/>
      <c r="H77" s="374"/>
      <c r="I77" s="374"/>
      <c r="J77" s="374"/>
      <c r="K77" s="374"/>
      <c r="L77" s="374"/>
      <c r="M77" s="374"/>
      <c r="N77" s="374"/>
      <c r="O77" s="374"/>
    </row>
    <row r="78" spans="3:15" x14ac:dyDescent="0.3">
      <c r="C78" s="374"/>
      <c r="D78" s="374"/>
      <c r="E78" s="374"/>
      <c r="F78" s="374"/>
      <c r="G78" s="374"/>
      <c r="H78" s="374"/>
      <c r="I78" s="374"/>
      <c r="J78" s="374"/>
      <c r="K78" s="374"/>
      <c r="L78" s="374"/>
      <c r="M78" s="374"/>
      <c r="N78" s="374"/>
      <c r="O78" s="374"/>
    </row>
  </sheetData>
  <mergeCells count="4">
    <mergeCell ref="B40:K43"/>
    <mergeCell ref="B44:K44"/>
    <mergeCell ref="A7:H8"/>
    <mergeCell ref="B45:I45"/>
  </mergeCells>
  <hyperlinks>
    <hyperlink ref="L4" location="Contenido!A1" display="Inicio" xr:uid="{00000000-0004-0000-02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35"/>
  <sheetViews>
    <sheetView showGridLines="0" zoomScale="80" zoomScaleNormal="80" zoomScaleSheetLayoutView="90" workbookViewId="0">
      <pane ySplit="14" topLeftCell="A15" activePane="bottomLeft" state="frozen"/>
      <selection pane="bottomLeft" activeCell="A7" sqref="A7:H8"/>
    </sheetView>
  </sheetViews>
  <sheetFormatPr baseColWidth="10" defaultColWidth="11.42578125" defaultRowHeight="16.5" x14ac:dyDescent="0.3"/>
  <cols>
    <col min="1" max="1" width="11.140625" style="100" customWidth="1"/>
    <col min="2" max="3" width="26.42578125" style="128" customWidth="1"/>
    <col min="4" max="4" width="18.42578125" style="128" customWidth="1"/>
    <col min="5" max="5" width="15.42578125" style="100" customWidth="1"/>
    <col min="6" max="6" width="18" style="100" customWidth="1"/>
    <col min="7" max="9" width="12.85546875" style="100" bestFit="1" customWidth="1"/>
    <col min="10" max="10" width="13.28515625" style="100" customWidth="1"/>
    <col min="11" max="11" width="12.85546875" style="100" bestFit="1" customWidth="1"/>
    <col min="12" max="12" width="14.28515625" style="100" customWidth="1"/>
    <col min="13" max="13" width="12.85546875" style="100" bestFit="1" customWidth="1"/>
    <col min="14" max="14" width="14.7109375" style="100" customWidth="1"/>
    <col min="15" max="15" width="15.42578125" style="100" customWidth="1"/>
    <col min="16" max="16384" width="11.42578125" style="100"/>
  </cols>
  <sheetData>
    <row r="1" spans="1:15" s="83" customFormat="1" ht="12" customHeight="1" x14ac:dyDescent="0.3">
      <c r="A1" s="80"/>
      <c r="B1" s="81"/>
      <c r="C1" s="81"/>
      <c r="D1" s="81"/>
      <c r="E1" s="81"/>
      <c r="F1" s="82"/>
      <c r="G1" s="82"/>
      <c r="H1" s="82"/>
      <c r="I1" s="82"/>
      <c r="J1" s="82"/>
      <c r="K1" s="82"/>
      <c r="L1" s="82"/>
      <c r="M1" s="82"/>
      <c r="N1" s="82"/>
      <c r="O1" s="82"/>
    </row>
    <row r="2" spans="1:15" s="87" customFormat="1" x14ac:dyDescent="0.3">
      <c r="A2" s="84"/>
      <c r="B2" s="85"/>
      <c r="C2" s="85"/>
      <c r="D2" s="85"/>
      <c r="E2" s="85"/>
      <c r="F2" s="86"/>
      <c r="G2" s="86"/>
      <c r="H2" s="86"/>
      <c r="I2" s="130"/>
      <c r="J2" s="130"/>
      <c r="K2" s="130"/>
      <c r="L2" s="130"/>
      <c r="M2" s="130"/>
      <c r="N2" s="130"/>
      <c r="O2" s="130"/>
    </row>
    <row r="3" spans="1:15" s="87" customFormat="1" x14ac:dyDescent="0.3">
      <c r="A3" s="84"/>
      <c r="B3" s="85"/>
      <c r="C3" s="85"/>
      <c r="D3" s="85"/>
      <c r="E3" s="85"/>
      <c r="F3" s="86"/>
      <c r="G3" s="86"/>
      <c r="H3" s="86"/>
      <c r="I3" s="130"/>
      <c r="J3" s="130"/>
      <c r="K3" s="130"/>
      <c r="L3" s="130"/>
      <c r="M3" s="130"/>
      <c r="N3" s="130"/>
      <c r="O3" s="130"/>
    </row>
    <row r="4" spans="1:15" s="87" customFormat="1" x14ac:dyDescent="0.3">
      <c r="A4" s="84"/>
      <c r="B4" s="85"/>
      <c r="C4" s="85"/>
      <c r="D4" s="85"/>
      <c r="E4" s="85"/>
      <c r="F4" s="86"/>
      <c r="G4" s="86"/>
      <c r="H4" s="86"/>
      <c r="I4" s="130"/>
      <c r="J4" s="130"/>
      <c r="K4" s="130"/>
      <c r="L4" s="224" t="s">
        <v>0</v>
      </c>
      <c r="M4" s="130"/>
      <c r="N4" s="130"/>
      <c r="O4" s="130"/>
    </row>
    <row r="5" spans="1:15" s="87" customFormat="1" x14ac:dyDescent="0.3">
      <c r="A5" s="84"/>
      <c r="B5" s="85"/>
      <c r="C5" s="85"/>
      <c r="D5" s="85"/>
      <c r="E5" s="85"/>
      <c r="F5" s="86"/>
      <c r="G5" s="86"/>
      <c r="H5" s="86"/>
      <c r="I5" s="130"/>
      <c r="J5" s="130"/>
      <c r="K5" s="130"/>
      <c r="L5" s="130"/>
      <c r="M5" s="130"/>
      <c r="N5" s="130"/>
      <c r="O5" s="130"/>
    </row>
    <row r="6" spans="1:15" s="87" customFormat="1" x14ac:dyDescent="0.3">
      <c r="A6" s="84"/>
      <c r="B6" s="85"/>
      <c r="C6" s="85"/>
      <c r="D6" s="85"/>
      <c r="E6" s="85"/>
      <c r="F6" s="86"/>
      <c r="G6" s="86"/>
      <c r="H6" s="86"/>
      <c r="I6" s="130"/>
      <c r="J6" s="130"/>
      <c r="K6" s="130"/>
      <c r="L6" s="130"/>
      <c r="M6" s="130"/>
      <c r="N6" s="130"/>
      <c r="O6" s="130"/>
    </row>
    <row r="7" spans="1:15" s="87" customFormat="1" ht="15" customHeight="1" x14ac:dyDescent="0.3">
      <c r="A7" s="420" t="s">
        <v>4</v>
      </c>
      <c r="B7" s="421"/>
      <c r="C7" s="421"/>
      <c r="D7" s="421"/>
      <c r="E7" s="421"/>
      <c r="F7" s="421"/>
      <c r="G7" s="421"/>
      <c r="H7" s="421"/>
      <c r="I7" s="197"/>
      <c r="J7" s="197"/>
      <c r="K7" s="197"/>
      <c r="L7" s="197"/>
      <c r="M7" s="197"/>
      <c r="N7" s="197"/>
      <c r="O7" s="197"/>
    </row>
    <row r="8" spans="1:15" s="87" customFormat="1" ht="15" customHeight="1" x14ac:dyDescent="0.3">
      <c r="A8" s="420"/>
      <c r="B8" s="421"/>
      <c r="C8" s="421"/>
      <c r="D8" s="421"/>
      <c r="E8" s="421"/>
      <c r="F8" s="421"/>
      <c r="G8" s="421"/>
      <c r="H8" s="421"/>
      <c r="I8" s="197"/>
      <c r="J8" s="197"/>
      <c r="K8" s="197"/>
      <c r="L8" s="197"/>
      <c r="M8" s="197"/>
      <c r="N8" s="197"/>
      <c r="O8" s="197"/>
    </row>
    <row r="9" spans="1:15" s="87" customFormat="1" ht="15" customHeight="1" x14ac:dyDescent="0.3">
      <c r="A9" s="232"/>
      <c r="B9" s="233"/>
      <c r="C9" s="233"/>
      <c r="D9" s="233"/>
      <c r="E9" s="233"/>
      <c r="F9" s="233"/>
      <c r="G9" s="233"/>
      <c r="H9" s="233"/>
      <c r="I9" s="197"/>
      <c r="J9" s="197"/>
      <c r="K9" s="197"/>
      <c r="L9" s="197"/>
      <c r="M9" s="197"/>
      <c r="N9" s="197"/>
      <c r="O9" s="197"/>
    </row>
    <row r="10" spans="1:15" s="89" customFormat="1" ht="15" customHeight="1" x14ac:dyDescent="0.3">
      <c r="A10" s="90" t="s">
        <v>125</v>
      </c>
      <c r="B10" s="216"/>
      <c r="C10" s="216"/>
      <c r="D10" s="216"/>
      <c r="E10" s="216"/>
      <c r="F10" s="217"/>
      <c r="G10" s="217"/>
      <c r="H10" s="217"/>
      <c r="I10" s="130"/>
      <c r="J10" s="130"/>
      <c r="K10" s="130"/>
      <c r="L10" s="130"/>
      <c r="M10" s="130"/>
      <c r="N10" s="130"/>
      <c r="O10" s="130"/>
    </row>
    <row r="11" spans="1:15" s="83" customFormat="1" ht="18" customHeight="1" x14ac:dyDescent="0.3">
      <c r="A11" s="90" t="s">
        <v>77</v>
      </c>
      <c r="B11" s="164"/>
      <c r="C11" s="164"/>
      <c r="D11" s="164"/>
      <c r="E11" s="164"/>
      <c r="F11" s="164"/>
      <c r="G11" s="164"/>
      <c r="H11" s="164"/>
      <c r="I11" s="137"/>
      <c r="J11" s="137"/>
      <c r="K11" s="137"/>
      <c r="L11" s="137"/>
      <c r="M11" s="137"/>
      <c r="N11" s="137"/>
      <c r="O11" s="137"/>
    </row>
    <row r="12" spans="1:15" s="83" customFormat="1" ht="18" customHeight="1" x14ac:dyDescent="0.3">
      <c r="A12" s="90" t="s">
        <v>177</v>
      </c>
      <c r="B12" s="91"/>
      <c r="C12" s="91"/>
      <c r="D12" s="91"/>
      <c r="E12" s="91"/>
      <c r="F12" s="91"/>
      <c r="G12" s="91"/>
      <c r="H12" s="91"/>
      <c r="I12" s="226"/>
      <c r="J12" s="226"/>
      <c r="K12" s="226"/>
      <c r="L12" s="226"/>
      <c r="M12" s="226"/>
      <c r="N12" s="226"/>
      <c r="O12" s="226"/>
    </row>
    <row r="13" spans="1:15" s="83" customFormat="1" ht="18" customHeight="1" x14ac:dyDescent="0.3">
      <c r="A13" s="218"/>
      <c r="B13" s="219"/>
      <c r="C13" s="219"/>
      <c r="D13" s="220"/>
      <c r="E13" s="221"/>
      <c r="F13" s="222"/>
      <c r="G13" s="222"/>
      <c r="H13" s="222"/>
    </row>
    <row r="14" spans="1:15" s="95" customFormat="1" ht="47.25" customHeight="1" x14ac:dyDescent="0.3">
      <c r="A14" s="325" t="s">
        <v>25</v>
      </c>
      <c r="B14" s="326" t="s">
        <v>26</v>
      </c>
      <c r="C14" s="326" t="s">
        <v>24</v>
      </c>
      <c r="D14" s="323" t="s">
        <v>5</v>
      </c>
      <c r="E14" s="323" t="s">
        <v>6</v>
      </c>
      <c r="F14" s="323" t="s">
        <v>20</v>
      </c>
      <c r="G14" s="323" t="s">
        <v>21</v>
      </c>
      <c r="H14" s="323" t="s">
        <v>22</v>
      </c>
      <c r="I14" s="323" t="s">
        <v>3</v>
      </c>
      <c r="J14" s="323" t="s">
        <v>7</v>
      </c>
      <c r="K14" s="323" t="s">
        <v>41</v>
      </c>
      <c r="L14" s="323" t="s">
        <v>38</v>
      </c>
      <c r="M14" s="323" t="s">
        <v>42</v>
      </c>
      <c r="N14" s="323" t="s">
        <v>23</v>
      </c>
      <c r="O14" s="324" t="s">
        <v>158</v>
      </c>
    </row>
    <row r="15" spans="1:15" s="95" customFormat="1" ht="16.5" customHeight="1" x14ac:dyDescent="0.3">
      <c r="A15" s="101" t="s">
        <v>69</v>
      </c>
      <c r="B15" s="111" t="s">
        <v>13</v>
      </c>
      <c r="C15" s="192">
        <v>-62.577211355744652</v>
      </c>
      <c r="D15" s="198">
        <v>-66.785869711362338</v>
      </c>
      <c r="E15" s="198">
        <v>-64.287266217093759</v>
      </c>
      <c r="F15" s="198">
        <v>-58.092365111021095</v>
      </c>
      <c r="G15" s="198">
        <v>-56.902903520525719</v>
      </c>
      <c r="H15" s="198">
        <v>-52.593410903388495</v>
      </c>
      <c r="I15" s="198">
        <v>-60.074666785661677</v>
      </c>
      <c r="J15" s="198">
        <v>-69.947645998135826</v>
      </c>
      <c r="K15" s="198">
        <v>-60.697664126606298</v>
      </c>
      <c r="L15" s="198">
        <v>-55.033554948733411</v>
      </c>
      <c r="M15" s="198">
        <v>-44.44973337340565</v>
      </c>
      <c r="N15" s="198">
        <v>-56.353226327814724</v>
      </c>
      <c r="O15" s="199">
        <v>-70.925851826423084</v>
      </c>
    </row>
    <row r="16" spans="1:15" s="95" customFormat="1" ht="16.5" customHeight="1" x14ac:dyDescent="0.3">
      <c r="A16" s="156" t="s">
        <v>124</v>
      </c>
      <c r="B16" s="156" t="s">
        <v>54</v>
      </c>
      <c r="C16" s="97">
        <v>-66.824537437394099</v>
      </c>
      <c r="D16" s="98">
        <v>-70.8769897139927</v>
      </c>
      <c r="E16" s="98">
        <v>-70.178194276280067</v>
      </c>
      <c r="F16" s="98">
        <v>-61.647769596222446</v>
      </c>
      <c r="G16" s="98">
        <v>-59.410804197043774</v>
      </c>
      <c r="H16" s="98">
        <v>-57.085039515024903</v>
      </c>
      <c r="I16" s="98">
        <v>-64.321295740406853</v>
      </c>
      <c r="J16" s="98">
        <v>-74.720602992370374</v>
      </c>
      <c r="K16" s="98">
        <v>-64.423219997193357</v>
      </c>
      <c r="L16" s="98">
        <v>-57.432606551807751</v>
      </c>
      <c r="M16" s="98">
        <v>-46.198230035623411</v>
      </c>
      <c r="N16" s="98">
        <v>-58.52011438763676</v>
      </c>
      <c r="O16" s="99">
        <v>-78.019711783482279</v>
      </c>
    </row>
    <row r="17" spans="1:15" s="95" customFormat="1" ht="16.5" customHeight="1" x14ac:dyDescent="0.3">
      <c r="A17" s="109"/>
      <c r="B17" s="111" t="s">
        <v>56</v>
      </c>
      <c r="C17" s="192">
        <v>-71.298997631500455</v>
      </c>
      <c r="D17" s="198">
        <v>-76.762931097649428</v>
      </c>
      <c r="E17" s="198">
        <v>-75.866320351106481</v>
      </c>
      <c r="F17" s="198">
        <v>-63.525438490124174</v>
      </c>
      <c r="G17" s="198">
        <v>-63.166878347147289</v>
      </c>
      <c r="H17" s="198">
        <v>-59.189017354008854</v>
      </c>
      <c r="I17" s="198">
        <v>-68.495297471619594</v>
      </c>
      <c r="J17" s="198">
        <v>-78.5198440897708</v>
      </c>
      <c r="K17" s="198">
        <v>-68.250983645460323</v>
      </c>
      <c r="L17" s="198">
        <v>-59.648091935310113</v>
      </c>
      <c r="M17" s="198">
        <v>-47.465106229640362</v>
      </c>
      <c r="N17" s="198">
        <v>-59.291642340258036</v>
      </c>
      <c r="O17" s="199">
        <v>-83.226839049641455</v>
      </c>
    </row>
    <row r="18" spans="1:15" s="95" customFormat="1" ht="16.5" customHeight="1" x14ac:dyDescent="0.3">
      <c r="A18" s="109"/>
      <c r="B18" s="96" t="s">
        <v>65</v>
      </c>
      <c r="C18" s="97">
        <v>-69.52925360097683</v>
      </c>
      <c r="D18" s="98">
        <v>-77.613308958570244</v>
      </c>
      <c r="E18" s="98">
        <v>-73.922507316817374</v>
      </c>
      <c r="F18" s="98">
        <v>-58.333406825601621</v>
      </c>
      <c r="G18" s="98">
        <v>-59.006271735240446</v>
      </c>
      <c r="H18" s="98">
        <v>-54.447042785884079</v>
      </c>
      <c r="I18" s="98">
        <v>-66.480584130210161</v>
      </c>
      <c r="J18" s="98">
        <v>-77.705027990067393</v>
      </c>
      <c r="K18" s="98">
        <v>-66.09885498132256</v>
      </c>
      <c r="L18" s="98">
        <v>-56.292682599026769</v>
      </c>
      <c r="M18" s="98">
        <v>-41.992725165857536</v>
      </c>
      <c r="N18" s="98">
        <v>-54.509866905290181</v>
      </c>
      <c r="O18" s="99">
        <v>-84.259403612188905</v>
      </c>
    </row>
    <row r="19" spans="1:15" s="95" customFormat="1" ht="16.5" customHeight="1" x14ac:dyDescent="0.3">
      <c r="A19" s="109"/>
      <c r="B19" s="111" t="s">
        <v>14</v>
      </c>
      <c r="C19" s="192">
        <v>-62.935289398854266</v>
      </c>
      <c r="D19" s="198">
        <v>-74.236266027833821</v>
      </c>
      <c r="E19" s="198">
        <v>-66.652370512986522</v>
      </c>
      <c r="F19" s="198">
        <v>-49.226145692284426</v>
      </c>
      <c r="G19" s="198">
        <v>-51.392896045450584</v>
      </c>
      <c r="H19" s="198">
        <v>-44.371212677410362</v>
      </c>
      <c r="I19" s="198">
        <v>-60.344648501164855</v>
      </c>
      <c r="J19" s="198">
        <v>-69.867779623771668</v>
      </c>
      <c r="K19" s="198">
        <v>-58.549631023767404</v>
      </c>
      <c r="L19" s="198">
        <v>-46.826350501220617</v>
      </c>
      <c r="M19" s="198">
        <v>-28.475512836812012</v>
      </c>
      <c r="N19" s="198">
        <v>-44.430957771918457</v>
      </c>
      <c r="O19" s="199">
        <v>-81.818468409000005</v>
      </c>
    </row>
    <row r="20" spans="1:15" s="95" customFormat="1" ht="16.5" customHeight="1" x14ac:dyDescent="0.3">
      <c r="A20" s="109"/>
      <c r="B20" s="96" t="s">
        <v>15</v>
      </c>
      <c r="C20" s="97">
        <v>-55.561804885876619</v>
      </c>
      <c r="D20" s="98">
        <v>-69.379689251114414</v>
      </c>
      <c r="E20" s="98">
        <v>-59.400158601033624</v>
      </c>
      <c r="F20" s="98">
        <v>-41.104344930511019</v>
      </c>
      <c r="G20" s="98">
        <v>-42.450368748572288</v>
      </c>
      <c r="H20" s="98">
        <v>-36.381134749077681</v>
      </c>
      <c r="I20" s="98">
        <v>-52.618545230217016</v>
      </c>
      <c r="J20" s="98">
        <v>-60.580790656664419</v>
      </c>
      <c r="K20" s="98">
        <v>-51.424887249877635</v>
      </c>
      <c r="L20" s="98">
        <v>-36.936956548568986</v>
      </c>
      <c r="M20" s="98">
        <v>-15.894325338484695</v>
      </c>
      <c r="N20" s="98">
        <v>-33.052257824944896</v>
      </c>
      <c r="O20" s="99">
        <v>-79.188628839614438</v>
      </c>
    </row>
    <row r="21" spans="1:15" s="95" customFormat="1" ht="16.5" customHeight="1" x14ac:dyDescent="0.3">
      <c r="A21" s="109"/>
      <c r="B21" s="111" t="s">
        <v>16</v>
      </c>
      <c r="C21" s="192">
        <v>-44.855685340757177</v>
      </c>
      <c r="D21" s="198">
        <v>-63.788132441132305</v>
      </c>
      <c r="E21" s="198">
        <v>-48.673859741319582</v>
      </c>
      <c r="F21" s="198">
        <v>-24.538380205356859</v>
      </c>
      <c r="G21" s="198">
        <v>-27.381880907297429</v>
      </c>
      <c r="H21" s="198">
        <v>-21.16046862393436</v>
      </c>
      <c r="I21" s="198">
        <v>-42.182108520591022</v>
      </c>
      <c r="J21" s="198">
        <v>-46.63862457578206</v>
      </c>
      <c r="K21" s="198">
        <v>-41.633387389693141</v>
      </c>
      <c r="L21" s="198">
        <v>-23.809778168258198</v>
      </c>
      <c r="M21" s="198">
        <v>-0.80644948713348708</v>
      </c>
      <c r="N21" s="198">
        <v>-16.201183500331361</v>
      </c>
      <c r="O21" s="199">
        <v>-75.361294718327798</v>
      </c>
    </row>
    <row r="22" spans="1:15" s="95" customFormat="1" ht="16.5" customHeight="1" x14ac:dyDescent="0.3">
      <c r="A22" s="109"/>
      <c r="B22" s="96" t="s">
        <v>8</v>
      </c>
      <c r="C22" s="97">
        <v>-29.674014276407689</v>
      </c>
      <c r="D22" s="98">
        <v>-55.776455269887833</v>
      </c>
      <c r="E22" s="98">
        <v>-32.367873607057042</v>
      </c>
      <c r="F22" s="98">
        <v>-2.7103760196074855</v>
      </c>
      <c r="G22" s="98">
        <v>-6.6885960314608912</v>
      </c>
      <c r="H22" s="98">
        <v>-0.15327416590428244</v>
      </c>
      <c r="I22" s="98">
        <v>-26.710796463686503</v>
      </c>
      <c r="J22" s="98">
        <v>-27.537081476869218</v>
      </c>
      <c r="K22" s="98">
        <v>-27.749969759300097</v>
      </c>
      <c r="L22" s="98">
        <v>-7.6018789692269273</v>
      </c>
      <c r="M22" s="98">
        <v>16.929301457631141</v>
      </c>
      <c r="N22" s="98">
        <v>6.1396719693887158</v>
      </c>
      <c r="O22" s="99">
        <v>-67.610875723786535</v>
      </c>
    </row>
    <row r="23" spans="1:15" s="95" customFormat="1" ht="16.5" customHeight="1" x14ac:dyDescent="0.3">
      <c r="A23" s="109"/>
      <c r="B23" s="111" t="s">
        <v>9</v>
      </c>
      <c r="C23" s="192">
        <v>-9.6336298568433065</v>
      </c>
      <c r="D23" s="198">
        <v>-44.61020288637868</v>
      </c>
      <c r="E23" s="198">
        <v>-10.235624548172629</v>
      </c>
      <c r="F23" s="198">
        <v>22.596839625821531</v>
      </c>
      <c r="G23" s="198">
        <v>20.453399724859601</v>
      </c>
      <c r="H23" s="198">
        <v>24.516449968382048</v>
      </c>
      <c r="I23" s="198">
        <v>-5.3714242153802711</v>
      </c>
      <c r="J23" s="198">
        <v>-2.9346141802259251</v>
      </c>
      <c r="K23" s="198">
        <v>-7.7609142354256537</v>
      </c>
      <c r="L23" s="198">
        <v>13.914746920825927</v>
      </c>
      <c r="M23" s="198">
        <v>37.127049853506769</v>
      </c>
      <c r="N23" s="198">
        <v>33.786219452651082</v>
      </c>
      <c r="O23" s="199">
        <v>-55.835278242414844</v>
      </c>
    </row>
    <row r="24" spans="1:15" s="95" customFormat="1" ht="16.5" customHeight="1" x14ac:dyDescent="0.3">
      <c r="A24" s="109"/>
      <c r="B24" s="96" t="s">
        <v>10</v>
      </c>
      <c r="C24" s="97">
        <v>12.936511832884756</v>
      </c>
      <c r="D24" s="98">
        <v>-29.263675264799726</v>
      </c>
      <c r="E24" s="98">
        <v>14.180785194392232</v>
      </c>
      <c r="F24" s="98">
        <v>46.853269993045579</v>
      </c>
      <c r="G24" s="98">
        <v>48.093328637652341</v>
      </c>
      <c r="H24" s="98">
        <v>43.42392833808124</v>
      </c>
      <c r="I24" s="98">
        <v>16.795457112046996</v>
      </c>
      <c r="J24" s="98">
        <v>29.021813369171134</v>
      </c>
      <c r="K24" s="98">
        <v>13.782751795711313</v>
      </c>
      <c r="L24" s="98">
        <v>35.763591327472824</v>
      </c>
      <c r="M24" s="98">
        <v>55.2242361432397</v>
      </c>
      <c r="N24" s="98">
        <v>59.267024281861744</v>
      </c>
      <c r="O24" s="99">
        <v>-41.975985781288372</v>
      </c>
    </row>
    <row r="25" spans="1:15" ht="15.75" customHeight="1" x14ac:dyDescent="0.3">
      <c r="A25" s="360"/>
      <c r="B25" s="401" t="s">
        <v>11</v>
      </c>
      <c r="C25" s="402">
        <v>37.295528750757235</v>
      </c>
      <c r="D25" s="403">
        <v>-9.7818161069172742</v>
      </c>
      <c r="E25" s="403">
        <v>39.234446864502992</v>
      </c>
      <c r="F25" s="403">
        <v>70.199314518879547</v>
      </c>
      <c r="G25" s="403">
        <v>73.118356239496961</v>
      </c>
      <c r="H25" s="403">
        <v>58.742406440007969</v>
      </c>
      <c r="I25" s="403">
        <v>39.002213092888205</v>
      </c>
      <c r="J25" s="403">
        <v>68.875138160306989</v>
      </c>
      <c r="K25" s="403">
        <v>36.226693307694681</v>
      </c>
      <c r="L25" s="403">
        <v>57.901578131099242</v>
      </c>
      <c r="M25" s="403">
        <v>64.951308286801805</v>
      </c>
      <c r="N25" s="403">
        <v>87.372705616755056</v>
      </c>
      <c r="O25" s="404">
        <v>-20.347020205818755</v>
      </c>
    </row>
    <row r="26" spans="1:15" s="109" customFormat="1" ht="15" customHeight="1" x14ac:dyDescent="0.3">
      <c r="A26" s="108"/>
      <c r="D26" s="110"/>
      <c r="O26" s="111"/>
    </row>
    <row r="27" spans="1:15" s="109" customFormat="1" x14ac:dyDescent="0.3">
      <c r="A27" s="108"/>
      <c r="B27" s="109" t="s">
        <v>84</v>
      </c>
      <c r="D27" s="110"/>
      <c r="O27" s="111"/>
    </row>
    <row r="28" spans="1:15" s="109" customFormat="1" x14ac:dyDescent="0.3">
      <c r="A28" s="108"/>
      <c r="B28" s="112" t="s">
        <v>17</v>
      </c>
      <c r="D28" s="110"/>
      <c r="O28" s="111"/>
    </row>
    <row r="29" spans="1:15" s="114" customFormat="1" ht="14.25" customHeight="1" x14ac:dyDescent="0.25">
      <c r="A29" s="113"/>
      <c r="B29" s="423" t="s">
        <v>73</v>
      </c>
      <c r="C29" s="424"/>
      <c r="D29" s="424"/>
      <c r="E29" s="424"/>
      <c r="F29" s="424"/>
      <c r="G29" s="424"/>
      <c r="H29" s="424"/>
      <c r="I29" s="424"/>
      <c r="J29" s="424"/>
      <c r="K29" s="424"/>
      <c r="O29" s="115"/>
    </row>
    <row r="30" spans="1:15" s="117" customFormat="1" ht="27" customHeight="1" x14ac:dyDescent="0.3">
      <c r="A30" s="116"/>
      <c r="B30" s="424"/>
      <c r="C30" s="424"/>
      <c r="D30" s="424"/>
      <c r="E30" s="424"/>
      <c r="F30" s="424"/>
      <c r="G30" s="424"/>
      <c r="H30" s="424"/>
      <c r="I30" s="424"/>
      <c r="J30" s="424"/>
      <c r="K30" s="424"/>
      <c r="O30" s="118"/>
    </row>
    <row r="31" spans="1:15" s="117" customFormat="1" ht="25.5" customHeight="1" x14ac:dyDescent="0.3">
      <c r="A31" s="116"/>
      <c r="B31" s="424"/>
      <c r="C31" s="424"/>
      <c r="D31" s="424"/>
      <c r="E31" s="424"/>
      <c r="F31" s="424"/>
      <c r="G31" s="424"/>
      <c r="H31" s="424"/>
      <c r="I31" s="424"/>
      <c r="J31" s="424"/>
      <c r="K31" s="424"/>
      <c r="O31" s="118"/>
    </row>
    <row r="32" spans="1:15" s="117" customFormat="1" ht="26.25" customHeight="1" x14ac:dyDescent="0.3">
      <c r="A32" s="116"/>
      <c r="B32" s="424"/>
      <c r="C32" s="424"/>
      <c r="D32" s="424"/>
      <c r="E32" s="424"/>
      <c r="F32" s="424"/>
      <c r="G32" s="424"/>
      <c r="H32" s="424"/>
      <c r="I32" s="424"/>
      <c r="J32" s="424"/>
      <c r="K32" s="424"/>
      <c r="O32" s="118"/>
    </row>
    <row r="33" spans="1:15" s="117" customFormat="1" x14ac:dyDescent="0.3">
      <c r="A33" s="116"/>
      <c r="B33" s="419" t="s">
        <v>159</v>
      </c>
      <c r="C33" s="419"/>
      <c r="D33" s="419"/>
      <c r="E33" s="419"/>
      <c r="F33" s="419"/>
      <c r="G33" s="419"/>
      <c r="H33" s="419"/>
      <c r="I33" s="419"/>
      <c r="J33" s="373"/>
      <c r="K33" s="373"/>
      <c r="O33" s="118"/>
    </row>
    <row r="34" spans="1:15" ht="15" customHeight="1" x14ac:dyDescent="0.3">
      <c r="A34" s="123"/>
      <c r="B34" s="124" t="str">
        <f>'1.1 V.A Ing.real'!B45</f>
        <v>Actualizado el 15 de diciembre de 2021</v>
      </c>
      <c r="C34" s="124"/>
      <c r="D34" s="124"/>
      <c r="E34" s="124"/>
      <c r="F34" s="124"/>
      <c r="G34" s="124"/>
      <c r="H34" s="124"/>
      <c r="I34" s="124"/>
      <c r="J34" s="124"/>
      <c r="O34" s="102"/>
    </row>
    <row r="35" spans="1:15" s="83" customFormat="1" x14ac:dyDescent="0.3">
      <c r="A35" s="125"/>
      <c r="B35" s="126"/>
      <c r="C35" s="126"/>
      <c r="D35" s="126"/>
      <c r="E35" s="126"/>
      <c r="F35" s="126"/>
      <c r="G35" s="126"/>
      <c r="H35" s="126"/>
      <c r="I35" s="126"/>
      <c r="J35" s="126"/>
      <c r="K35" s="126"/>
      <c r="L35" s="126"/>
      <c r="M35" s="126"/>
      <c r="N35" s="126"/>
      <c r="O35" s="127"/>
    </row>
  </sheetData>
  <mergeCells count="3">
    <mergeCell ref="A7:H8"/>
    <mergeCell ref="B29:K32"/>
    <mergeCell ref="B33:I33"/>
  </mergeCells>
  <hyperlinks>
    <hyperlink ref="L4" location="Contenido!A1" display="Inicio" xr:uid="{00000000-0004-0000-0300-000000000000}"/>
  </hyperlinks>
  <printOptions horizontalCentered="1" verticalCentered="1"/>
  <pageMargins left="0.74803149606299213" right="0.74803149606299213" top="0.98425196850393704" bottom="0.98425196850393704"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O48"/>
  <sheetViews>
    <sheetView showGridLines="0" zoomScale="80" zoomScaleNormal="80" zoomScaleSheetLayoutView="90" workbookViewId="0">
      <pane ySplit="15" topLeftCell="A16" activePane="bottomLeft" state="frozen"/>
      <selection pane="bottomLeft" activeCell="A7" sqref="A7:J8"/>
    </sheetView>
  </sheetViews>
  <sheetFormatPr baseColWidth="10" defaultColWidth="11.42578125" defaultRowHeight="16.5" x14ac:dyDescent="0.3"/>
  <cols>
    <col min="1" max="1" width="11.42578125" style="100" customWidth="1"/>
    <col min="2" max="2" width="19.85546875" style="128" bestFit="1" customWidth="1"/>
    <col min="3" max="8" width="14.7109375" style="128" customWidth="1"/>
    <col min="9" max="41" width="14.7109375" style="100" customWidth="1"/>
    <col min="42" max="16384" width="11.42578125" style="100"/>
  </cols>
  <sheetData>
    <row r="1" spans="1:41" s="83" customFormat="1" ht="12" customHeight="1" x14ac:dyDescent="0.3">
      <c r="A1" s="80"/>
      <c r="B1" s="81"/>
      <c r="C1" s="81"/>
      <c r="D1" s="81"/>
      <c r="E1" s="81"/>
      <c r="F1" s="81"/>
      <c r="G1" s="81"/>
      <c r="H1" s="81"/>
      <c r="I1" s="81"/>
      <c r="J1" s="81"/>
      <c r="K1" s="81"/>
      <c r="L1" s="82"/>
      <c r="M1" s="82"/>
      <c r="N1" s="82"/>
    </row>
    <row r="2" spans="1:41" s="87" customFormat="1" x14ac:dyDescent="0.3">
      <c r="A2" s="84"/>
      <c r="B2" s="85"/>
      <c r="C2" s="85"/>
      <c r="D2" s="85"/>
      <c r="E2" s="85"/>
      <c r="F2" s="85"/>
      <c r="G2" s="85"/>
      <c r="H2" s="85"/>
      <c r="I2" s="85"/>
      <c r="J2" s="85"/>
      <c r="K2" s="85"/>
      <c r="L2" s="130"/>
      <c r="M2" s="130"/>
      <c r="N2" s="130"/>
    </row>
    <row r="3" spans="1:41" s="87" customFormat="1" x14ac:dyDescent="0.3">
      <c r="A3" s="84"/>
      <c r="B3" s="85"/>
      <c r="C3" s="85"/>
      <c r="D3" s="85"/>
      <c r="E3" s="85"/>
      <c r="F3" s="85"/>
      <c r="G3" s="85"/>
      <c r="H3" s="85"/>
      <c r="I3" s="85"/>
      <c r="J3" s="85"/>
      <c r="K3" s="85"/>
      <c r="L3" s="130"/>
      <c r="M3" s="130"/>
      <c r="N3" s="130"/>
    </row>
    <row r="4" spans="1:41" s="87" customFormat="1" x14ac:dyDescent="0.3">
      <c r="A4" s="84"/>
      <c r="B4" s="85"/>
      <c r="C4" s="85"/>
      <c r="D4" s="85"/>
      <c r="E4" s="85"/>
      <c r="F4" s="85"/>
      <c r="G4" s="85"/>
      <c r="H4" s="85"/>
      <c r="I4" s="85"/>
      <c r="J4" s="85"/>
      <c r="K4" s="85"/>
      <c r="L4" s="224" t="s">
        <v>0</v>
      </c>
      <c r="M4" s="130"/>
      <c r="N4" s="130"/>
    </row>
    <row r="5" spans="1:41" s="87" customFormat="1" x14ac:dyDescent="0.3">
      <c r="A5" s="84"/>
      <c r="B5" s="85"/>
      <c r="C5" s="85"/>
      <c r="D5" s="85"/>
      <c r="E5" s="85"/>
      <c r="F5" s="85"/>
      <c r="G5" s="85"/>
      <c r="H5" s="85"/>
      <c r="I5" s="85"/>
      <c r="J5" s="85"/>
      <c r="K5" s="85"/>
      <c r="L5" s="130"/>
      <c r="M5" s="130"/>
      <c r="N5" s="130"/>
    </row>
    <row r="6" spans="1:41" s="87" customFormat="1" x14ac:dyDescent="0.3">
      <c r="A6" s="84"/>
      <c r="B6" s="85"/>
      <c r="C6" s="85"/>
      <c r="D6" s="85"/>
      <c r="E6" s="85"/>
      <c r="F6" s="85"/>
      <c r="G6" s="85"/>
      <c r="H6" s="85"/>
      <c r="I6" s="85"/>
      <c r="J6" s="85"/>
      <c r="K6" s="85"/>
      <c r="L6" s="130"/>
      <c r="M6" s="130"/>
      <c r="N6" s="130"/>
    </row>
    <row r="7" spans="1:41" s="87" customFormat="1" ht="15" customHeight="1" x14ac:dyDescent="0.3">
      <c r="A7" s="420" t="s">
        <v>4</v>
      </c>
      <c r="B7" s="421"/>
      <c r="C7" s="421"/>
      <c r="D7" s="421"/>
      <c r="E7" s="421"/>
      <c r="F7" s="421"/>
      <c r="G7" s="421"/>
      <c r="H7" s="421"/>
      <c r="I7" s="421"/>
      <c r="J7" s="421"/>
      <c r="K7" s="197"/>
      <c r="L7" s="197"/>
      <c r="M7" s="197"/>
      <c r="N7" s="197"/>
    </row>
    <row r="8" spans="1:41" s="87" customFormat="1" ht="15" customHeight="1" x14ac:dyDescent="0.3">
      <c r="A8" s="420"/>
      <c r="B8" s="421"/>
      <c r="C8" s="421"/>
      <c r="D8" s="421"/>
      <c r="E8" s="421"/>
      <c r="F8" s="421"/>
      <c r="G8" s="421"/>
      <c r="H8" s="421"/>
      <c r="I8" s="421"/>
      <c r="J8" s="421"/>
      <c r="K8" s="197"/>
      <c r="L8" s="197"/>
      <c r="M8" s="197"/>
      <c r="N8" s="197"/>
    </row>
    <row r="9" spans="1:41" s="89" customFormat="1" ht="15" customHeight="1" x14ac:dyDescent="0.3">
      <c r="A9" s="215"/>
      <c r="B9" s="216"/>
      <c r="C9" s="216"/>
      <c r="D9" s="216"/>
      <c r="E9" s="216"/>
      <c r="F9" s="216"/>
      <c r="G9" s="216"/>
      <c r="H9" s="216"/>
      <c r="I9" s="216"/>
      <c r="J9" s="216"/>
      <c r="K9" s="129"/>
      <c r="L9" s="130"/>
      <c r="M9" s="130"/>
      <c r="N9" s="130"/>
    </row>
    <row r="10" spans="1:41" s="83" customFormat="1" ht="18" customHeight="1" x14ac:dyDescent="0.3">
      <c r="A10" s="90" t="s">
        <v>75</v>
      </c>
      <c r="B10" s="223"/>
      <c r="C10" s="223"/>
      <c r="D10" s="223"/>
      <c r="E10" s="223"/>
      <c r="F10" s="223"/>
      <c r="G10" s="223"/>
      <c r="H10" s="223"/>
      <c r="I10" s="223"/>
      <c r="J10" s="223"/>
      <c r="K10" s="225"/>
      <c r="L10" s="225"/>
      <c r="M10" s="225"/>
      <c r="N10" s="225"/>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row>
    <row r="11" spans="1:41" s="83" customFormat="1" ht="18" customHeight="1" x14ac:dyDescent="0.3">
      <c r="A11" s="90" t="s">
        <v>79</v>
      </c>
      <c r="B11" s="164"/>
      <c r="C11" s="164"/>
      <c r="D11" s="164"/>
      <c r="E11" s="164"/>
      <c r="F11" s="91"/>
      <c r="G11" s="91"/>
      <c r="H11" s="91"/>
      <c r="I11" s="91"/>
      <c r="J11" s="222"/>
      <c r="K11" s="226"/>
      <c r="L11" s="226"/>
      <c r="M11" s="226"/>
      <c r="N11" s="226"/>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row>
    <row r="12" spans="1:41" s="83" customFormat="1" ht="18" customHeight="1" x14ac:dyDescent="0.3">
      <c r="A12" s="90" t="str">
        <f>'1.1 V.A Ing.real'!A12</f>
        <v>Enero 2020 - octubre 2021</v>
      </c>
      <c r="B12" s="91"/>
      <c r="C12" s="91"/>
      <c r="D12" s="91"/>
      <c r="E12" s="91"/>
      <c r="F12" s="91"/>
      <c r="G12" s="91"/>
      <c r="H12" s="91"/>
      <c r="I12" s="91"/>
      <c r="J12" s="91"/>
      <c r="K12" s="226"/>
      <c r="L12" s="226"/>
      <c r="M12" s="226"/>
      <c r="N12" s="226"/>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c r="AM12" s="137"/>
    </row>
    <row r="13" spans="1:41" s="83" customFormat="1" ht="18" customHeight="1" x14ac:dyDescent="0.3">
      <c r="A13" s="218"/>
      <c r="B13" s="219"/>
      <c r="C13" s="219"/>
      <c r="D13" s="219"/>
      <c r="E13" s="219"/>
      <c r="F13" s="220"/>
      <c r="G13" s="220"/>
      <c r="H13" s="220"/>
      <c r="I13" s="221"/>
      <c r="J13" s="221"/>
      <c r="K13" s="227"/>
      <c r="L13" s="126"/>
      <c r="M13" s="126"/>
      <c r="N13" s="126"/>
    </row>
    <row r="14" spans="1:41" s="95" customFormat="1" ht="22.5" customHeight="1" x14ac:dyDescent="0.3">
      <c r="A14" s="427" t="s">
        <v>25</v>
      </c>
      <c r="B14" s="429" t="s">
        <v>26</v>
      </c>
      <c r="C14" s="425" t="s">
        <v>24</v>
      </c>
      <c r="D14" s="425"/>
      <c r="E14" s="425"/>
      <c r="F14" s="425" t="s">
        <v>5</v>
      </c>
      <c r="G14" s="425"/>
      <c r="H14" s="425"/>
      <c r="I14" s="425" t="s">
        <v>6</v>
      </c>
      <c r="J14" s="425"/>
      <c r="K14" s="425"/>
      <c r="L14" s="425" t="s">
        <v>20</v>
      </c>
      <c r="M14" s="425"/>
      <c r="N14" s="425"/>
      <c r="O14" s="425" t="s">
        <v>21</v>
      </c>
      <c r="P14" s="425"/>
      <c r="Q14" s="425"/>
      <c r="R14" s="425" t="s">
        <v>22</v>
      </c>
      <c r="S14" s="425"/>
      <c r="T14" s="425"/>
      <c r="U14" s="425" t="s">
        <v>3</v>
      </c>
      <c r="V14" s="425"/>
      <c r="W14" s="425"/>
      <c r="X14" s="425" t="s">
        <v>7</v>
      </c>
      <c r="Y14" s="425"/>
      <c r="Z14" s="425"/>
      <c r="AA14" s="425" t="s">
        <v>41</v>
      </c>
      <c r="AB14" s="425"/>
      <c r="AC14" s="425"/>
      <c r="AD14" s="425" t="s">
        <v>38</v>
      </c>
      <c r="AE14" s="425"/>
      <c r="AF14" s="425"/>
      <c r="AG14" s="425" t="s">
        <v>42</v>
      </c>
      <c r="AH14" s="425"/>
      <c r="AI14" s="425"/>
      <c r="AJ14" s="425" t="s">
        <v>23</v>
      </c>
      <c r="AK14" s="425"/>
      <c r="AL14" s="425"/>
      <c r="AM14" s="425" t="s">
        <v>40</v>
      </c>
      <c r="AN14" s="425"/>
      <c r="AO14" s="426"/>
    </row>
    <row r="15" spans="1:41" s="95" customFormat="1" ht="39" customHeight="1" x14ac:dyDescent="0.3">
      <c r="A15" s="428"/>
      <c r="B15" s="430"/>
      <c r="C15" s="298" t="s">
        <v>27</v>
      </c>
      <c r="D15" s="298" t="s">
        <v>28</v>
      </c>
      <c r="E15" s="298" t="s">
        <v>29</v>
      </c>
      <c r="F15" s="298" t="s">
        <v>27</v>
      </c>
      <c r="G15" s="298" t="s">
        <v>28</v>
      </c>
      <c r="H15" s="298" t="s">
        <v>29</v>
      </c>
      <c r="I15" s="298" t="s">
        <v>27</v>
      </c>
      <c r="J15" s="298" t="s">
        <v>28</v>
      </c>
      <c r="K15" s="298" t="s">
        <v>29</v>
      </c>
      <c r="L15" s="298" t="s">
        <v>27</v>
      </c>
      <c r="M15" s="298" t="s">
        <v>28</v>
      </c>
      <c r="N15" s="298" t="s">
        <v>29</v>
      </c>
      <c r="O15" s="298" t="s">
        <v>27</v>
      </c>
      <c r="P15" s="298" t="s">
        <v>28</v>
      </c>
      <c r="Q15" s="298" t="s">
        <v>29</v>
      </c>
      <c r="R15" s="298" t="s">
        <v>27</v>
      </c>
      <c r="S15" s="298" t="s">
        <v>28</v>
      </c>
      <c r="T15" s="298" t="s">
        <v>29</v>
      </c>
      <c r="U15" s="298" t="s">
        <v>27</v>
      </c>
      <c r="V15" s="298" t="s">
        <v>28</v>
      </c>
      <c r="W15" s="298" t="s">
        <v>29</v>
      </c>
      <c r="X15" s="298" t="s">
        <v>27</v>
      </c>
      <c r="Y15" s="298" t="s">
        <v>28</v>
      </c>
      <c r="Z15" s="298" t="s">
        <v>29</v>
      </c>
      <c r="AA15" s="298" t="s">
        <v>27</v>
      </c>
      <c r="AB15" s="298" t="s">
        <v>28</v>
      </c>
      <c r="AC15" s="298" t="s">
        <v>29</v>
      </c>
      <c r="AD15" s="298" t="s">
        <v>27</v>
      </c>
      <c r="AE15" s="298" t="s">
        <v>28</v>
      </c>
      <c r="AF15" s="298" t="s">
        <v>29</v>
      </c>
      <c r="AG15" s="298" t="s">
        <v>27</v>
      </c>
      <c r="AH15" s="298" t="s">
        <v>28</v>
      </c>
      <c r="AI15" s="298" t="s">
        <v>29</v>
      </c>
      <c r="AJ15" s="298" t="s">
        <v>27</v>
      </c>
      <c r="AK15" s="298" t="s">
        <v>28</v>
      </c>
      <c r="AL15" s="298" t="s">
        <v>29</v>
      </c>
      <c r="AM15" s="298" t="s">
        <v>27</v>
      </c>
      <c r="AN15" s="298" t="s">
        <v>28</v>
      </c>
      <c r="AO15" s="299" t="s">
        <v>29</v>
      </c>
    </row>
    <row r="16" spans="1:41" ht="15.75" customHeight="1" x14ac:dyDescent="0.3">
      <c r="A16" s="269" t="s">
        <v>69</v>
      </c>
      <c r="B16" s="270" t="s">
        <v>54</v>
      </c>
      <c r="C16" s="285">
        <v>2.1770987751314141</v>
      </c>
      <c r="D16" s="272">
        <v>1.0500608734764993</v>
      </c>
      <c r="E16" s="273">
        <v>3.6622839405212604</v>
      </c>
      <c r="F16" s="271">
        <v>1.3476144654851696</v>
      </c>
      <c r="G16" s="272">
        <v>2.2650544545364637</v>
      </c>
      <c r="H16" s="273">
        <v>-0.44416243654822329</v>
      </c>
      <c r="I16" s="271">
        <v>3.9930470515500138</v>
      </c>
      <c r="J16" s="272">
        <v>2.2090602029343431</v>
      </c>
      <c r="K16" s="273">
        <v>6.4614258305563776</v>
      </c>
      <c r="L16" s="271">
        <v>2.0052342511703181</v>
      </c>
      <c r="M16" s="272">
        <v>3.9928561584049227</v>
      </c>
      <c r="N16" s="273">
        <v>6.6651357391300792E-2</v>
      </c>
      <c r="O16" s="271">
        <v>4.7674562561901723</v>
      </c>
      <c r="P16" s="272">
        <v>-0.94763237695355551</v>
      </c>
      <c r="Q16" s="273">
        <v>12.224642367980486</v>
      </c>
      <c r="R16" s="271">
        <v>4.1703673529353003</v>
      </c>
      <c r="S16" s="272">
        <v>8.2823025107164874</v>
      </c>
      <c r="T16" s="273">
        <v>2.3629389654211019</v>
      </c>
      <c r="U16" s="271">
        <v>4.0186164209803588</v>
      </c>
      <c r="V16" s="272">
        <v>0.90153469345211068</v>
      </c>
      <c r="W16" s="273">
        <v>8.8948852982896565</v>
      </c>
      <c r="X16" s="271">
        <v>-6.8581622156538629</v>
      </c>
      <c r="Y16" s="272">
        <v>-0.92100286979154289</v>
      </c>
      <c r="Z16" s="273">
        <v>-15.238005526249687</v>
      </c>
      <c r="AA16" s="271">
        <v>1.9062284907663596</v>
      </c>
      <c r="AB16" s="272">
        <v>-8.7296466390895944E-2</v>
      </c>
      <c r="AC16" s="273">
        <v>5.087055261165796</v>
      </c>
      <c r="AD16" s="271">
        <v>2.4784313725490392</v>
      </c>
      <c r="AE16" s="272">
        <v>-1.0030315505819898</v>
      </c>
      <c r="AF16" s="273">
        <v>5.5127870563673742</v>
      </c>
      <c r="AG16" s="271">
        <v>-8.2130077878341474</v>
      </c>
      <c r="AH16" s="272">
        <v>-14.400871459694986</v>
      </c>
      <c r="AI16" s="273">
        <v>-2.4307817589576564</v>
      </c>
      <c r="AJ16" s="271">
        <v>6.0587337355528126</v>
      </c>
      <c r="AK16" s="272">
        <v>-3.5000698616738823</v>
      </c>
      <c r="AL16" s="273">
        <v>16.424242424242475</v>
      </c>
      <c r="AM16" s="271">
        <v>0.96618357487923134</v>
      </c>
      <c r="AN16" s="272">
        <v>11.260053619302957</v>
      </c>
      <c r="AO16" s="273">
        <v>-11.146161934805466</v>
      </c>
    </row>
    <row r="17" spans="1:41" ht="15.75" customHeight="1" x14ac:dyDescent="0.3">
      <c r="A17" s="101"/>
      <c r="B17" s="102" t="s">
        <v>56</v>
      </c>
      <c r="C17" s="105">
        <v>2.4349063048650699</v>
      </c>
      <c r="D17" s="104">
        <v>0.29154967744609017</v>
      </c>
      <c r="E17" s="106">
        <v>5.4032131765721525</v>
      </c>
      <c r="F17" s="103">
        <v>2.0439999817009724</v>
      </c>
      <c r="G17" s="104">
        <v>1.4240517331293612</v>
      </c>
      <c r="H17" s="106">
        <v>3.2363325131058218</v>
      </c>
      <c r="I17" s="103">
        <v>4.1387456986616611</v>
      </c>
      <c r="J17" s="104">
        <v>2.3209315535358988</v>
      </c>
      <c r="K17" s="106">
        <v>6.8077568462875604</v>
      </c>
      <c r="L17" s="103">
        <v>2.3862804621974876</v>
      </c>
      <c r="M17" s="104">
        <v>4.2823151543062377</v>
      </c>
      <c r="N17" s="106">
        <v>0.42806705164248893</v>
      </c>
      <c r="O17" s="103">
        <v>2.7718323283987711</v>
      </c>
      <c r="P17" s="104">
        <v>-3.3335409621028544</v>
      </c>
      <c r="Q17" s="106">
        <v>11.226286334738766</v>
      </c>
      <c r="R17" s="103">
        <v>6.6262600664526827</v>
      </c>
      <c r="S17" s="104">
        <v>4.8020126886895609</v>
      </c>
      <c r="T17" s="106">
        <v>7.4917484898179287</v>
      </c>
      <c r="U17" s="103">
        <v>3.9683709534244382</v>
      </c>
      <c r="V17" s="104">
        <v>-2.8959358576055472</v>
      </c>
      <c r="W17" s="106">
        <v>16.511696827131537</v>
      </c>
      <c r="X17" s="103">
        <v>-4.2476601871850095</v>
      </c>
      <c r="Y17" s="104">
        <v>-0.15185350602946457</v>
      </c>
      <c r="Z17" s="106">
        <v>-10.315622311916883</v>
      </c>
      <c r="AA17" s="103">
        <v>2.0029559562518617</v>
      </c>
      <c r="AB17" s="104">
        <v>1.3415792636823909</v>
      </c>
      <c r="AC17" s="106">
        <v>3.0369158028732635</v>
      </c>
      <c r="AD17" s="103">
        <v>3.8464974183981315</v>
      </c>
      <c r="AE17" s="104">
        <v>0.65145338870051805</v>
      </c>
      <c r="AF17" s="106">
        <v>6.6680123805679115</v>
      </c>
      <c r="AG17" s="103">
        <v>-8.1596491616646958</v>
      </c>
      <c r="AH17" s="104">
        <v>-12.222373620384207</v>
      </c>
      <c r="AI17" s="106">
        <v>-4.2927546256268601</v>
      </c>
      <c r="AJ17" s="103">
        <v>3.2247377139701827</v>
      </c>
      <c r="AK17" s="104">
        <v>-3.5271754435370339</v>
      </c>
      <c r="AL17" s="106">
        <v>10.624180233006708</v>
      </c>
      <c r="AM17" s="103">
        <v>2.6666666666666616</v>
      </c>
      <c r="AN17" s="104">
        <v>13.388734995383199</v>
      </c>
      <c r="AO17" s="106">
        <v>-9.6602972399150726</v>
      </c>
    </row>
    <row r="18" spans="1:41" ht="15.75" customHeight="1" x14ac:dyDescent="0.3">
      <c r="A18" s="101"/>
      <c r="B18" s="96" t="s">
        <v>65</v>
      </c>
      <c r="C18" s="131">
        <v>-6.6450652655634439</v>
      </c>
      <c r="D18" s="98">
        <v>-2.913600077649281</v>
      </c>
      <c r="E18" s="99">
        <v>-11.681285037942612</v>
      </c>
      <c r="F18" s="97">
        <v>-6.2575840276431149</v>
      </c>
      <c r="G18" s="98">
        <v>-1.7847117777115784</v>
      </c>
      <c r="H18" s="99">
        <v>-14.595230097413515</v>
      </c>
      <c r="I18" s="97">
        <v>-6.1596349648692428</v>
      </c>
      <c r="J18" s="98">
        <v>1.925063599914445</v>
      </c>
      <c r="K18" s="99">
        <v>-17.562462891345877</v>
      </c>
      <c r="L18" s="97">
        <v>-5.7614015009269215</v>
      </c>
      <c r="M18" s="98">
        <v>-0.14157341973852766</v>
      </c>
      <c r="N18" s="99">
        <v>-11.452291118056014</v>
      </c>
      <c r="O18" s="97">
        <v>-6.7471243879166476</v>
      </c>
      <c r="P18" s="98">
        <v>-6.3018543856073865</v>
      </c>
      <c r="Q18" s="99">
        <v>-7.3527446584210949</v>
      </c>
      <c r="R18" s="97">
        <v>-6.7589385415259162</v>
      </c>
      <c r="S18" s="98">
        <v>1.4760228291531119</v>
      </c>
      <c r="T18" s="99">
        <v>-10.728591305814383</v>
      </c>
      <c r="U18" s="97">
        <v>-6.212191569077663</v>
      </c>
      <c r="V18" s="98">
        <v>-5.9789435450918305</v>
      </c>
      <c r="W18" s="99">
        <v>-6.6101476094159946</v>
      </c>
      <c r="X18" s="97">
        <v>-11.966506361956686</v>
      </c>
      <c r="Y18" s="98">
        <v>-6.720941155420368</v>
      </c>
      <c r="Z18" s="99">
        <v>-19.388013416872351</v>
      </c>
      <c r="AA18" s="97">
        <v>-6.2106095490592983</v>
      </c>
      <c r="AB18" s="98">
        <v>-1.6038044629276049</v>
      </c>
      <c r="AC18" s="99">
        <v>-13.235855427346666</v>
      </c>
      <c r="AD18" s="97">
        <v>-4.1777825205421282</v>
      </c>
      <c r="AE18" s="98">
        <v>-8.7323836944991573</v>
      </c>
      <c r="AF18" s="99">
        <v>-0.14750251424739957</v>
      </c>
      <c r="AG18" s="97">
        <v>-12.079413892908841</v>
      </c>
      <c r="AH18" s="98">
        <v>-16.314395874947717</v>
      </c>
      <c r="AI18" s="99">
        <v>-8.0627395691060588</v>
      </c>
      <c r="AJ18" s="97">
        <v>-3.0726973081853126</v>
      </c>
      <c r="AK18" s="98">
        <v>-4.310101580135461</v>
      </c>
      <c r="AL18" s="99">
        <v>-1.7366136034732249</v>
      </c>
      <c r="AM18" s="97">
        <v>-5.0756466569058079</v>
      </c>
      <c r="AN18" s="98">
        <v>3.2403240324032412</v>
      </c>
      <c r="AO18" s="99">
        <v>-14.925373134328357</v>
      </c>
    </row>
    <row r="19" spans="1:41" ht="15.75" customHeight="1" x14ac:dyDescent="0.3">
      <c r="A19" s="101"/>
      <c r="B19" s="102" t="s">
        <v>66</v>
      </c>
      <c r="C19" s="105">
        <v>-24.469862700513978</v>
      </c>
      <c r="D19" s="104">
        <v>-10.879951978777502</v>
      </c>
      <c r="E19" s="106">
        <v>-42.814927250354174</v>
      </c>
      <c r="F19" s="103">
        <v>-24.642457405795305</v>
      </c>
      <c r="G19" s="104">
        <v>-12.962374497143426</v>
      </c>
      <c r="H19" s="106">
        <v>-47.007495824864378</v>
      </c>
      <c r="I19" s="103">
        <v>-24.957286097784237</v>
      </c>
      <c r="J19" s="104">
        <v>-6.6133298189485989</v>
      </c>
      <c r="K19" s="106">
        <v>-51.530412399977621</v>
      </c>
      <c r="L19" s="103">
        <v>-21.722348475974062</v>
      </c>
      <c r="M19" s="104">
        <v>-6.9056740405054828</v>
      </c>
      <c r="N19" s="106">
        <v>-36.626759405033269</v>
      </c>
      <c r="O19" s="103">
        <v>-24.666247349764426</v>
      </c>
      <c r="P19" s="104">
        <v>-8.3551536221679328</v>
      </c>
      <c r="Q19" s="106">
        <v>-46.104866386457431</v>
      </c>
      <c r="R19" s="103">
        <v>-29.465394900301078</v>
      </c>
      <c r="S19" s="104">
        <v>-20.548964671890737</v>
      </c>
      <c r="T19" s="106">
        <v>-33.673922701021766</v>
      </c>
      <c r="U19" s="103">
        <v>-26.755048332727995</v>
      </c>
      <c r="V19" s="104">
        <v>-13.651546937694793</v>
      </c>
      <c r="W19" s="106">
        <v>-48.660174671002245</v>
      </c>
      <c r="X19" s="103">
        <v>-20.078478318701787</v>
      </c>
      <c r="Y19" s="104">
        <v>-11.368725825058256</v>
      </c>
      <c r="Z19" s="106">
        <v>-32.511058732362528</v>
      </c>
      <c r="AA19" s="103">
        <v>-21.164365266470774</v>
      </c>
      <c r="AB19" s="104">
        <v>-8.3531041812970326</v>
      </c>
      <c r="AC19" s="106">
        <v>-41.36146020347099</v>
      </c>
      <c r="AD19" s="103">
        <v>-24.902250412720495</v>
      </c>
      <c r="AE19" s="104">
        <v>-14.538002980625919</v>
      </c>
      <c r="AF19" s="106">
        <v>-33.961895456765987</v>
      </c>
      <c r="AG19" s="103">
        <v>-32.849460014865983</v>
      </c>
      <c r="AH19" s="104">
        <v>-27.004082390053817</v>
      </c>
      <c r="AI19" s="106">
        <v>-38.059207806168857</v>
      </c>
      <c r="AJ19" s="103">
        <v>-14.74324566112003</v>
      </c>
      <c r="AK19" s="104">
        <v>-10.142776364150407</v>
      </c>
      <c r="AL19" s="106">
        <v>-19.460752337464669</v>
      </c>
      <c r="AM19" s="103">
        <v>-22.51622566150774</v>
      </c>
      <c r="AN19" s="104">
        <v>-5.1959890610756565</v>
      </c>
      <c r="AO19" s="106">
        <v>-43.487858719646802</v>
      </c>
    </row>
    <row r="20" spans="1:41" ht="15.75" customHeight="1" x14ac:dyDescent="0.3">
      <c r="A20" s="101"/>
      <c r="B20" s="96" t="s">
        <v>15</v>
      </c>
      <c r="C20" s="131">
        <v>-30.848459074537836</v>
      </c>
      <c r="D20" s="98">
        <v>-18.667199385795353</v>
      </c>
      <c r="E20" s="99">
        <v>-47.64919319386275</v>
      </c>
      <c r="F20" s="97">
        <v>-33.495014114295188</v>
      </c>
      <c r="G20" s="98">
        <v>-22.085223579551162</v>
      </c>
      <c r="H20" s="99">
        <v>-54.88161778559315</v>
      </c>
      <c r="I20" s="97">
        <v>-31.804576861407941</v>
      </c>
      <c r="J20" s="98">
        <v>-15.443074113432598</v>
      </c>
      <c r="K20" s="99">
        <v>-55.658881437679611</v>
      </c>
      <c r="L20" s="97">
        <v>-24.653736291074281</v>
      </c>
      <c r="M20" s="98">
        <v>-11.892664337885073</v>
      </c>
      <c r="N20" s="99">
        <v>-37.918661018296099</v>
      </c>
      <c r="O20" s="97">
        <v>-30.052950140401325</v>
      </c>
      <c r="P20" s="98">
        <v>-17.204482759887263</v>
      </c>
      <c r="Q20" s="99">
        <v>-47.991938006759391</v>
      </c>
      <c r="R20" s="97">
        <v>-36.767469794389882</v>
      </c>
      <c r="S20" s="98">
        <v>-26.031963268729854</v>
      </c>
      <c r="T20" s="99">
        <v>-41.821507253606015</v>
      </c>
      <c r="U20" s="97">
        <v>-35.371421777953437</v>
      </c>
      <c r="V20" s="98">
        <v>-25.691669845604082</v>
      </c>
      <c r="W20" s="99">
        <v>-52.590740658065116</v>
      </c>
      <c r="X20" s="97">
        <v>-21.289198606271764</v>
      </c>
      <c r="Y20" s="98">
        <v>-11.805865050360985</v>
      </c>
      <c r="Z20" s="99">
        <v>-35.597095212479843</v>
      </c>
      <c r="AA20" s="97">
        <v>-25.795697064082589</v>
      </c>
      <c r="AB20" s="98">
        <v>-10.615484412561472</v>
      </c>
      <c r="AC20" s="99">
        <v>-49.012284438738298</v>
      </c>
      <c r="AD20" s="97">
        <v>-33.326306913996675</v>
      </c>
      <c r="AE20" s="98">
        <v>-22.302943612135795</v>
      </c>
      <c r="AF20" s="99">
        <v>-42.971477504775699</v>
      </c>
      <c r="AG20" s="97">
        <v>-31.832637174862377</v>
      </c>
      <c r="AH20" s="98">
        <v>-29.670381564034752</v>
      </c>
      <c r="AI20" s="99">
        <v>-34.017175572519101</v>
      </c>
      <c r="AJ20" s="97">
        <v>-23.158531809605176</v>
      </c>
      <c r="AK20" s="98">
        <v>-23.194130925507896</v>
      </c>
      <c r="AL20" s="99">
        <v>-23.122259757061748</v>
      </c>
      <c r="AM20" s="97">
        <v>-31.065088757396452</v>
      </c>
      <c r="AN20" s="98">
        <v>-13.266239707227811</v>
      </c>
      <c r="AO20" s="99">
        <v>-51.871657754010705</v>
      </c>
    </row>
    <row r="21" spans="1:41" ht="15.75" customHeight="1" x14ac:dyDescent="0.3">
      <c r="A21" s="101"/>
      <c r="B21" s="111" t="s">
        <v>67</v>
      </c>
      <c r="C21" s="193">
        <v>-37.807480493887049</v>
      </c>
      <c r="D21" s="198">
        <v>-25.216767096610894</v>
      </c>
      <c r="E21" s="199">
        <v>-55.047501840428566</v>
      </c>
      <c r="F21" s="192">
        <v>-41.753681802845534</v>
      </c>
      <c r="G21" s="198">
        <v>-31.430352928556104</v>
      </c>
      <c r="H21" s="199">
        <v>-61.22810345917916</v>
      </c>
      <c r="I21" s="192">
        <v>-38.6379377922866</v>
      </c>
      <c r="J21" s="198">
        <v>-23.925703549674726</v>
      </c>
      <c r="K21" s="199">
        <v>-60.916844133797262</v>
      </c>
      <c r="L21" s="192">
        <v>-32.248953824472601</v>
      </c>
      <c r="M21" s="198">
        <v>-15.210350321259137</v>
      </c>
      <c r="N21" s="199">
        <v>-48.806269777359425</v>
      </c>
      <c r="O21" s="192">
        <v>-38.590748628536396</v>
      </c>
      <c r="P21" s="198">
        <v>-25.743466825046657</v>
      </c>
      <c r="Q21" s="199">
        <v>-56.776192001281075</v>
      </c>
      <c r="R21" s="192">
        <v>-45.81002886301804</v>
      </c>
      <c r="S21" s="198">
        <v>-34.783576276844329</v>
      </c>
      <c r="T21" s="199">
        <v>-50.770370518686114</v>
      </c>
      <c r="U21" s="192">
        <v>-41.667556750711569</v>
      </c>
      <c r="V21" s="198">
        <v>-31.376663898744393</v>
      </c>
      <c r="W21" s="199">
        <v>-58.762550473594857</v>
      </c>
      <c r="X21" s="192">
        <v>-26.612368595510937</v>
      </c>
      <c r="Y21" s="198">
        <v>-12.697848913357157</v>
      </c>
      <c r="Z21" s="199">
        <v>-48.326751195177728</v>
      </c>
      <c r="AA21" s="192">
        <v>-30.136247288254271</v>
      </c>
      <c r="AB21" s="198">
        <v>-15.901233634972467</v>
      </c>
      <c r="AC21" s="199">
        <v>-52.176202176202182</v>
      </c>
      <c r="AD21" s="192">
        <v>-41.119276624714196</v>
      </c>
      <c r="AE21" s="198">
        <v>-23.557342523453951</v>
      </c>
      <c r="AF21" s="199">
        <v>-55.832157064031819</v>
      </c>
      <c r="AG21" s="192">
        <v>-30.687704389754867</v>
      </c>
      <c r="AH21" s="198">
        <v>-26.421974899360645</v>
      </c>
      <c r="AI21" s="199">
        <v>-35.022620078929656</v>
      </c>
      <c r="AJ21" s="192">
        <v>-26.323183366698267</v>
      </c>
      <c r="AK21" s="198">
        <v>-24.201300537178394</v>
      </c>
      <c r="AL21" s="199">
        <v>-28.418848167539267</v>
      </c>
      <c r="AM21" s="192">
        <v>-32.070831283817014</v>
      </c>
      <c r="AN21" s="198">
        <v>-13.394495412844032</v>
      </c>
      <c r="AO21" s="199">
        <v>-53.658536585365859</v>
      </c>
    </row>
    <row r="22" spans="1:41" ht="15.75" customHeight="1" x14ac:dyDescent="0.3">
      <c r="A22" s="101"/>
      <c r="B22" s="96" t="s">
        <v>87</v>
      </c>
      <c r="C22" s="131">
        <v>-42.72798955358391</v>
      </c>
      <c r="D22" s="98">
        <v>-29.335902449015894</v>
      </c>
      <c r="E22" s="99">
        <v>-60.388391310038656</v>
      </c>
      <c r="F22" s="97">
        <v>-48.665213313174846</v>
      </c>
      <c r="G22" s="98">
        <v>-35.029565456545662</v>
      </c>
      <c r="H22" s="99">
        <v>-71.190213872766705</v>
      </c>
      <c r="I22" s="97">
        <v>-41.239708088864028</v>
      </c>
      <c r="J22" s="98">
        <v>-26.22103419168036</v>
      </c>
      <c r="K22" s="99">
        <v>-63.07638503972337</v>
      </c>
      <c r="L22" s="97">
        <v>-33.639286589673702</v>
      </c>
      <c r="M22" s="98">
        <v>-15.458942904561413</v>
      </c>
      <c r="N22" s="99">
        <v>-50.983817165524712</v>
      </c>
      <c r="O22" s="97">
        <v>-42.722826963893411</v>
      </c>
      <c r="P22" s="98">
        <v>-30.01561210527629</v>
      </c>
      <c r="Q22" s="99">
        <v>-60.20217110339032</v>
      </c>
      <c r="R22" s="97">
        <v>-48.863134657836646</v>
      </c>
      <c r="S22" s="98">
        <v>-40.03703388387536</v>
      </c>
      <c r="T22" s="99">
        <v>-53.095656079039763</v>
      </c>
      <c r="U22" s="97">
        <v>-47.477631534028298</v>
      </c>
      <c r="V22" s="98">
        <v>-37.315057448095168</v>
      </c>
      <c r="W22" s="99">
        <v>-63.770328897937389</v>
      </c>
      <c r="X22" s="97">
        <v>-37.36329916097506</v>
      </c>
      <c r="Y22" s="98">
        <v>-17.332056734430314</v>
      </c>
      <c r="Z22" s="99">
        <v>-69.321492007104794</v>
      </c>
      <c r="AA22" s="97">
        <v>-36.308437496413148</v>
      </c>
      <c r="AB22" s="98">
        <v>-22.49567646667554</v>
      </c>
      <c r="AC22" s="99">
        <v>-57.37305819615117</v>
      </c>
      <c r="AD22" s="97">
        <v>-43.650904519103193</v>
      </c>
      <c r="AE22" s="98">
        <v>-28.588840220910306</v>
      </c>
      <c r="AF22" s="99">
        <v>-56.402153935446421</v>
      </c>
      <c r="AG22" s="97">
        <v>-33.633768964999241</v>
      </c>
      <c r="AH22" s="98">
        <v>-34.217171717171723</v>
      </c>
      <c r="AI22" s="99">
        <v>-33.06027206831498</v>
      </c>
      <c r="AJ22" s="97">
        <v>-34.403234311829841</v>
      </c>
      <c r="AK22" s="98">
        <v>-33.249016301292869</v>
      </c>
      <c r="AL22" s="99">
        <v>-35.558995286005754</v>
      </c>
      <c r="AM22" s="97">
        <v>-36.194212849435999</v>
      </c>
      <c r="AN22" s="98">
        <v>-25.760286225402506</v>
      </c>
      <c r="AO22" s="99">
        <v>-48.859934853420192</v>
      </c>
    </row>
    <row r="23" spans="1:41" ht="15.75" customHeight="1" x14ac:dyDescent="0.3">
      <c r="A23" s="101"/>
      <c r="B23" s="111" t="s">
        <v>9</v>
      </c>
      <c r="C23" s="193">
        <v>-45.036907722922535</v>
      </c>
      <c r="D23" s="198">
        <v>-32.409730083024904</v>
      </c>
      <c r="E23" s="199">
        <v>-61.75479167480399</v>
      </c>
      <c r="F23" s="192">
        <v>-50.089872615336539</v>
      </c>
      <c r="G23" s="198">
        <v>-39.197064240358451</v>
      </c>
      <c r="H23" s="199">
        <v>-68.779625044216502</v>
      </c>
      <c r="I23" s="192">
        <v>-42.919989889157186</v>
      </c>
      <c r="J23" s="198">
        <v>-28.499881774064605</v>
      </c>
      <c r="K23" s="199">
        <v>-64.286882155286591</v>
      </c>
      <c r="L23" s="192">
        <v>-34.972650480732739</v>
      </c>
      <c r="M23" s="198">
        <v>-17.038946503625606</v>
      </c>
      <c r="N23" s="199">
        <v>-52.223011200952897</v>
      </c>
      <c r="O23" s="192">
        <v>-47.041655064302901</v>
      </c>
      <c r="P23" s="198">
        <v>-34.854972672892373</v>
      </c>
      <c r="Q23" s="199">
        <v>-63.540012914439423</v>
      </c>
      <c r="R23" s="192">
        <v>-50.802084605675681</v>
      </c>
      <c r="S23" s="198">
        <v>-41.366143402630463</v>
      </c>
      <c r="T23" s="199">
        <v>-55.240157244627127</v>
      </c>
      <c r="U23" s="192">
        <v>-49.171850361927468</v>
      </c>
      <c r="V23" s="198">
        <v>-39.64550779771853</v>
      </c>
      <c r="W23" s="199">
        <v>-64.402855644738395</v>
      </c>
      <c r="X23" s="192">
        <v>-37.581109565073632</v>
      </c>
      <c r="Y23" s="198">
        <v>-16.515450952209875</v>
      </c>
      <c r="Z23" s="199">
        <v>-71.011083787732986</v>
      </c>
      <c r="AA23" s="192">
        <v>-42.62682815356488</v>
      </c>
      <c r="AB23" s="198">
        <v>-30.237008127616793</v>
      </c>
      <c r="AC23" s="199">
        <v>-61.453205515732499</v>
      </c>
      <c r="AD23" s="192">
        <v>-46.231511365009247</v>
      </c>
      <c r="AE23" s="198">
        <v>-30.627545001331992</v>
      </c>
      <c r="AF23" s="199">
        <v>-59.180773117736237</v>
      </c>
      <c r="AG23" s="192">
        <v>-35.925345994544919</v>
      </c>
      <c r="AH23" s="198">
        <v>-30.710791965865326</v>
      </c>
      <c r="AI23" s="199">
        <v>-40.843066051624319</v>
      </c>
      <c r="AJ23" s="192">
        <v>-36.861326684692905</v>
      </c>
      <c r="AK23" s="198">
        <v>-35.637848493382137</v>
      </c>
      <c r="AL23" s="199">
        <v>-38.078890212288933</v>
      </c>
      <c r="AM23" s="192">
        <v>-41.863833896668282</v>
      </c>
      <c r="AN23" s="198">
        <v>-25.670840787119854</v>
      </c>
      <c r="AO23" s="199">
        <v>-60.8604407135362</v>
      </c>
    </row>
    <row r="24" spans="1:41" ht="15.75" customHeight="1" x14ac:dyDescent="0.3">
      <c r="A24" s="101"/>
      <c r="B24" s="96" t="s">
        <v>10</v>
      </c>
      <c r="C24" s="131">
        <v>-44.651599086049742</v>
      </c>
      <c r="D24" s="98">
        <v>-34.015973453597226</v>
      </c>
      <c r="E24" s="99">
        <v>-58.800559973726983</v>
      </c>
      <c r="F24" s="97">
        <v>-52.580841607891756</v>
      </c>
      <c r="G24" s="98">
        <v>-41.837274306867108</v>
      </c>
      <c r="H24" s="99">
        <v>-70.786490701301119</v>
      </c>
      <c r="I24" s="97">
        <v>-42.870428947610293</v>
      </c>
      <c r="J24" s="98">
        <v>-28.855148868705939</v>
      </c>
      <c r="K24" s="99">
        <v>-63.915932570211154</v>
      </c>
      <c r="L24" s="97">
        <v>-34.609271719917423</v>
      </c>
      <c r="M24" s="98">
        <v>-20.19154553527266</v>
      </c>
      <c r="N24" s="99">
        <v>-48.939119309094814</v>
      </c>
      <c r="O24" s="97">
        <v>-44.771115462458653</v>
      </c>
      <c r="P24" s="98">
        <v>-37.414917220145306</v>
      </c>
      <c r="Q24" s="99">
        <v>-54.676602748188884</v>
      </c>
      <c r="R24" s="97">
        <v>-42.859961386152577</v>
      </c>
      <c r="S24" s="98">
        <v>-40.721257447078209</v>
      </c>
      <c r="T24" s="99">
        <v>-43.930263046604082</v>
      </c>
      <c r="U24" s="97">
        <v>-47.307907933331883</v>
      </c>
      <c r="V24" s="98">
        <v>-39.517430354696302</v>
      </c>
      <c r="W24" s="99">
        <v>-59.513606767210177</v>
      </c>
      <c r="X24" s="97">
        <v>-37.544088649429277</v>
      </c>
      <c r="Y24" s="98">
        <v>-16.214631946792913</v>
      </c>
      <c r="Z24" s="99">
        <v>-71.748797859647851</v>
      </c>
      <c r="AA24" s="97">
        <v>-44.463302752293558</v>
      </c>
      <c r="AB24" s="98">
        <v>-36.014012641839876</v>
      </c>
      <c r="AC24" s="99">
        <v>-57.261506517476072</v>
      </c>
      <c r="AD24" s="97">
        <v>-44.641810092091205</v>
      </c>
      <c r="AE24" s="98">
        <v>-29.215745877346311</v>
      </c>
      <c r="AF24" s="99">
        <v>-57.461791082480751</v>
      </c>
      <c r="AG24" s="97">
        <v>-34.669050977231542</v>
      </c>
      <c r="AH24" s="98">
        <v>-33.62688900468995</v>
      </c>
      <c r="AI24" s="99">
        <v>-35.64395047284782</v>
      </c>
      <c r="AJ24" s="97">
        <v>-38.676745911194324</v>
      </c>
      <c r="AK24" s="98">
        <v>-34.937178754997156</v>
      </c>
      <c r="AL24" s="99">
        <v>-42.339696524718548</v>
      </c>
      <c r="AM24" s="97">
        <v>-40.970220941402502</v>
      </c>
      <c r="AN24" s="98">
        <v>-22.232223222322233</v>
      </c>
      <c r="AO24" s="99">
        <v>-62.409886714727094</v>
      </c>
    </row>
    <row r="25" spans="1:41" ht="15.75" customHeight="1" x14ac:dyDescent="0.3">
      <c r="A25" s="101"/>
      <c r="B25" s="111" t="s">
        <v>11</v>
      </c>
      <c r="C25" s="193">
        <v>-41.5502798949396</v>
      </c>
      <c r="D25" s="198">
        <v>-34.880452721688158</v>
      </c>
      <c r="E25" s="199">
        <v>-50.265562538190331</v>
      </c>
      <c r="F25" s="192">
        <v>-53.375588790726965</v>
      </c>
      <c r="G25" s="198">
        <v>-44.484784428918502</v>
      </c>
      <c r="H25" s="199">
        <v>-68.681104455392912</v>
      </c>
      <c r="I25" s="192">
        <v>-40.592698708180009</v>
      </c>
      <c r="J25" s="198">
        <v>-29.592309603816545</v>
      </c>
      <c r="K25" s="199">
        <v>-56.51514562351749</v>
      </c>
      <c r="L25" s="192">
        <v>-28.976223318448536</v>
      </c>
      <c r="M25" s="198">
        <v>-18.694425725037455</v>
      </c>
      <c r="N25" s="199">
        <v>-38.856065511767746</v>
      </c>
      <c r="O25" s="192">
        <v>-38.089301881148984</v>
      </c>
      <c r="P25" s="198">
        <v>-36.231426542018511</v>
      </c>
      <c r="Q25" s="199">
        <v>-40.449873515804832</v>
      </c>
      <c r="R25" s="192">
        <v>-35.738279437329865</v>
      </c>
      <c r="S25" s="198">
        <v>-41.056161632889633</v>
      </c>
      <c r="T25" s="199">
        <v>-33.064448977892489</v>
      </c>
      <c r="U25" s="192">
        <v>-44.758809640894711</v>
      </c>
      <c r="V25" s="198">
        <v>-39.360373786603319</v>
      </c>
      <c r="W25" s="199">
        <v>-53.084694170723942</v>
      </c>
      <c r="X25" s="192">
        <v>-30.594940035688101</v>
      </c>
      <c r="Y25" s="198">
        <v>-16.640488264596321</v>
      </c>
      <c r="Z25" s="199">
        <v>-53.02412810617809</v>
      </c>
      <c r="AA25" s="192">
        <v>-43.221699736208286</v>
      </c>
      <c r="AB25" s="198">
        <v>-37.290356891868761</v>
      </c>
      <c r="AC25" s="199">
        <v>-52.262528589212806</v>
      </c>
      <c r="AD25" s="192">
        <v>-45.014420041297662</v>
      </c>
      <c r="AE25" s="198">
        <v>-34.685405240706856</v>
      </c>
      <c r="AF25" s="199">
        <v>-53.399499118820138</v>
      </c>
      <c r="AG25" s="192">
        <v>-26.073216362441222</v>
      </c>
      <c r="AH25" s="198">
        <v>-32.321618743343983</v>
      </c>
      <c r="AI25" s="199">
        <v>-20.424569173004738</v>
      </c>
      <c r="AJ25" s="192">
        <v>-35.369540289794656</v>
      </c>
      <c r="AK25" s="198">
        <v>-36.907449209932267</v>
      </c>
      <c r="AL25" s="199">
        <v>-33.876600698486612</v>
      </c>
      <c r="AM25" s="192">
        <v>-36.131210805595757</v>
      </c>
      <c r="AN25" s="198">
        <v>-29.133154602323508</v>
      </c>
      <c r="AO25" s="199">
        <v>-44.339622641509436</v>
      </c>
    </row>
    <row r="26" spans="1:41" ht="15.75" customHeight="1" x14ac:dyDescent="0.3">
      <c r="A26" s="101"/>
      <c r="B26" s="96" t="s">
        <v>12</v>
      </c>
      <c r="C26" s="131">
        <v>-40.23791803860837</v>
      </c>
      <c r="D26" s="98">
        <v>-35.419401279941333</v>
      </c>
      <c r="E26" s="98">
        <v>-46.525069358514791</v>
      </c>
      <c r="F26" s="97">
        <v>-54.095795083759612</v>
      </c>
      <c r="G26" s="98">
        <v>-46.483854888599076</v>
      </c>
      <c r="H26" s="99">
        <v>-66.942863069583055</v>
      </c>
      <c r="I26" s="97">
        <v>-40.158499025749549</v>
      </c>
      <c r="J26" s="98">
        <v>-30.203131386731606</v>
      </c>
      <c r="K26" s="99">
        <v>-54.452780116869526</v>
      </c>
      <c r="L26" s="97">
        <v>-27.125870454453672</v>
      </c>
      <c r="M26" s="98">
        <v>-19.275312927802791</v>
      </c>
      <c r="N26" s="99">
        <v>-34.957789494914607</v>
      </c>
      <c r="O26" s="97">
        <v>-35.990754469776476</v>
      </c>
      <c r="P26" s="98">
        <v>-39.536935653615956</v>
      </c>
      <c r="Q26" s="99">
        <v>-31.361819830154115</v>
      </c>
      <c r="R26" s="97">
        <v>-32.4117779276242</v>
      </c>
      <c r="S26" s="98">
        <v>-35.797462003219536</v>
      </c>
      <c r="T26" s="99">
        <v>-30.775680918128145</v>
      </c>
      <c r="U26" s="97">
        <v>-41.898783002736508</v>
      </c>
      <c r="V26" s="98">
        <v>-37.146353573703408</v>
      </c>
      <c r="W26" s="99">
        <v>-49.195324411316278</v>
      </c>
      <c r="X26" s="97">
        <v>-28.906130720224297</v>
      </c>
      <c r="Y26" s="98">
        <v>-15.735175383511269</v>
      </c>
      <c r="Z26" s="99">
        <v>-50.293164354127981</v>
      </c>
      <c r="AA26" s="97">
        <v>-40.853825761038479</v>
      </c>
      <c r="AB26" s="98">
        <v>-37.099118485380401</v>
      </c>
      <c r="AC26" s="99">
        <v>-46.613580425655144</v>
      </c>
      <c r="AD26" s="97">
        <v>-41.872988992379355</v>
      </c>
      <c r="AE26" s="98">
        <v>-32.554428359740108</v>
      </c>
      <c r="AF26" s="99">
        <v>-49.366044422718502</v>
      </c>
      <c r="AG26" s="97">
        <v>-26.628833085710124</v>
      </c>
      <c r="AH26" s="98">
        <v>-32.659932659932657</v>
      </c>
      <c r="AI26" s="99">
        <v>-21.42954328994513</v>
      </c>
      <c r="AJ26" s="97">
        <v>-33.254223090883691</v>
      </c>
      <c r="AK26" s="98">
        <v>-38.856367789834387</v>
      </c>
      <c r="AL26" s="99">
        <v>-27.895383774924877</v>
      </c>
      <c r="AM26" s="97">
        <v>-34.608120868744095</v>
      </c>
      <c r="AN26" s="98">
        <v>-33.611342785654706</v>
      </c>
      <c r="AO26" s="99">
        <v>-35.908596300326444</v>
      </c>
    </row>
    <row r="27" spans="1:41" ht="15.75" customHeight="1" x14ac:dyDescent="0.3">
      <c r="A27" s="101"/>
      <c r="B27" s="111" t="s">
        <v>13</v>
      </c>
      <c r="C27" s="193">
        <v>-37.951460650395539</v>
      </c>
      <c r="D27" s="198">
        <v>-34.212301461208881</v>
      </c>
      <c r="E27" s="198">
        <v>-42.609097390329865</v>
      </c>
      <c r="F27" s="192">
        <v>-53.062107768881205</v>
      </c>
      <c r="G27" s="198">
        <v>-47.414004579153946</v>
      </c>
      <c r="H27" s="199">
        <v>-62.894730598590712</v>
      </c>
      <c r="I27" s="192">
        <v>-37.768859548170653</v>
      </c>
      <c r="J27" s="198">
        <v>-29.592864432233956</v>
      </c>
      <c r="K27" s="199">
        <v>-48.925625362964396</v>
      </c>
      <c r="L27" s="192">
        <v>-28.356787290964359</v>
      </c>
      <c r="M27" s="198">
        <v>-20.68836023692614</v>
      </c>
      <c r="N27" s="199">
        <v>-35.585257015360874</v>
      </c>
      <c r="O27" s="192">
        <v>-30.251776001009823</v>
      </c>
      <c r="P27" s="198">
        <v>-36.798341335661242</v>
      </c>
      <c r="Q27" s="199">
        <v>-22.498039790106738</v>
      </c>
      <c r="R27" s="192">
        <v>-31.703555581694744</v>
      </c>
      <c r="S27" s="198">
        <v>-36.1679401856873</v>
      </c>
      <c r="T27" s="199">
        <v>-29.620578285079024</v>
      </c>
      <c r="U27" s="192">
        <v>-38.657227058703981</v>
      </c>
      <c r="V27" s="198">
        <v>-33.003384907795954</v>
      </c>
      <c r="W27" s="199">
        <v>-46.362849180304046</v>
      </c>
      <c r="X27" s="192">
        <v>-25.504440178435793</v>
      </c>
      <c r="Y27" s="198">
        <v>-13.442550365286676</v>
      </c>
      <c r="Z27" s="199">
        <v>-45.507948746190849</v>
      </c>
      <c r="AA27" s="192">
        <v>-40.273010568151001</v>
      </c>
      <c r="AB27" s="198">
        <v>-35.87225929456622</v>
      </c>
      <c r="AC27" s="199">
        <v>-46.663713383908302</v>
      </c>
      <c r="AD27" s="192">
        <v>-39.17768037199383</v>
      </c>
      <c r="AE27" s="198">
        <v>-29.113112962195164</v>
      </c>
      <c r="AF27" s="199">
        <v>-47.155661786674621</v>
      </c>
      <c r="AG27" s="192">
        <v>-26.252567652049652</v>
      </c>
      <c r="AH27" s="198">
        <v>-25.943420711134191</v>
      </c>
      <c r="AI27" s="199">
        <v>-26.485914665203936</v>
      </c>
      <c r="AJ27" s="192">
        <v>-33.480236881972182</v>
      </c>
      <c r="AK27" s="198">
        <v>-39.350383992108796</v>
      </c>
      <c r="AL27" s="199">
        <v>-27.870177092451687</v>
      </c>
      <c r="AM27" s="192">
        <v>-28.943488943488948</v>
      </c>
      <c r="AN27" s="198">
        <v>-30.099502487562191</v>
      </c>
      <c r="AO27" s="199">
        <v>-27.261761158021713</v>
      </c>
    </row>
    <row r="28" spans="1:41" ht="15.75" customHeight="1" x14ac:dyDescent="0.3">
      <c r="A28" s="364" t="s">
        <v>124</v>
      </c>
      <c r="B28" s="96" t="s">
        <v>54</v>
      </c>
      <c r="C28" s="131">
        <v>-37.469315443619735</v>
      </c>
      <c r="D28" s="98">
        <v>-35.218166878178771</v>
      </c>
      <c r="E28" s="98">
        <v>-40.361074104316074</v>
      </c>
      <c r="F28" s="97">
        <v>-53.149096406365956</v>
      </c>
      <c r="G28" s="98">
        <v>-49.467861015380578</v>
      </c>
      <c r="H28" s="99">
        <v>-60.534264416548901</v>
      </c>
      <c r="I28" s="97">
        <v>-37.228732376436135</v>
      </c>
      <c r="J28" s="98">
        <v>-29.685620758981891</v>
      </c>
      <c r="K28" s="99">
        <v>-47.248734334799551</v>
      </c>
      <c r="L28" s="97">
        <v>-28.851782770765144</v>
      </c>
      <c r="M28" s="98">
        <v>-23.614355372220309</v>
      </c>
      <c r="N28" s="99">
        <v>-34.160416433449015</v>
      </c>
      <c r="O28" s="97">
        <v>-28.373297619868289</v>
      </c>
      <c r="P28" s="98">
        <v>-33.705219157516687</v>
      </c>
      <c r="Q28" s="99">
        <v>-22.232675218347552</v>
      </c>
      <c r="R28" s="97">
        <v>-32.815785424893583</v>
      </c>
      <c r="S28" s="98">
        <v>-36.33334006584397</v>
      </c>
      <c r="T28" s="99">
        <v>-31.180210553995547</v>
      </c>
      <c r="U28" s="97">
        <v>-40.114057982530696</v>
      </c>
      <c r="V28" s="98">
        <v>-37.803486120077459</v>
      </c>
      <c r="W28" s="99">
        <v>-43.463320781272245</v>
      </c>
      <c r="X28" s="97">
        <v>-22.357825868142932</v>
      </c>
      <c r="Y28" s="98">
        <v>-11.201921997440344</v>
      </c>
      <c r="Z28" s="99">
        <v>-40.763104278570118</v>
      </c>
      <c r="AA28" s="97">
        <v>-41.392968758943617</v>
      </c>
      <c r="AB28" s="98">
        <v>-38.578863394620853</v>
      </c>
      <c r="AC28" s="99">
        <v>-45.662008356144646</v>
      </c>
      <c r="AD28" s="97">
        <v>-37.998537340340533</v>
      </c>
      <c r="AE28" s="98">
        <v>-31.635854977127519</v>
      </c>
      <c r="AF28" s="99">
        <v>-43.201632350213295</v>
      </c>
      <c r="AG28" s="97">
        <v>-27.355072463768117</v>
      </c>
      <c r="AH28" s="98">
        <v>-31.967421735810643</v>
      </c>
      <c r="AI28" s="99">
        <v>-23.57384300797063</v>
      </c>
      <c r="AJ28" s="97">
        <v>-29.1182618827319</v>
      </c>
      <c r="AK28" s="98">
        <v>-36.885542604792576</v>
      </c>
      <c r="AL28" s="99">
        <v>-22.136907860489341</v>
      </c>
      <c r="AM28" s="97">
        <v>-27.416267942583726</v>
      </c>
      <c r="AN28" s="98">
        <v>-24.899598393574294</v>
      </c>
      <c r="AO28" s="99">
        <v>-31.124260355029588</v>
      </c>
    </row>
    <row r="29" spans="1:41" ht="15.75" customHeight="1" x14ac:dyDescent="0.3">
      <c r="A29" s="108"/>
      <c r="B29" s="111" t="s">
        <v>56</v>
      </c>
      <c r="C29" s="193">
        <v>-37.979844178277368</v>
      </c>
      <c r="D29" s="198">
        <v>-35.258912746604054</v>
      </c>
      <c r="E29" s="198">
        <v>-41.565284089142594</v>
      </c>
      <c r="F29" s="192">
        <v>-54.870684437749652</v>
      </c>
      <c r="G29" s="198">
        <v>-49.396351370806833</v>
      </c>
      <c r="H29" s="199">
        <v>-65.214518886988955</v>
      </c>
      <c r="I29" s="192">
        <v>-40.471870506211481</v>
      </c>
      <c r="J29" s="198">
        <v>-32.272727272727266</v>
      </c>
      <c r="K29" s="199">
        <v>-52.004572599385334</v>
      </c>
      <c r="L29" s="192">
        <v>-25.572851203712656</v>
      </c>
      <c r="M29" s="198">
        <v>-21.369689283449578</v>
      </c>
      <c r="N29" s="199">
        <v>-30.080451744133107</v>
      </c>
      <c r="O29" s="192">
        <v>-28.745326493348454</v>
      </c>
      <c r="P29" s="198">
        <v>-32.759215388988885</v>
      </c>
      <c r="Q29" s="199">
        <v>-23.914659903200906</v>
      </c>
      <c r="R29" s="192">
        <v>-32.518205045256785</v>
      </c>
      <c r="S29" s="198">
        <v>-41.38816407473125</v>
      </c>
      <c r="T29" s="199">
        <v>-28.415279440732309</v>
      </c>
      <c r="U29" s="192">
        <v>-39.812667767261935</v>
      </c>
      <c r="V29" s="198">
        <v>-38.025125654368274</v>
      </c>
      <c r="W29" s="199">
        <v>-42.534994078230973</v>
      </c>
      <c r="X29" s="192">
        <v>-22.634363686995286</v>
      </c>
      <c r="Y29" s="198">
        <v>-11.404097334049034</v>
      </c>
      <c r="Z29" s="199">
        <v>-41.15759185480303</v>
      </c>
      <c r="AA29" s="192">
        <v>-39.512455227254314</v>
      </c>
      <c r="AB29" s="198">
        <v>-37.694412029154648</v>
      </c>
      <c r="AC29" s="199">
        <v>-42.307918578656334</v>
      </c>
      <c r="AD29" s="192">
        <v>-36.137012696555779</v>
      </c>
      <c r="AE29" s="198">
        <v>-29.878879636638921</v>
      </c>
      <c r="AF29" s="199">
        <v>-41.351794613007002</v>
      </c>
      <c r="AG29" s="192">
        <v>-25.214035933920186</v>
      </c>
      <c r="AH29" s="198">
        <v>-28.852323295042957</v>
      </c>
      <c r="AI29" s="199">
        <v>-22.03803243145579</v>
      </c>
      <c r="AJ29" s="192">
        <v>-20.309546735137808</v>
      </c>
      <c r="AK29" s="198">
        <v>-18.017952273224846</v>
      </c>
      <c r="AL29" s="199">
        <v>-22.499651276328649</v>
      </c>
      <c r="AM29" s="192">
        <v>-31.216931216931222</v>
      </c>
      <c r="AN29" s="198">
        <v>-35.423452768729646</v>
      </c>
      <c r="AO29" s="199">
        <v>-25.14688601645123</v>
      </c>
    </row>
    <row r="30" spans="1:41" ht="15.75" customHeight="1" x14ac:dyDescent="0.3">
      <c r="A30" s="108"/>
      <c r="B30" s="96" t="s">
        <v>65</v>
      </c>
      <c r="C30" s="131">
        <v>-30.481481262813048</v>
      </c>
      <c r="D30" s="98">
        <v>-32.728663721235563</v>
      </c>
      <c r="E30" s="98">
        <v>-27.147453043904658</v>
      </c>
      <c r="F30" s="97">
        <v>-50.936187208569329</v>
      </c>
      <c r="G30" s="98">
        <v>-47.386843182363478</v>
      </c>
      <c r="H30" s="99">
        <v>-58.544739429695184</v>
      </c>
      <c r="I30" s="97">
        <v>-31.63287168216301</v>
      </c>
      <c r="J30" s="98">
        <v>-32.042792782736463</v>
      </c>
      <c r="K30" s="99">
        <v>-30.918038020267613</v>
      </c>
      <c r="L30" s="97">
        <v>-19.318774806685724</v>
      </c>
      <c r="M30" s="98">
        <v>-19.027393847358496</v>
      </c>
      <c r="N30" s="99">
        <v>-19.651530650263858</v>
      </c>
      <c r="O30" s="97">
        <v>-19.236711260431637</v>
      </c>
      <c r="P30" s="98">
        <v>-30.258262456794483</v>
      </c>
      <c r="Q30" s="99">
        <v>-4.0760506648289567</v>
      </c>
      <c r="R30" s="97">
        <v>-21.067767132483063</v>
      </c>
      <c r="S30" s="98">
        <v>-39.734086109554809</v>
      </c>
      <c r="T30" s="99">
        <v>-10.839532412327312</v>
      </c>
      <c r="U30" s="97">
        <v>-32.891461669413538</v>
      </c>
      <c r="V30" s="98">
        <v>-35.185135504917433</v>
      </c>
      <c r="W30" s="99">
        <v>-28.951661213768944</v>
      </c>
      <c r="X30" s="97">
        <v>-12.909900120569818</v>
      </c>
      <c r="Y30" s="98">
        <v>-2.5631803577423007</v>
      </c>
      <c r="Z30" s="99">
        <v>-29.848871442590774</v>
      </c>
      <c r="AA30" s="97">
        <v>-32.873774129957702</v>
      </c>
      <c r="AB30" s="98">
        <v>-34.913708762180576</v>
      </c>
      <c r="AC30" s="99">
        <v>-29.345876620080546</v>
      </c>
      <c r="AD30" s="97">
        <v>-26.889025001392099</v>
      </c>
      <c r="AE30" s="98">
        <v>-22.825951600182648</v>
      </c>
      <c r="AF30" s="99">
        <v>-30.175250117504849</v>
      </c>
      <c r="AG30" s="97">
        <v>-14.909212489069523</v>
      </c>
      <c r="AH30" s="98">
        <v>-23.030807660283116</v>
      </c>
      <c r="AI30" s="99">
        <v>-7.8976374179326347</v>
      </c>
      <c r="AJ30" s="97">
        <v>-13.0582634323283</v>
      </c>
      <c r="AK30" s="98">
        <v>-16.37301879837818</v>
      </c>
      <c r="AL30" s="99">
        <v>-9.5729013254786661</v>
      </c>
      <c r="AM30" s="97">
        <v>-24.370179948586124</v>
      </c>
      <c r="AN30" s="98">
        <v>-29.642545771578032</v>
      </c>
      <c r="AO30" s="99">
        <v>-16.79197994987469</v>
      </c>
    </row>
    <row r="31" spans="1:41" ht="15.75" customHeight="1" x14ac:dyDescent="0.3">
      <c r="A31" s="108"/>
      <c r="B31" s="111" t="s">
        <v>66</v>
      </c>
      <c r="C31" s="193">
        <v>-15.140755757283731</v>
      </c>
      <c r="D31" s="198">
        <v>-27.715271094080585</v>
      </c>
      <c r="E31" s="198">
        <v>11.312956746621762</v>
      </c>
      <c r="F31" s="192">
        <v>-40.587978734690509</v>
      </c>
      <c r="G31" s="198">
        <v>-42.884885771325166</v>
      </c>
      <c r="H31" s="199">
        <v>-33.364278210734625</v>
      </c>
      <c r="I31" s="192">
        <v>-13.330706052002295</v>
      </c>
      <c r="J31" s="198">
        <v>-26.066020910433551</v>
      </c>
      <c r="K31" s="199">
        <v>22.213997582408631</v>
      </c>
      <c r="L31" s="192">
        <v>-5.0529387556586087</v>
      </c>
      <c r="M31" s="198">
        <v>-15.810075841692273</v>
      </c>
      <c r="N31" s="199">
        <v>10.842703399178744</v>
      </c>
      <c r="O31" s="192">
        <v>-3.212500552926123</v>
      </c>
      <c r="P31" s="198">
        <v>-28.894473367240337</v>
      </c>
      <c r="Q31" s="199">
        <v>54.186006993820079</v>
      </c>
      <c r="R31" s="192">
        <v>4.225996795924214</v>
      </c>
      <c r="S31" s="198">
        <v>-23.866328723345642</v>
      </c>
      <c r="T31" s="199">
        <v>20.10934749762454</v>
      </c>
      <c r="U31" s="192">
        <v>-15.689174434840847</v>
      </c>
      <c r="V31" s="198">
        <v>-30.251565651204771</v>
      </c>
      <c r="W31" s="199">
        <v>25.254920166464913</v>
      </c>
      <c r="X31" s="192">
        <v>-2.4165765166014763</v>
      </c>
      <c r="Y31" s="198">
        <v>4.6372151188015076</v>
      </c>
      <c r="Z31" s="199">
        <v>-15.639651707970536</v>
      </c>
      <c r="AA31" s="192">
        <v>-20.608988995772147</v>
      </c>
      <c r="AB31" s="198">
        <v>-31.503955597895882</v>
      </c>
      <c r="AC31" s="199">
        <v>6.2356483135174168</v>
      </c>
      <c r="AD31" s="192">
        <v>-6.7939372902927726</v>
      </c>
      <c r="AE31" s="198">
        <v>-18.314587147964101</v>
      </c>
      <c r="AF31" s="199">
        <v>6.2385954529762699</v>
      </c>
      <c r="AG31" s="192">
        <v>7.0223987498372109</v>
      </c>
      <c r="AH31" s="198">
        <v>-12.98379408960918</v>
      </c>
      <c r="AI31" s="199">
        <v>28.035511648087528</v>
      </c>
      <c r="AJ31" s="192">
        <v>-4.3525708289611886</v>
      </c>
      <c r="AK31" s="198">
        <v>-8.6289624793518769</v>
      </c>
      <c r="AL31" s="199">
        <v>0.53995680345571007</v>
      </c>
      <c r="AM31" s="192">
        <v>-8.7628865979381469</v>
      </c>
      <c r="AN31" s="198">
        <v>-24.32692307692308</v>
      </c>
      <c r="AO31" s="199">
        <v>22.8515625</v>
      </c>
    </row>
    <row r="32" spans="1:41" ht="15.75" customHeight="1" x14ac:dyDescent="0.3">
      <c r="A32" s="108"/>
      <c r="B32" s="96" t="s">
        <v>15</v>
      </c>
      <c r="C32" s="131">
        <v>-9.7631038281217446</v>
      </c>
      <c r="D32" s="98">
        <v>-21.380807755289744</v>
      </c>
      <c r="E32" s="98">
        <v>15.131126837768093</v>
      </c>
      <c r="F32" s="97">
        <v>-34.703733392906443</v>
      </c>
      <c r="G32" s="98">
        <v>-36.251752341472233</v>
      </c>
      <c r="H32" s="99">
        <v>-29.692937279028996</v>
      </c>
      <c r="I32" s="97">
        <v>-7.3930934990914405</v>
      </c>
      <c r="J32" s="98">
        <v>-19.749129778847262</v>
      </c>
      <c r="K32" s="99">
        <v>26.959955298938354</v>
      </c>
      <c r="L32" s="97">
        <v>-2.1640544196038114</v>
      </c>
      <c r="M32" s="98">
        <v>-11.233922695447319</v>
      </c>
      <c r="N32" s="99">
        <v>11.216361255255713</v>
      </c>
      <c r="O32" s="97">
        <v>3.1219497269096452</v>
      </c>
      <c r="P32" s="98">
        <v>-21.271932743284282</v>
      </c>
      <c r="Q32" s="99">
        <v>57.342471156690713</v>
      </c>
      <c r="R32" s="97">
        <v>4.8428368699227509</v>
      </c>
      <c r="S32" s="98">
        <v>-13.438180787251209</v>
      </c>
      <c r="T32" s="99">
        <v>15.784867104887113</v>
      </c>
      <c r="U32" s="97">
        <v>-6.0182262017808075</v>
      </c>
      <c r="V32" s="98">
        <v>-20.442709212863797</v>
      </c>
      <c r="W32" s="99">
        <v>34.200316408015709</v>
      </c>
      <c r="X32" s="97">
        <v>-0.20601355262711563</v>
      </c>
      <c r="Y32" s="98">
        <v>2.2967305068472221</v>
      </c>
      <c r="Z32" s="99">
        <v>-5.3769054082271728</v>
      </c>
      <c r="AA32" s="97">
        <v>-21.239350786642618</v>
      </c>
      <c r="AB32" s="98">
        <v>-30.121664887940259</v>
      </c>
      <c r="AC32" s="99">
        <v>2.5752546640723351</v>
      </c>
      <c r="AD32" s="97">
        <v>6.1729370850458043</v>
      </c>
      <c r="AE32" s="98">
        <v>-10.459764546291384</v>
      </c>
      <c r="AF32" s="99">
        <v>26.000577533930102</v>
      </c>
      <c r="AG32" s="97">
        <v>4.6931030881175229</v>
      </c>
      <c r="AH32" s="98">
        <v>-8.6483582891291313</v>
      </c>
      <c r="AI32" s="99">
        <v>19.060014461315976</v>
      </c>
      <c r="AJ32" s="97">
        <v>3.8408080059303185</v>
      </c>
      <c r="AK32" s="98">
        <v>5.9331373989713443</v>
      </c>
      <c r="AL32" s="99">
        <v>1.7109199700822586</v>
      </c>
      <c r="AM32" s="97">
        <v>-0.35765379113018581</v>
      </c>
      <c r="AN32" s="98">
        <v>-17.510548523206747</v>
      </c>
      <c r="AO32" s="99">
        <v>35.777777777777771</v>
      </c>
    </row>
    <row r="33" spans="1:41" ht="15.75" customHeight="1" x14ac:dyDescent="0.3">
      <c r="A33" s="108"/>
      <c r="B33" s="111" t="s">
        <v>16</v>
      </c>
      <c r="C33" s="193">
        <v>3.4815157811610709</v>
      </c>
      <c r="D33" s="198">
        <v>-14.693538167031805</v>
      </c>
      <c r="E33" s="198">
        <v>44.882777219157454</v>
      </c>
      <c r="F33" s="192">
        <v>-22.166135050553692</v>
      </c>
      <c r="G33" s="198">
        <v>-27.315127159660936</v>
      </c>
      <c r="H33" s="199">
        <v>-4.9877670853041955</v>
      </c>
      <c r="I33" s="192">
        <v>7.7341733385833944</v>
      </c>
      <c r="J33" s="198">
        <v>-11.289429508081417</v>
      </c>
      <c r="K33" s="199">
        <v>63.807500669239928</v>
      </c>
      <c r="L33" s="192">
        <v>7.5456239626093824</v>
      </c>
      <c r="M33" s="198">
        <v>-8.2853268911785243</v>
      </c>
      <c r="N33" s="199">
        <v>33.025012738994633</v>
      </c>
      <c r="O33" s="192">
        <v>20.588354362053863</v>
      </c>
      <c r="P33" s="198">
        <v>-15.024399533433275</v>
      </c>
      <c r="Q33" s="199">
        <v>107.19073806078154</v>
      </c>
      <c r="R33" s="192">
        <v>27.199633022846847</v>
      </c>
      <c r="S33" s="198">
        <v>1.6720696126940826</v>
      </c>
      <c r="T33" s="199">
        <v>42.412657095212914</v>
      </c>
      <c r="U33" s="192">
        <v>8.016802649648568</v>
      </c>
      <c r="V33" s="198">
        <v>-13.551826808841415</v>
      </c>
      <c r="W33" s="199">
        <v>67.64044032679864</v>
      </c>
      <c r="X33" s="192">
        <v>10.895415076599724</v>
      </c>
      <c r="Y33" s="198">
        <v>4.9609682915045417</v>
      </c>
      <c r="Z33" s="199">
        <v>26.541968356127654</v>
      </c>
      <c r="AA33" s="192">
        <v>-15.297538855847304</v>
      </c>
      <c r="AB33" s="198">
        <v>-26.693773025429067</v>
      </c>
      <c r="AC33" s="199">
        <v>15.730886850152892</v>
      </c>
      <c r="AD33" s="192">
        <v>22.169517654383199</v>
      </c>
      <c r="AE33" s="198">
        <v>-6.5771677603566729</v>
      </c>
      <c r="AF33" s="199">
        <v>63.850958744915729</v>
      </c>
      <c r="AG33" s="192">
        <v>8.8817715328718414</v>
      </c>
      <c r="AH33" s="198">
        <v>-12.828269824922788</v>
      </c>
      <c r="AI33" s="199">
        <v>33.86415821050295</v>
      </c>
      <c r="AJ33" s="192">
        <v>6.2446372390122962</v>
      </c>
      <c r="AK33" s="198">
        <v>6.5087653860499639</v>
      </c>
      <c r="AL33" s="199">
        <v>5.9684025746050251</v>
      </c>
      <c r="AM33" s="192">
        <v>2.7516292541636567</v>
      </c>
      <c r="AN33" s="198">
        <v>-18.855932203389834</v>
      </c>
      <c r="AO33" s="199">
        <v>49.427917620137293</v>
      </c>
    </row>
    <row r="34" spans="1:41" ht="15.75" customHeight="1" x14ac:dyDescent="0.3">
      <c r="A34" s="108"/>
      <c r="B34" s="96" t="s">
        <v>8</v>
      </c>
      <c r="C34" s="131">
        <v>17.201272957502532</v>
      </c>
      <c r="D34" s="98">
        <v>-7.6549162421043038</v>
      </c>
      <c r="E34" s="98">
        <v>75.675325892284533</v>
      </c>
      <c r="F34" s="97">
        <v>-11.801465066995942</v>
      </c>
      <c r="G34" s="98">
        <v>-20.956049654471755</v>
      </c>
      <c r="H34" s="99">
        <v>22.302385176424199</v>
      </c>
      <c r="I34" s="97">
        <v>19.556940592881379</v>
      </c>
      <c r="J34" s="98">
        <v>-6.0829555450300887</v>
      </c>
      <c r="K34" s="99">
        <v>94.04721482566967</v>
      </c>
      <c r="L34" s="97">
        <v>13.263430510713548</v>
      </c>
      <c r="M34" s="98">
        <v>-5.275291849181551</v>
      </c>
      <c r="N34" s="99">
        <v>43.768249224048738</v>
      </c>
      <c r="O34" s="97">
        <v>35.097280761632341</v>
      </c>
      <c r="P34" s="98">
        <v>-7.3652077143761208</v>
      </c>
      <c r="Q34" s="99">
        <v>137.80947088967105</v>
      </c>
      <c r="R34" s="97">
        <v>44.719943880854764</v>
      </c>
      <c r="S34" s="98">
        <v>0.7347460334362621</v>
      </c>
      <c r="T34" s="99">
        <v>71.685344358611687</v>
      </c>
      <c r="U34" s="97">
        <v>25.97083362877872</v>
      </c>
      <c r="V34" s="98">
        <v>-4.3475464660106873</v>
      </c>
      <c r="W34" s="99">
        <v>110.07046650610985</v>
      </c>
      <c r="X34" s="97">
        <v>34.1979328278303</v>
      </c>
      <c r="Y34" s="98">
        <v>12.311794650793196</v>
      </c>
      <c r="Z34" s="99">
        <v>128.28855951829553</v>
      </c>
      <c r="AA34" s="97">
        <v>2.7031897639240299E-2</v>
      </c>
      <c r="AB34" s="98">
        <v>-16.990338874993892</v>
      </c>
      <c r="AC34" s="99">
        <v>47.212401414196357</v>
      </c>
      <c r="AD34" s="97">
        <v>34.499535171986409</v>
      </c>
      <c r="AE34" s="98">
        <v>2.064110085871218</v>
      </c>
      <c r="AF34" s="99">
        <v>79.476370090969596</v>
      </c>
      <c r="AG34" s="97">
        <v>25.954428851667409</v>
      </c>
      <c r="AH34" s="98">
        <v>5.097888675623774</v>
      </c>
      <c r="AI34" s="99">
        <v>46.10249944374398</v>
      </c>
      <c r="AJ34" s="97">
        <v>22.13945013130396</v>
      </c>
      <c r="AK34" s="98">
        <v>18.778947368421029</v>
      </c>
      <c r="AL34" s="99">
        <v>25.62506823889068</v>
      </c>
      <c r="AM34" s="97">
        <v>15.60338201383551</v>
      </c>
      <c r="AN34" s="98">
        <v>-5.6626506024096361</v>
      </c>
      <c r="AO34" s="99">
        <v>53.078556263269647</v>
      </c>
    </row>
    <row r="35" spans="1:41" ht="15.75" customHeight="1" x14ac:dyDescent="0.3">
      <c r="A35" s="108"/>
      <c r="B35" s="111" t="s">
        <v>9</v>
      </c>
      <c r="C35" s="193">
        <v>25.741992298710194</v>
      </c>
      <c r="D35" s="198">
        <v>-0.95401504369403423</v>
      </c>
      <c r="E35" s="198">
        <v>88.205803501183595</v>
      </c>
      <c r="F35" s="192">
        <v>-3.819722328543107</v>
      </c>
      <c r="G35" s="198">
        <v>-13.207803069689671</v>
      </c>
      <c r="H35" s="199">
        <v>27.551174560012104</v>
      </c>
      <c r="I35" s="192">
        <v>26.901841068837527</v>
      </c>
      <c r="J35" s="198">
        <v>-1.6982302752380218</v>
      </c>
      <c r="K35" s="199">
        <v>111.74541479412112</v>
      </c>
      <c r="L35" s="192">
        <v>17.791592791256083</v>
      </c>
      <c r="M35" s="198">
        <v>-1.0943431429535022</v>
      </c>
      <c r="N35" s="199">
        <v>49.335986192348315</v>
      </c>
      <c r="O35" s="192">
        <v>49.066017526776974</v>
      </c>
      <c r="P35" s="198">
        <v>0.30332557128154303</v>
      </c>
      <c r="Q35" s="199">
        <v>167.01865587173924</v>
      </c>
      <c r="R35" s="192">
        <v>51.785492613895002</v>
      </c>
      <c r="S35" s="198">
        <v>8.0463096960926137</v>
      </c>
      <c r="T35" s="199">
        <v>78.734312654644341</v>
      </c>
      <c r="U35" s="192">
        <v>33.590839694656481</v>
      </c>
      <c r="V35" s="198">
        <v>3.3338349133103407</v>
      </c>
      <c r="W35" s="199">
        <v>115.6114031907177</v>
      </c>
      <c r="X35" s="192">
        <v>39.017392072040266</v>
      </c>
      <c r="Y35" s="198">
        <v>14.811427341690431</v>
      </c>
      <c r="Z35" s="199">
        <v>149.64347184656995</v>
      </c>
      <c r="AA35" s="192">
        <v>14.410610798000501</v>
      </c>
      <c r="AB35" s="198">
        <v>-4.58952285256502</v>
      </c>
      <c r="AC35" s="199">
        <v>66.661687826736397</v>
      </c>
      <c r="AD35" s="192">
        <v>42.957565641651144</v>
      </c>
      <c r="AE35" s="198">
        <v>6.0014262987547307</v>
      </c>
      <c r="AF35" s="199">
        <v>95.079303675048337</v>
      </c>
      <c r="AG35" s="192">
        <v>32.548973237160503</v>
      </c>
      <c r="AH35" s="198">
        <v>7.8401922499248933</v>
      </c>
      <c r="AI35" s="199">
        <v>59.84238905018664</v>
      </c>
      <c r="AJ35" s="192">
        <v>28.309232480533943</v>
      </c>
      <c r="AK35" s="198">
        <v>25.246116823452169</v>
      </c>
      <c r="AL35" s="199">
        <v>31.477709889115157</v>
      </c>
      <c r="AM35" s="192">
        <v>27.740863787375414</v>
      </c>
      <c r="AN35" s="198">
        <v>8.5439229843562003</v>
      </c>
      <c r="AO35" s="199">
        <v>70.509383378016082</v>
      </c>
    </row>
    <row r="36" spans="1:41" ht="15.75" customHeight="1" x14ac:dyDescent="0.3">
      <c r="A36" s="108"/>
      <c r="B36" s="96" t="s">
        <v>10</v>
      </c>
      <c r="C36" s="131">
        <v>28.656328682776721</v>
      </c>
      <c r="D36" s="98">
        <v>3.6539970008989675</v>
      </c>
      <c r="E36" s="98">
        <v>81.927165251627173</v>
      </c>
      <c r="F36" s="97">
        <v>6.3174577151132505</v>
      </c>
      <c r="G36" s="98">
        <v>-6.6242369138849284</v>
      </c>
      <c r="H36" s="99">
        <v>49.980081268424748</v>
      </c>
      <c r="I36" s="97">
        <v>29.349019459377644</v>
      </c>
      <c r="J36" s="98">
        <v>-0.27158946308852849</v>
      </c>
      <c r="K36" s="99">
        <v>117.04496466927816</v>
      </c>
      <c r="L36" s="97">
        <v>22.406015037593939</v>
      </c>
      <c r="M36" s="98">
        <v>4.8105859774629778</v>
      </c>
      <c r="N36" s="99">
        <v>49.740145240249632</v>
      </c>
      <c r="O36" s="97">
        <v>47.373693736639375</v>
      </c>
      <c r="P36" s="98">
        <v>8.3867864015394709</v>
      </c>
      <c r="Q36" s="99">
        <v>119.8656102911423</v>
      </c>
      <c r="R36" s="97">
        <v>39.038376165343095</v>
      </c>
      <c r="S36" s="98">
        <v>10.602658683488354</v>
      </c>
      <c r="T36" s="99">
        <v>54.083306620406169</v>
      </c>
      <c r="U36" s="97">
        <v>27.945308550535497</v>
      </c>
      <c r="V36" s="98">
        <v>4.0497344642722588</v>
      </c>
      <c r="W36" s="99">
        <v>83.874324987726993</v>
      </c>
      <c r="X36" s="97">
        <v>44.431598372501455</v>
      </c>
      <c r="Y36" s="98">
        <v>15.580012377902719</v>
      </c>
      <c r="Z36" s="99">
        <v>181.64832352188381</v>
      </c>
      <c r="AA36" s="97">
        <v>20.605847856611838</v>
      </c>
      <c r="AB36" s="98">
        <v>5.5909307307783873</v>
      </c>
      <c r="AC36" s="99">
        <v>54.6558704453441</v>
      </c>
      <c r="AD36" s="97">
        <v>43.102803738317789</v>
      </c>
      <c r="AE36" s="98">
        <v>6.3503140265177782</v>
      </c>
      <c r="AF36" s="99">
        <v>93.927696533293741</v>
      </c>
      <c r="AG36" s="97">
        <v>34.96279733220247</v>
      </c>
      <c r="AH36" s="98">
        <v>21.747664285153512</v>
      </c>
      <c r="AI36" s="99">
        <v>47.712467807907878</v>
      </c>
      <c r="AJ36" s="97">
        <v>39.902073732718904</v>
      </c>
      <c r="AK36" s="98">
        <v>27.166995830590302</v>
      </c>
      <c r="AL36" s="99">
        <v>53.977686150861004</v>
      </c>
      <c r="AM36" s="97">
        <v>25.874694873881211</v>
      </c>
      <c r="AN36" s="98">
        <v>8.217592592592581</v>
      </c>
      <c r="AO36" s="99">
        <v>67.671232876712324</v>
      </c>
    </row>
    <row r="37" spans="1:41" s="109" customFormat="1" ht="15.75" customHeight="1" x14ac:dyDescent="0.3">
      <c r="A37" s="360"/>
      <c r="B37" s="401" t="s">
        <v>11</v>
      </c>
      <c r="C37" s="405">
        <v>25.755170657451032</v>
      </c>
      <c r="D37" s="403">
        <v>8.1994209925727368</v>
      </c>
      <c r="E37" s="403">
        <v>55.791055971274602</v>
      </c>
      <c r="F37" s="402">
        <v>13.368157397320225</v>
      </c>
      <c r="G37" s="403">
        <v>0.33749953640174191</v>
      </c>
      <c r="H37" s="404">
        <v>53.131130224837797</v>
      </c>
      <c r="I37" s="402">
        <v>27.550156229802703</v>
      </c>
      <c r="J37" s="403">
        <v>0.8429199178383584</v>
      </c>
      <c r="K37" s="404">
        <v>90.141285880354104</v>
      </c>
      <c r="L37" s="402">
        <v>15.698755719411395</v>
      </c>
      <c r="M37" s="403">
        <v>5.4417826807692915</v>
      </c>
      <c r="N37" s="404">
        <v>28.80466363005867</v>
      </c>
      <c r="O37" s="402">
        <v>32.71845919393013</v>
      </c>
      <c r="P37" s="403">
        <v>10.943969396939668</v>
      </c>
      <c r="Q37" s="404">
        <v>62.344431687715307</v>
      </c>
      <c r="R37" s="402">
        <v>24.723279048963633</v>
      </c>
      <c r="S37" s="403">
        <v>12.200604059844068</v>
      </c>
      <c r="T37" s="404">
        <v>30.267925173770326</v>
      </c>
      <c r="U37" s="402">
        <v>27.648210198055946</v>
      </c>
      <c r="V37" s="403">
        <v>8.4332447691797476</v>
      </c>
      <c r="W37" s="404">
        <v>65.952199675593363</v>
      </c>
      <c r="X37" s="402">
        <v>34.393622321873437</v>
      </c>
      <c r="Y37" s="403">
        <v>17.617765814266463</v>
      </c>
      <c r="Z37" s="404">
        <v>82.241842610364685</v>
      </c>
      <c r="AA37" s="402">
        <v>22.922937077062922</v>
      </c>
      <c r="AB37" s="403">
        <v>9.2924642597528297</v>
      </c>
      <c r="AC37" s="404">
        <v>50.215295045181648</v>
      </c>
      <c r="AD37" s="402">
        <v>50.563297228515644</v>
      </c>
      <c r="AE37" s="403">
        <v>29.371975042276489</v>
      </c>
      <c r="AF37" s="404">
        <v>74.674893842887386</v>
      </c>
      <c r="AG37" s="402">
        <v>22.297459047228195</v>
      </c>
      <c r="AH37" s="403">
        <v>40.118017309205371</v>
      </c>
      <c r="AI37" s="404">
        <v>8.5959712056137061</v>
      </c>
      <c r="AJ37" s="402">
        <v>39.123655913978503</v>
      </c>
      <c r="AK37" s="403">
        <v>37.701252236135915</v>
      </c>
      <c r="AL37" s="404">
        <v>40.441176470588204</v>
      </c>
      <c r="AM37" s="402">
        <v>19.637462235649551</v>
      </c>
      <c r="AN37" s="403">
        <v>18.537200504413608</v>
      </c>
      <c r="AO37" s="404">
        <v>21.280602636534841</v>
      </c>
    </row>
    <row r="38" spans="1:41" s="109" customFormat="1" ht="15" customHeight="1" x14ac:dyDescent="0.3">
      <c r="A38" s="108"/>
      <c r="F38" s="110"/>
      <c r="G38" s="110"/>
      <c r="H38" s="110"/>
      <c r="AO38" s="111"/>
    </row>
    <row r="39" spans="1:41" s="109" customFormat="1" x14ac:dyDescent="0.3">
      <c r="A39" s="108"/>
      <c r="B39" s="109" t="s">
        <v>84</v>
      </c>
      <c r="C39" s="140"/>
      <c r="D39" s="140"/>
      <c r="E39" s="140"/>
      <c r="F39" s="140"/>
      <c r="G39" s="140"/>
      <c r="H39" s="141"/>
      <c r="I39" s="140"/>
      <c r="J39" s="140"/>
      <c r="K39" s="140"/>
      <c r="L39" s="140"/>
      <c r="M39" s="140"/>
      <c r="N39" s="140"/>
      <c r="AO39" s="111"/>
    </row>
    <row r="40" spans="1:41" s="109" customFormat="1" ht="32.25" customHeight="1" x14ac:dyDescent="0.3">
      <c r="A40" s="108"/>
      <c r="B40" s="112" t="s">
        <v>17</v>
      </c>
      <c r="C40" s="140"/>
      <c r="D40" s="140"/>
      <c r="E40" s="140"/>
      <c r="F40" s="140"/>
      <c r="G40" s="140"/>
      <c r="H40" s="141"/>
      <c r="I40" s="140"/>
      <c r="J40" s="140"/>
      <c r="K40" s="140"/>
      <c r="L40" s="140"/>
      <c r="M40" s="140"/>
      <c r="N40" s="140"/>
      <c r="AO40" s="111"/>
    </row>
    <row r="41" spans="1:41" s="109" customFormat="1" ht="25.5" customHeight="1" x14ac:dyDescent="0.3">
      <c r="A41" s="108"/>
      <c r="B41" s="423" t="s">
        <v>73</v>
      </c>
      <c r="C41" s="424"/>
      <c r="D41" s="424"/>
      <c r="E41" s="424"/>
      <c r="F41" s="424"/>
      <c r="G41" s="424"/>
      <c r="H41" s="424"/>
      <c r="I41" s="424"/>
      <c r="J41" s="424"/>
      <c r="K41" s="424"/>
      <c r="L41" s="140"/>
      <c r="M41" s="140"/>
      <c r="N41" s="140"/>
      <c r="AO41" s="111"/>
    </row>
    <row r="42" spans="1:41" s="109" customFormat="1" x14ac:dyDescent="0.3">
      <c r="A42" s="108"/>
      <c r="B42" s="424"/>
      <c r="C42" s="424"/>
      <c r="D42" s="424"/>
      <c r="E42" s="424"/>
      <c r="F42" s="424"/>
      <c r="G42" s="424"/>
      <c r="H42" s="424"/>
      <c r="I42" s="424"/>
      <c r="J42" s="424"/>
      <c r="K42" s="424"/>
      <c r="L42" s="140"/>
      <c r="M42" s="140"/>
      <c r="N42" s="140"/>
      <c r="AO42" s="111"/>
    </row>
    <row r="43" spans="1:41" s="109" customFormat="1" x14ac:dyDescent="0.3">
      <c r="A43" s="108"/>
      <c r="B43" s="424"/>
      <c r="C43" s="424"/>
      <c r="D43" s="424"/>
      <c r="E43" s="424"/>
      <c r="F43" s="424"/>
      <c r="G43" s="424"/>
      <c r="H43" s="424"/>
      <c r="I43" s="424"/>
      <c r="J43" s="424"/>
      <c r="K43" s="424"/>
      <c r="L43" s="140"/>
      <c r="M43" s="140"/>
      <c r="N43" s="140"/>
      <c r="AO43" s="111"/>
    </row>
    <row r="44" spans="1:41" s="109" customFormat="1" ht="21" customHeight="1" x14ac:dyDescent="0.3">
      <c r="A44" s="108"/>
      <c r="B44" s="424"/>
      <c r="C44" s="424"/>
      <c r="D44" s="424"/>
      <c r="E44" s="424"/>
      <c r="F44" s="424"/>
      <c r="G44" s="424"/>
      <c r="H44" s="424"/>
      <c r="I44" s="424"/>
      <c r="J44" s="424"/>
      <c r="K44" s="424"/>
      <c r="L44" s="140"/>
      <c r="M44" s="140"/>
      <c r="N44" s="140"/>
      <c r="AO44" s="111"/>
    </row>
    <row r="45" spans="1:41" s="117" customFormat="1" x14ac:dyDescent="0.3">
      <c r="A45" s="116"/>
      <c r="B45" s="419" t="s">
        <v>18</v>
      </c>
      <c r="C45" s="419"/>
      <c r="D45" s="419"/>
      <c r="E45" s="419"/>
      <c r="F45" s="419"/>
      <c r="G45" s="120"/>
      <c r="H45" s="120"/>
      <c r="I45" s="120"/>
      <c r="J45" s="120"/>
      <c r="K45" s="120"/>
      <c r="L45" s="120"/>
      <c r="M45" s="120"/>
      <c r="N45" s="120"/>
      <c r="O45" s="112"/>
      <c r="P45" s="112"/>
      <c r="Q45" s="112"/>
      <c r="R45" s="112"/>
      <c r="S45" s="112"/>
      <c r="T45" s="112"/>
      <c r="U45" s="112"/>
      <c r="V45" s="112"/>
      <c r="W45" s="112"/>
      <c r="X45" s="112"/>
      <c r="Y45" s="112"/>
      <c r="Z45" s="112"/>
      <c r="AA45" s="112"/>
      <c r="AB45" s="136"/>
      <c r="AC45" s="136"/>
      <c r="AO45" s="118"/>
    </row>
    <row r="46" spans="1:41" s="120" customFormat="1" ht="39.75" customHeight="1" x14ac:dyDescent="0.3">
      <c r="A46" s="119"/>
      <c r="B46" s="419" t="s">
        <v>74</v>
      </c>
      <c r="C46" s="419"/>
      <c r="D46" s="419"/>
      <c r="E46" s="419"/>
      <c r="F46" s="419"/>
      <c r="G46" s="419"/>
      <c r="H46" s="419"/>
      <c r="I46" s="419"/>
      <c r="J46" s="142"/>
      <c r="K46" s="142"/>
      <c r="L46" s="142"/>
      <c r="M46" s="142"/>
      <c r="N46" s="142"/>
      <c r="O46" s="112"/>
      <c r="P46" s="112"/>
      <c r="Q46" s="112"/>
      <c r="R46" s="112"/>
      <c r="S46" s="112"/>
      <c r="T46" s="112"/>
      <c r="U46" s="112"/>
      <c r="V46" s="112"/>
      <c r="W46" s="112"/>
      <c r="X46" s="112"/>
      <c r="Y46" s="136"/>
      <c r="Z46" s="136"/>
      <c r="AO46" s="121"/>
    </row>
    <row r="47" spans="1:41" s="83" customFormat="1" ht="15" customHeight="1" x14ac:dyDescent="0.3">
      <c r="A47" s="92"/>
      <c r="B47" s="124" t="str">
        <f>'1.1 V.A Ing.real'!B45</f>
        <v>Actualizado el 15 de diciembre de 2021</v>
      </c>
      <c r="C47" s="124"/>
      <c r="D47" s="124"/>
      <c r="E47" s="124"/>
      <c r="F47" s="124"/>
      <c r="G47" s="124"/>
      <c r="H47" s="124"/>
      <c r="I47" s="124"/>
      <c r="J47" s="124"/>
      <c r="K47" s="124"/>
      <c r="L47" s="124"/>
      <c r="M47" s="124"/>
      <c r="N47" s="124"/>
      <c r="O47" s="124"/>
      <c r="P47" s="124"/>
      <c r="Q47" s="124"/>
      <c r="R47" s="124"/>
      <c r="S47" s="124"/>
      <c r="T47" s="124"/>
      <c r="U47" s="124"/>
      <c r="V47" s="124"/>
      <c r="W47" s="124"/>
      <c r="X47" s="124"/>
      <c r="Y47" s="144"/>
      <c r="Z47" s="144"/>
      <c r="AO47" s="94"/>
    </row>
    <row r="48" spans="1:41" s="83" customFormat="1" x14ac:dyDescent="0.3">
      <c r="A48" s="125"/>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7"/>
    </row>
  </sheetData>
  <mergeCells count="19">
    <mergeCell ref="F14:H14"/>
    <mergeCell ref="I14:K14"/>
    <mergeCell ref="L14:N14"/>
    <mergeCell ref="A7:J8"/>
    <mergeCell ref="B46:I46"/>
    <mergeCell ref="A14:A15"/>
    <mergeCell ref="B14:B15"/>
    <mergeCell ref="B45:F45"/>
    <mergeCell ref="B41:K44"/>
    <mergeCell ref="C14:E14"/>
    <mergeCell ref="AM14:AO14"/>
    <mergeCell ref="O14:Q14"/>
    <mergeCell ref="R14:T14"/>
    <mergeCell ref="U14:W14"/>
    <mergeCell ref="X14:Z14"/>
    <mergeCell ref="AA14:AC14"/>
    <mergeCell ref="AD14:AF14"/>
    <mergeCell ref="AG14:AI14"/>
    <mergeCell ref="AJ14:AL14"/>
  </mergeCells>
  <hyperlinks>
    <hyperlink ref="L4" location="Contenido!A1" display="Inicio" xr:uid="{00000000-0004-0000-04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O48"/>
  <sheetViews>
    <sheetView showGridLines="0" zoomScale="80" zoomScaleNormal="80" zoomScaleSheetLayoutView="90" workbookViewId="0">
      <pane ySplit="15" topLeftCell="A16" activePane="bottomLeft" state="frozen"/>
      <selection pane="bottomLeft" activeCell="A7" sqref="A7:J8"/>
    </sheetView>
  </sheetViews>
  <sheetFormatPr baseColWidth="10" defaultColWidth="11.42578125" defaultRowHeight="16.5" x14ac:dyDescent="0.3"/>
  <cols>
    <col min="1" max="1" width="8.85546875" style="100" customWidth="1"/>
    <col min="2" max="2" width="19.85546875" style="128" bestFit="1" customWidth="1"/>
    <col min="3" max="8" width="14.7109375" style="128" customWidth="1"/>
    <col min="9" max="41" width="14.7109375" style="100" customWidth="1"/>
    <col min="42" max="16384" width="11.42578125" style="100"/>
  </cols>
  <sheetData>
    <row r="1" spans="1:41" s="83" customFormat="1" ht="12" customHeight="1" x14ac:dyDescent="0.3">
      <c r="A1" s="80"/>
      <c r="B1" s="81"/>
      <c r="C1" s="81"/>
      <c r="D1" s="81"/>
      <c r="E1" s="81"/>
      <c r="F1" s="81"/>
      <c r="G1" s="81"/>
      <c r="H1" s="81"/>
      <c r="I1" s="81"/>
      <c r="J1" s="81"/>
      <c r="K1" s="81"/>
      <c r="L1" s="82"/>
      <c r="M1" s="82"/>
    </row>
    <row r="2" spans="1:41" s="87" customFormat="1" x14ac:dyDescent="0.3">
      <c r="A2" s="84"/>
      <c r="B2" s="85"/>
      <c r="C2" s="85"/>
      <c r="D2" s="85"/>
      <c r="E2" s="85"/>
      <c r="F2" s="85"/>
      <c r="G2" s="85"/>
      <c r="H2" s="85"/>
      <c r="I2" s="85"/>
      <c r="J2" s="85"/>
      <c r="K2" s="85"/>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row>
    <row r="3" spans="1:41" s="87" customFormat="1" x14ac:dyDescent="0.3">
      <c r="A3" s="84"/>
      <c r="B3" s="85"/>
      <c r="C3" s="85"/>
      <c r="D3" s="85"/>
      <c r="E3" s="85"/>
      <c r="F3" s="85"/>
      <c r="G3" s="85"/>
      <c r="H3" s="85"/>
      <c r="I3" s="85"/>
      <c r="J3" s="85"/>
      <c r="K3" s="85"/>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row>
    <row r="4" spans="1:41" s="87" customFormat="1" x14ac:dyDescent="0.3">
      <c r="A4" s="84"/>
      <c r="B4" s="85"/>
      <c r="C4" s="85"/>
      <c r="D4" s="85"/>
      <c r="E4" s="85"/>
      <c r="F4" s="85"/>
      <c r="G4" s="85"/>
      <c r="H4" s="85"/>
      <c r="I4" s="85"/>
      <c r="J4" s="85"/>
      <c r="K4" s="85"/>
      <c r="L4" s="224" t="s">
        <v>0</v>
      </c>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row>
    <row r="5" spans="1:41" s="87" customFormat="1" x14ac:dyDescent="0.3">
      <c r="A5" s="84"/>
      <c r="B5" s="85"/>
      <c r="C5" s="85"/>
      <c r="D5" s="85"/>
      <c r="E5" s="85"/>
      <c r="F5" s="85"/>
      <c r="G5" s="85"/>
      <c r="H5" s="85"/>
      <c r="I5" s="85"/>
      <c r="J5" s="85"/>
      <c r="K5" s="85"/>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row>
    <row r="6" spans="1:41" s="87" customFormat="1" x14ac:dyDescent="0.3">
      <c r="A6" s="84"/>
      <c r="B6" s="85"/>
      <c r="C6" s="85"/>
      <c r="D6" s="85"/>
      <c r="E6" s="85"/>
      <c r="F6" s="85"/>
      <c r="G6" s="85"/>
      <c r="H6" s="85"/>
      <c r="I6" s="85"/>
      <c r="J6" s="85"/>
      <c r="K6" s="85"/>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row>
    <row r="7" spans="1:41" s="87" customFormat="1" ht="15" customHeight="1" x14ac:dyDescent="0.3">
      <c r="A7" s="421" t="s">
        <v>4</v>
      </c>
      <c r="B7" s="421"/>
      <c r="C7" s="421"/>
      <c r="D7" s="421"/>
      <c r="E7" s="421"/>
      <c r="F7" s="421"/>
      <c r="G7" s="421"/>
      <c r="H7" s="421"/>
      <c r="I7" s="421"/>
      <c r="J7" s="421"/>
      <c r="K7" s="197"/>
      <c r="L7" s="197"/>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row>
    <row r="8" spans="1:41" s="87" customFormat="1" ht="15" customHeight="1" x14ac:dyDescent="0.3">
      <c r="A8" s="421"/>
      <c r="B8" s="421"/>
      <c r="C8" s="421"/>
      <c r="D8" s="421"/>
      <c r="E8" s="421"/>
      <c r="F8" s="421"/>
      <c r="G8" s="421"/>
      <c r="H8" s="421"/>
      <c r="I8" s="421"/>
      <c r="J8" s="421"/>
      <c r="K8" s="197"/>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row>
    <row r="9" spans="1:41" s="89" customFormat="1" ht="15" customHeight="1" x14ac:dyDescent="0.3">
      <c r="A9" s="215"/>
      <c r="B9" s="216"/>
      <c r="C9" s="216"/>
      <c r="D9" s="216"/>
      <c r="E9" s="216"/>
      <c r="F9" s="216"/>
      <c r="G9" s="216"/>
      <c r="H9" s="216"/>
      <c r="I9" s="216"/>
      <c r="J9" s="216"/>
      <c r="K9" s="129"/>
      <c r="L9" s="228"/>
      <c r="M9" s="228"/>
      <c r="N9" s="228"/>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row>
    <row r="10" spans="1:41" s="83" customFormat="1" ht="18" customHeight="1" x14ac:dyDescent="0.3">
      <c r="A10" s="90" t="s">
        <v>80</v>
      </c>
      <c r="B10" s="223"/>
      <c r="C10" s="223"/>
      <c r="D10" s="223"/>
      <c r="E10" s="223"/>
      <c r="F10" s="223"/>
      <c r="G10" s="223"/>
      <c r="H10" s="223"/>
      <c r="I10" s="223"/>
      <c r="J10" s="223"/>
      <c r="K10" s="225"/>
      <c r="L10" s="225"/>
      <c r="M10" s="225"/>
      <c r="N10" s="225"/>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row>
    <row r="11" spans="1:41" s="83" customFormat="1" ht="18" customHeight="1" x14ac:dyDescent="0.3">
      <c r="A11" s="90" t="s">
        <v>79</v>
      </c>
      <c r="B11" s="223"/>
      <c r="C11" s="223"/>
      <c r="D11" s="223"/>
      <c r="E11" s="223"/>
      <c r="F11" s="229"/>
      <c r="G11" s="229"/>
      <c r="H11" s="229"/>
      <c r="I11" s="229"/>
      <c r="J11" s="229"/>
      <c r="K11" s="230"/>
      <c r="L11" s="230"/>
      <c r="M11" s="230"/>
      <c r="N11" s="230"/>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row>
    <row r="12" spans="1:41" s="83" customFormat="1" ht="18" customHeight="1" x14ac:dyDescent="0.3">
      <c r="A12" s="90" t="str">
        <f>'1.1 V.A Ing.real'!A12</f>
        <v>Enero 2020 - octubre 2021</v>
      </c>
      <c r="B12" s="229"/>
      <c r="C12" s="229"/>
      <c r="D12" s="229"/>
      <c r="E12" s="229"/>
      <c r="F12" s="229"/>
      <c r="G12" s="229"/>
      <c r="H12" s="229"/>
      <c r="I12" s="229"/>
      <c r="J12" s="229"/>
      <c r="K12" s="230"/>
      <c r="L12" s="230"/>
      <c r="M12" s="230"/>
      <c r="N12" s="230"/>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c r="AM12" s="137"/>
    </row>
    <row r="13" spans="1:41" s="83" customFormat="1" ht="18" customHeight="1" x14ac:dyDescent="0.3">
      <c r="A13" s="218"/>
      <c r="B13" s="219"/>
      <c r="C13" s="219"/>
      <c r="D13" s="219"/>
      <c r="E13" s="219"/>
      <c r="F13" s="220"/>
      <c r="G13" s="220"/>
      <c r="H13" s="220"/>
      <c r="I13" s="221"/>
      <c r="J13" s="221"/>
      <c r="K13" s="93"/>
    </row>
    <row r="14" spans="1:41" s="95" customFormat="1" ht="26.25" customHeight="1" x14ac:dyDescent="0.3">
      <c r="A14" s="427" t="s">
        <v>25</v>
      </c>
      <c r="B14" s="429" t="s">
        <v>26</v>
      </c>
      <c r="C14" s="425" t="s">
        <v>24</v>
      </c>
      <c r="D14" s="425"/>
      <c r="E14" s="425"/>
      <c r="F14" s="425" t="s">
        <v>5</v>
      </c>
      <c r="G14" s="425"/>
      <c r="H14" s="425"/>
      <c r="I14" s="425" t="s">
        <v>6</v>
      </c>
      <c r="J14" s="425"/>
      <c r="K14" s="425"/>
      <c r="L14" s="425" t="s">
        <v>20</v>
      </c>
      <c r="M14" s="425"/>
      <c r="N14" s="425"/>
      <c r="O14" s="425" t="s">
        <v>21</v>
      </c>
      <c r="P14" s="425"/>
      <c r="Q14" s="425"/>
      <c r="R14" s="425" t="s">
        <v>22</v>
      </c>
      <c r="S14" s="425"/>
      <c r="T14" s="425"/>
      <c r="U14" s="425" t="s">
        <v>3</v>
      </c>
      <c r="V14" s="425"/>
      <c r="W14" s="425"/>
      <c r="X14" s="425" t="s">
        <v>7</v>
      </c>
      <c r="Y14" s="425"/>
      <c r="Z14" s="425"/>
      <c r="AA14" s="425" t="s">
        <v>41</v>
      </c>
      <c r="AB14" s="425"/>
      <c r="AC14" s="425"/>
      <c r="AD14" s="425" t="s">
        <v>38</v>
      </c>
      <c r="AE14" s="425"/>
      <c r="AF14" s="425"/>
      <c r="AG14" s="425" t="s">
        <v>42</v>
      </c>
      <c r="AH14" s="425"/>
      <c r="AI14" s="425"/>
      <c r="AJ14" s="425" t="s">
        <v>23</v>
      </c>
      <c r="AK14" s="425"/>
      <c r="AL14" s="425"/>
      <c r="AM14" s="425" t="s">
        <v>40</v>
      </c>
      <c r="AN14" s="425"/>
      <c r="AO14" s="426"/>
    </row>
    <row r="15" spans="1:41" s="95" customFormat="1" ht="45.75" customHeight="1" x14ac:dyDescent="0.3">
      <c r="A15" s="428"/>
      <c r="B15" s="430"/>
      <c r="C15" s="298" t="s">
        <v>27</v>
      </c>
      <c r="D15" s="298" t="s">
        <v>28</v>
      </c>
      <c r="E15" s="298" t="s">
        <v>29</v>
      </c>
      <c r="F15" s="298" t="s">
        <v>27</v>
      </c>
      <c r="G15" s="298" t="s">
        <v>28</v>
      </c>
      <c r="H15" s="298" t="s">
        <v>29</v>
      </c>
      <c r="I15" s="298" t="s">
        <v>27</v>
      </c>
      <c r="J15" s="298" t="s">
        <v>28</v>
      </c>
      <c r="K15" s="298" t="s">
        <v>29</v>
      </c>
      <c r="L15" s="298" t="s">
        <v>27</v>
      </c>
      <c r="M15" s="298" t="s">
        <v>28</v>
      </c>
      <c r="N15" s="298" t="s">
        <v>29</v>
      </c>
      <c r="O15" s="298" t="s">
        <v>27</v>
      </c>
      <c r="P15" s="298" t="s">
        <v>28</v>
      </c>
      <c r="Q15" s="298" t="s">
        <v>29</v>
      </c>
      <c r="R15" s="298" t="s">
        <v>27</v>
      </c>
      <c r="S15" s="298" t="s">
        <v>28</v>
      </c>
      <c r="T15" s="298" t="s">
        <v>29</v>
      </c>
      <c r="U15" s="298" t="s">
        <v>27</v>
      </c>
      <c r="V15" s="298" t="s">
        <v>28</v>
      </c>
      <c r="W15" s="298" t="s">
        <v>29</v>
      </c>
      <c r="X15" s="298" t="s">
        <v>27</v>
      </c>
      <c r="Y15" s="298" t="s">
        <v>28</v>
      </c>
      <c r="Z15" s="298" t="s">
        <v>29</v>
      </c>
      <c r="AA15" s="298" t="s">
        <v>27</v>
      </c>
      <c r="AB15" s="298" t="s">
        <v>28</v>
      </c>
      <c r="AC15" s="298" t="s">
        <v>29</v>
      </c>
      <c r="AD15" s="298" t="s">
        <v>27</v>
      </c>
      <c r="AE15" s="298" t="s">
        <v>28</v>
      </c>
      <c r="AF15" s="298" t="s">
        <v>29</v>
      </c>
      <c r="AG15" s="298" t="s">
        <v>27</v>
      </c>
      <c r="AH15" s="298" t="s">
        <v>28</v>
      </c>
      <c r="AI15" s="298" t="s">
        <v>29</v>
      </c>
      <c r="AJ15" s="298" t="s">
        <v>27</v>
      </c>
      <c r="AK15" s="298" t="s">
        <v>28</v>
      </c>
      <c r="AL15" s="298" t="s">
        <v>29</v>
      </c>
      <c r="AM15" s="298" t="s">
        <v>27</v>
      </c>
      <c r="AN15" s="298" t="s">
        <v>28</v>
      </c>
      <c r="AO15" s="299" t="s">
        <v>29</v>
      </c>
    </row>
    <row r="16" spans="1:41" ht="15.75" customHeight="1" x14ac:dyDescent="0.3">
      <c r="A16" s="269" t="s">
        <v>69</v>
      </c>
      <c r="B16" s="270" t="s">
        <v>54</v>
      </c>
      <c r="C16" s="271">
        <v>2.1770987751314141</v>
      </c>
      <c r="D16" s="272">
        <v>1.0500608734764993</v>
      </c>
      <c r="E16" s="273">
        <v>3.6622839405212604</v>
      </c>
      <c r="F16" s="314">
        <v>1.3476144654851696</v>
      </c>
      <c r="G16" s="272">
        <v>2.2650544545364637</v>
      </c>
      <c r="H16" s="273">
        <v>-0.44416243654822329</v>
      </c>
      <c r="I16" s="314">
        <v>3.9930470515500138</v>
      </c>
      <c r="J16" s="272">
        <v>2.2090602029343431</v>
      </c>
      <c r="K16" s="273">
        <v>6.4614258305563776</v>
      </c>
      <c r="L16" s="314">
        <v>2.0052342511703181</v>
      </c>
      <c r="M16" s="272">
        <v>3.9928561584049227</v>
      </c>
      <c r="N16" s="273">
        <v>6.6651357391300792E-2</v>
      </c>
      <c r="O16" s="314">
        <v>4.7674562561901723</v>
      </c>
      <c r="P16" s="272">
        <v>-0.94763237695355551</v>
      </c>
      <c r="Q16" s="273">
        <v>12.224642367980486</v>
      </c>
      <c r="R16" s="314">
        <v>4.1703673529353003</v>
      </c>
      <c r="S16" s="272">
        <v>8.2823025107164874</v>
      </c>
      <c r="T16" s="273">
        <v>2.3629389654211019</v>
      </c>
      <c r="U16" s="314">
        <v>4.0186164209803588</v>
      </c>
      <c r="V16" s="272">
        <v>0.90153469345211068</v>
      </c>
      <c r="W16" s="273">
        <v>8.8948852982896565</v>
      </c>
      <c r="X16" s="314">
        <v>-6.8581622156538629</v>
      </c>
      <c r="Y16" s="272">
        <v>-0.92100286979154289</v>
      </c>
      <c r="Z16" s="273">
        <v>-15.238005526249687</v>
      </c>
      <c r="AA16" s="314">
        <v>1.9062284907663596</v>
      </c>
      <c r="AB16" s="272">
        <v>-8.7296466390895944E-2</v>
      </c>
      <c r="AC16" s="273">
        <v>5.087055261165796</v>
      </c>
      <c r="AD16" s="314">
        <v>2.4784313725490392</v>
      </c>
      <c r="AE16" s="272">
        <v>-1.0030315505819898</v>
      </c>
      <c r="AF16" s="273">
        <v>5.5127870563673742</v>
      </c>
      <c r="AG16" s="314">
        <v>-8.2130077878341474</v>
      </c>
      <c r="AH16" s="272">
        <v>-14.400871459694986</v>
      </c>
      <c r="AI16" s="273">
        <v>-2.4307817589576564</v>
      </c>
      <c r="AJ16" s="314">
        <v>6.0587337355528126</v>
      </c>
      <c r="AK16" s="272">
        <v>-3.5000698616738823</v>
      </c>
      <c r="AL16" s="273">
        <v>16.424242424242475</v>
      </c>
      <c r="AM16" s="314">
        <v>0.96618357487923134</v>
      </c>
      <c r="AN16" s="272">
        <v>11.260053619302957</v>
      </c>
      <c r="AO16" s="273">
        <v>-11.146161934805466</v>
      </c>
    </row>
    <row r="17" spans="1:41" ht="15.75" customHeight="1" x14ac:dyDescent="0.3">
      <c r="A17" s="101"/>
      <c r="B17" s="102" t="s">
        <v>56</v>
      </c>
      <c r="C17" s="103">
        <v>2.3047158292381908</v>
      </c>
      <c r="D17" s="104">
        <v>0.67058446957111162</v>
      </c>
      <c r="E17" s="106">
        <v>4.5116406275855114</v>
      </c>
      <c r="F17" s="103">
        <v>1.6994358326033687</v>
      </c>
      <c r="G17" s="105">
        <v>1.841268951405195</v>
      </c>
      <c r="H17" s="106">
        <v>1.4245749361725402</v>
      </c>
      <c r="I17" s="103">
        <v>4.0651423274651544</v>
      </c>
      <c r="J17" s="105">
        <v>2.2651014350233201</v>
      </c>
      <c r="K17" s="106">
        <v>6.6297796019505473</v>
      </c>
      <c r="L17" s="103">
        <v>2.1903938685880364</v>
      </c>
      <c r="M17" s="105">
        <v>4.1355780231552952</v>
      </c>
      <c r="N17" s="106">
        <v>0.23968423572553466</v>
      </c>
      <c r="O17" s="103">
        <v>3.7849315039794718</v>
      </c>
      <c r="P17" s="105">
        <v>-2.137436939397841</v>
      </c>
      <c r="Q17" s="106">
        <v>11.741616199802118</v>
      </c>
      <c r="R17" s="103">
        <v>5.3659489450074371</v>
      </c>
      <c r="S17" s="105">
        <v>6.5424240435724368</v>
      </c>
      <c r="T17" s="106">
        <v>4.8290903283441988</v>
      </c>
      <c r="U17" s="103">
        <v>3.9938694845526923</v>
      </c>
      <c r="V17" s="105">
        <v>-1.0236224518635817</v>
      </c>
      <c r="W17" s="106">
        <v>12.460762040200501</v>
      </c>
      <c r="X17" s="103">
        <v>-5.5683277889397527</v>
      </c>
      <c r="Y17" s="105">
        <v>-0.5371610703101326</v>
      </c>
      <c r="Z17" s="106">
        <v>-12.841125108741181</v>
      </c>
      <c r="AA17" s="103">
        <v>1.9542673259187016</v>
      </c>
      <c r="AB17" s="105">
        <v>0.61951570366818309</v>
      </c>
      <c r="AC17" s="106">
        <v>4.0624668655993235</v>
      </c>
      <c r="AD17" s="103">
        <v>3.154003599534172</v>
      </c>
      <c r="AE17" s="105">
        <v>-0.18312943664099413</v>
      </c>
      <c r="AF17" s="106">
        <v>6.0814839350778138</v>
      </c>
      <c r="AG17" s="103">
        <v>-8.1870082776632547</v>
      </c>
      <c r="AH17" s="105">
        <v>-13.334222874552438</v>
      </c>
      <c r="AI17" s="106">
        <v>-3.3338924767256639</v>
      </c>
      <c r="AJ17" s="103">
        <v>4.6507800069496508</v>
      </c>
      <c r="AK17" s="105">
        <v>-3.5135703766042581</v>
      </c>
      <c r="AL17" s="106">
        <v>13.550705248270333</v>
      </c>
      <c r="AM17" s="103">
        <v>1.8070818070818007</v>
      </c>
      <c r="AN17" s="105">
        <v>12.306993642143516</v>
      </c>
      <c r="AO17" s="106">
        <v>-10.406761753829896</v>
      </c>
    </row>
    <row r="18" spans="1:41" ht="15.75" customHeight="1" x14ac:dyDescent="0.3">
      <c r="A18" s="101"/>
      <c r="B18" s="96" t="s">
        <v>65</v>
      </c>
      <c r="C18" s="97">
        <v>-0.68434926283896802</v>
      </c>
      <c r="D18" s="98">
        <v>-0.5262533426882543</v>
      </c>
      <c r="E18" s="99">
        <v>-0.8978155457890824</v>
      </c>
      <c r="F18" s="138">
        <v>-0.99624669140349065</v>
      </c>
      <c r="G18" s="98">
        <v>0.62371707448762859</v>
      </c>
      <c r="H18" s="99">
        <v>-4.094376741411998</v>
      </c>
      <c r="I18" s="138">
        <v>0.64648533143387699</v>
      </c>
      <c r="J18" s="98">
        <v>2.1517262518037761</v>
      </c>
      <c r="K18" s="99">
        <v>-1.4908827654857348</v>
      </c>
      <c r="L18" s="138">
        <v>-0.42131353107530689</v>
      </c>
      <c r="M18" s="98">
        <v>2.7262045112077526</v>
      </c>
      <c r="N18" s="99">
        <v>-3.5878745510492749</v>
      </c>
      <c r="O18" s="138">
        <v>0.27656130698445747</v>
      </c>
      <c r="P18" s="98">
        <v>-3.5295019213014367</v>
      </c>
      <c r="Q18" s="99">
        <v>5.4109712672912869</v>
      </c>
      <c r="R18" s="138">
        <v>1.423443924866219</v>
      </c>
      <c r="S18" s="98">
        <v>4.8532788976779706</v>
      </c>
      <c r="T18" s="99">
        <v>-0.17003288883167267</v>
      </c>
      <c r="U18" s="138">
        <v>0.55915672657835813</v>
      </c>
      <c r="V18" s="98">
        <v>-2.6957876190557561</v>
      </c>
      <c r="W18" s="99">
        <v>6.0721565959017676</v>
      </c>
      <c r="X18" s="138">
        <v>-7.7087296925275499</v>
      </c>
      <c r="Y18" s="98">
        <v>-2.5936835215185639</v>
      </c>
      <c r="Z18" s="99">
        <v>-15.049745932789627</v>
      </c>
      <c r="AA18" s="138">
        <v>-0.78543224134971501</v>
      </c>
      <c r="AB18" s="98">
        <v>-0.11970758062654907</v>
      </c>
      <c r="AC18" s="99">
        <v>-1.8245768300725329</v>
      </c>
      <c r="AD18" s="138">
        <v>0.72298819394480685</v>
      </c>
      <c r="AE18" s="98">
        <v>-3.0265611612317889</v>
      </c>
      <c r="AF18" s="99">
        <v>4.0217270812548556</v>
      </c>
      <c r="AG18" s="138">
        <v>-9.4445621443130516</v>
      </c>
      <c r="AH18" s="98">
        <v>-14.299034499353292</v>
      </c>
      <c r="AI18" s="99">
        <v>-4.8587137194732062</v>
      </c>
      <c r="AJ18" s="138">
        <v>2.0784543325526705</v>
      </c>
      <c r="AK18" s="98">
        <v>-3.7780484377195833</v>
      </c>
      <c r="AL18" s="99">
        <v>8.442351743446185</v>
      </c>
      <c r="AM18" s="138">
        <v>-0.48828125</v>
      </c>
      <c r="AN18" s="98">
        <v>9.2665258074252854</v>
      </c>
      <c r="AO18" s="99">
        <v>-11.903920876015539</v>
      </c>
    </row>
    <row r="19" spans="1:41" ht="15.75" customHeight="1" x14ac:dyDescent="0.3">
      <c r="A19" s="101"/>
      <c r="B19" s="102" t="s">
        <v>66</v>
      </c>
      <c r="C19" s="103">
        <v>-6.664891915525617</v>
      </c>
      <c r="D19" s="104">
        <v>-3.1293471665269856</v>
      </c>
      <c r="E19" s="106">
        <v>-11.438407171844656</v>
      </c>
      <c r="F19" s="139">
        <v>-7.0495415597882634</v>
      </c>
      <c r="G19" s="105">
        <v>-2.8553274225354919</v>
      </c>
      <c r="H19" s="106">
        <v>-15.073347973118445</v>
      </c>
      <c r="I19" s="103">
        <v>-5.7232234734564962</v>
      </c>
      <c r="J19" s="105">
        <v>-4.2317112152867598E-2</v>
      </c>
      <c r="K19" s="106">
        <v>-13.829969424917355</v>
      </c>
      <c r="L19" s="103">
        <v>-5.7576093280343743</v>
      </c>
      <c r="M19" s="105">
        <v>0.31335947100474826</v>
      </c>
      <c r="N19" s="106">
        <v>-11.865112712683846</v>
      </c>
      <c r="O19" s="139">
        <v>-5.9882667113051014</v>
      </c>
      <c r="P19" s="105">
        <v>-4.7314485728195521</v>
      </c>
      <c r="Q19" s="106">
        <v>-7.6726643276686772</v>
      </c>
      <c r="R19" s="103">
        <v>-6.2320723767179675</v>
      </c>
      <c r="S19" s="105">
        <v>-1.4935657994760709</v>
      </c>
      <c r="T19" s="106">
        <v>-8.4422110552763829</v>
      </c>
      <c r="U19" s="103">
        <v>-6.3095190404845454</v>
      </c>
      <c r="V19" s="105">
        <v>-5.4407691532399882</v>
      </c>
      <c r="W19" s="106">
        <v>-7.7761050339538063</v>
      </c>
      <c r="X19" s="139">
        <v>-10.774881469709662</v>
      </c>
      <c r="Y19" s="105">
        <v>-4.7651566461984318</v>
      </c>
      <c r="Z19" s="106">
        <v>-19.388352708047528</v>
      </c>
      <c r="AA19" s="103">
        <v>-5.9103560466005955</v>
      </c>
      <c r="AB19" s="105">
        <v>-2.1962556426249447</v>
      </c>
      <c r="AC19" s="106">
        <v>-11.722272992853821</v>
      </c>
      <c r="AD19" s="103">
        <v>-5.7696625997825102</v>
      </c>
      <c r="AE19" s="105">
        <v>-5.935746299574407</v>
      </c>
      <c r="AF19" s="106">
        <v>-5.623785303725759</v>
      </c>
      <c r="AG19" s="139">
        <v>-15.306776180698156</v>
      </c>
      <c r="AH19" s="105">
        <v>-17.409426462237356</v>
      </c>
      <c r="AI19" s="106">
        <v>-13.349193761564903</v>
      </c>
      <c r="AJ19" s="103">
        <v>-2.1977822048776852</v>
      </c>
      <c r="AK19" s="105">
        <v>-5.362232152281754</v>
      </c>
      <c r="AL19" s="106">
        <v>1.1904986154802621</v>
      </c>
      <c r="AM19" s="103">
        <v>-5.9040137473916783</v>
      </c>
      <c r="AN19" s="105">
        <v>5.6689342403628107</v>
      </c>
      <c r="AO19" s="106">
        <v>-19.561145303719563</v>
      </c>
    </row>
    <row r="20" spans="1:41" ht="15.75" customHeight="1" x14ac:dyDescent="0.3">
      <c r="A20" s="101"/>
      <c r="B20" s="96" t="s">
        <v>15</v>
      </c>
      <c r="C20" s="97">
        <v>-11.501304460426764</v>
      </c>
      <c r="D20" s="98">
        <v>-6.2591865477828694</v>
      </c>
      <c r="E20" s="99">
        <v>-18.609134730355649</v>
      </c>
      <c r="F20" s="138">
        <v>-12.509856994631685</v>
      </c>
      <c r="G20" s="98">
        <v>-6.8036289690128875</v>
      </c>
      <c r="H20" s="99">
        <v>-23.380214503632722</v>
      </c>
      <c r="I20" s="138">
        <v>-10.919916984668953</v>
      </c>
      <c r="J20" s="98">
        <v>-3.1325429383434744</v>
      </c>
      <c r="K20" s="99">
        <v>-22.080144178988359</v>
      </c>
      <c r="L20" s="138">
        <v>-9.4733547714809685</v>
      </c>
      <c r="M20" s="98">
        <v>-2.1181903594866935</v>
      </c>
      <c r="N20" s="99">
        <v>-16.920544019509943</v>
      </c>
      <c r="O20" s="138">
        <v>-10.714758624516406</v>
      </c>
      <c r="P20" s="98">
        <v>-7.2154548859420302</v>
      </c>
      <c r="Q20" s="99">
        <v>-15.442307901366126</v>
      </c>
      <c r="R20" s="138">
        <v>-12.26446830101715</v>
      </c>
      <c r="S20" s="98">
        <v>-6.3659035822452248</v>
      </c>
      <c r="T20" s="99">
        <v>-15.020747227899999</v>
      </c>
      <c r="U20" s="138">
        <v>-12.109830166742219</v>
      </c>
      <c r="V20" s="98">
        <v>-9.5448761051054483</v>
      </c>
      <c r="W20" s="99">
        <v>-16.485106766938163</v>
      </c>
      <c r="X20" s="138">
        <v>-12.850935917315409</v>
      </c>
      <c r="Y20" s="98">
        <v>-6.178671927776036</v>
      </c>
      <c r="Z20" s="99">
        <v>-22.511027197181189</v>
      </c>
      <c r="AA20" s="138">
        <v>-9.9276598521501498</v>
      </c>
      <c r="AB20" s="98">
        <v>-3.8849664198380762</v>
      </c>
      <c r="AC20" s="99">
        <v>-19.339687308143926</v>
      </c>
      <c r="AD20" s="138">
        <v>-11.292497368393285</v>
      </c>
      <c r="AE20" s="98">
        <v>-9.2106650598779645</v>
      </c>
      <c r="AF20" s="99">
        <v>-13.11964145243495</v>
      </c>
      <c r="AG20" s="138">
        <v>-18.404883409488292</v>
      </c>
      <c r="AH20" s="98">
        <v>-19.786497720322981</v>
      </c>
      <c r="AI20" s="99">
        <v>-17.098714675206651</v>
      </c>
      <c r="AJ20" s="138">
        <v>-6.463649668883753</v>
      </c>
      <c r="AK20" s="98">
        <v>-8.9216818271424252</v>
      </c>
      <c r="AL20" s="99">
        <v>-3.8582089552238963</v>
      </c>
      <c r="AM20" s="138">
        <v>-10.918918918918919</v>
      </c>
      <c r="AN20" s="98">
        <v>1.908050154461205</v>
      </c>
      <c r="AO20" s="99">
        <v>-26.027397260273975</v>
      </c>
    </row>
    <row r="21" spans="1:41" ht="15.75" customHeight="1" x14ac:dyDescent="0.3">
      <c r="A21" s="101"/>
      <c r="B21" s="111" t="s">
        <v>67</v>
      </c>
      <c r="C21" s="192">
        <v>-15.927138227285088</v>
      </c>
      <c r="D21" s="198">
        <v>-9.4596917292890446</v>
      </c>
      <c r="E21" s="199">
        <v>-24.710866773609418</v>
      </c>
      <c r="F21" s="192">
        <v>-17.503200363318872</v>
      </c>
      <c r="G21" s="198">
        <v>-10.996837791248581</v>
      </c>
      <c r="H21" s="199">
        <v>-29.877094292841676</v>
      </c>
      <c r="I21" s="192">
        <v>-15.529985234095644</v>
      </c>
      <c r="J21" s="198">
        <v>-6.6555898768210442</v>
      </c>
      <c r="K21" s="199">
        <v>-28.36463945980956</v>
      </c>
      <c r="L21" s="192">
        <v>-13.346921944726942</v>
      </c>
      <c r="M21" s="198">
        <v>-4.3069847399369703</v>
      </c>
      <c r="N21" s="199">
        <v>-22.436226942228554</v>
      </c>
      <c r="O21" s="192">
        <v>-15.416921333401801</v>
      </c>
      <c r="P21" s="198">
        <v>-10.39197812215129</v>
      </c>
      <c r="Q21" s="199">
        <v>-22.259066844379184</v>
      </c>
      <c r="R21" s="192">
        <v>-17.905375200439366</v>
      </c>
      <c r="S21" s="198">
        <v>-11.041861963909049</v>
      </c>
      <c r="T21" s="199">
        <v>-21.092247660015808</v>
      </c>
      <c r="U21" s="192">
        <v>-17.120747733233934</v>
      </c>
      <c r="V21" s="198">
        <v>-13.215756890593354</v>
      </c>
      <c r="W21" s="199">
        <v>-23.751902161027338</v>
      </c>
      <c r="X21" s="192">
        <v>-15.102106761156286</v>
      </c>
      <c r="Y21" s="198">
        <v>-7.2721112244669817</v>
      </c>
      <c r="Z21" s="199">
        <v>-26.577429511560279</v>
      </c>
      <c r="AA21" s="192">
        <v>-13.338305518156556</v>
      </c>
      <c r="AB21" s="198">
        <v>-5.9090272650899722</v>
      </c>
      <c r="AC21" s="199">
        <v>-24.898369454883952</v>
      </c>
      <c r="AD21" s="192">
        <v>-16.298405667176464</v>
      </c>
      <c r="AE21" s="198">
        <v>-11.568744689555333</v>
      </c>
      <c r="AF21" s="199">
        <v>-20.417212481296133</v>
      </c>
      <c r="AG21" s="192">
        <v>-20.334590893067418</v>
      </c>
      <c r="AH21" s="198">
        <v>-20.861432703447104</v>
      </c>
      <c r="AI21" s="199">
        <v>-19.830830515064601</v>
      </c>
      <c r="AJ21" s="192">
        <v>-9.8599924320233452</v>
      </c>
      <c r="AK21" s="198">
        <v>-11.459972289411279</v>
      </c>
      <c r="AL21" s="199">
        <v>-8.184445127574536</v>
      </c>
      <c r="AM21" s="192">
        <v>-14.441349934469205</v>
      </c>
      <c r="AN21" s="198">
        <v>-0.62187168208706067</v>
      </c>
      <c r="AO21" s="199">
        <v>-30.667853962600176</v>
      </c>
    </row>
    <row r="22" spans="1:41" ht="15.75" customHeight="1" x14ac:dyDescent="0.3">
      <c r="A22" s="101"/>
      <c r="B22" s="96" t="s">
        <v>87</v>
      </c>
      <c r="C22" s="97">
        <v>-19.800616099337077</v>
      </c>
      <c r="D22" s="98">
        <v>-12.301541881667822</v>
      </c>
      <c r="E22" s="99">
        <v>-29.94209384844898</v>
      </c>
      <c r="F22" s="97">
        <v>-22.137320467501041</v>
      </c>
      <c r="G22" s="98">
        <v>-14.418891532293621</v>
      </c>
      <c r="H22" s="99">
        <v>-36.506816856226301</v>
      </c>
      <c r="I22" s="97">
        <v>-19.191192998081974</v>
      </c>
      <c r="J22" s="98">
        <v>-9.4470084872406375</v>
      </c>
      <c r="K22" s="99">
        <v>-33.294457663317637</v>
      </c>
      <c r="L22" s="97">
        <v>-16.289901402843153</v>
      </c>
      <c r="M22" s="98">
        <v>-5.8880024382973462</v>
      </c>
      <c r="N22" s="99">
        <v>-26.669273470424482</v>
      </c>
      <c r="O22" s="97">
        <v>-19.363046471060397</v>
      </c>
      <c r="P22" s="98">
        <v>-13.238321711224831</v>
      </c>
      <c r="Q22" s="99">
        <v>-27.714943477394506</v>
      </c>
      <c r="R22" s="97">
        <v>-22.365391132715096</v>
      </c>
      <c r="S22" s="98">
        <v>-15.298120422904837</v>
      </c>
      <c r="T22" s="99">
        <v>-25.66223741876432</v>
      </c>
      <c r="U22" s="97">
        <v>-21.567104203297262</v>
      </c>
      <c r="V22" s="98">
        <v>-16.680674339006963</v>
      </c>
      <c r="W22" s="99">
        <v>-29.794826374655948</v>
      </c>
      <c r="X22" s="97">
        <v>-18.200696524237369</v>
      </c>
      <c r="Y22" s="98">
        <v>-8.7133355662950116</v>
      </c>
      <c r="Z22" s="99">
        <v>-32.269035557006156</v>
      </c>
      <c r="AA22" s="97">
        <v>-16.655285350588734</v>
      </c>
      <c r="AB22" s="98">
        <v>-8.2880171833388907</v>
      </c>
      <c r="AC22" s="99">
        <v>-29.637022595692319</v>
      </c>
      <c r="AD22" s="97">
        <v>-20.228197550438821</v>
      </c>
      <c r="AE22" s="98">
        <v>-13.982391703575658</v>
      </c>
      <c r="AF22" s="99">
        <v>-25.645313920041978</v>
      </c>
      <c r="AG22" s="97">
        <v>-22.067150256363433</v>
      </c>
      <c r="AH22" s="98">
        <v>-22.622734629448317</v>
      </c>
      <c r="AI22" s="99">
        <v>-21.533987408520041</v>
      </c>
      <c r="AJ22" s="97">
        <v>-13.441334591866038</v>
      </c>
      <c r="AK22" s="98">
        <v>-14.579770216704556</v>
      </c>
      <c r="AL22" s="99">
        <v>-12.256903012413922</v>
      </c>
      <c r="AM22" s="97">
        <v>-17.554572892538779</v>
      </c>
      <c r="AN22" s="98">
        <v>-4.266632084035793</v>
      </c>
      <c r="AO22" s="99">
        <v>-33.231334149326806</v>
      </c>
    </row>
    <row r="23" spans="1:41" ht="15.75" customHeight="1" x14ac:dyDescent="0.3">
      <c r="A23" s="101"/>
      <c r="B23" s="111" t="s">
        <v>9</v>
      </c>
      <c r="C23" s="192">
        <v>-22.981110894722747</v>
      </c>
      <c r="D23" s="198">
        <v>-14.815709563564351</v>
      </c>
      <c r="E23" s="199">
        <v>-33.994164371035154</v>
      </c>
      <c r="F23" s="192">
        <v>-25.713350988904526</v>
      </c>
      <c r="G23" s="198">
        <v>-17.50873662940068</v>
      </c>
      <c r="H23" s="199">
        <v>-40.827689636119658</v>
      </c>
      <c r="I23" s="192">
        <v>-22.148974103629058</v>
      </c>
      <c r="J23" s="198">
        <v>-11.841818860625031</v>
      </c>
      <c r="K23" s="199">
        <v>-37.110703434277866</v>
      </c>
      <c r="L23" s="192">
        <v>-18.63128469140878</v>
      </c>
      <c r="M23" s="198">
        <v>-7.2629840337676939</v>
      </c>
      <c r="N23" s="199">
        <v>-29.922945455181804</v>
      </c>
      <c r="O23" s="192">
        <v>-22.866885999268881</v>
      </c>
      <c r="P23" s="198">
        <v>-15.967451507554642</v>
      </c>
      <c r="Q23" s="199">
        <v>-32.266584914354389</v>
      </c>
      <c r="R23" s="192">
        <v>-25.998150072948167</v>
      </c>
      <c r="S23" s="198">
        <v>-18.644543206649011</v>
      </c>
      <c r="T23" s="199">
        <v>-29.43217180201615</v>
      </c>
      <c r="U23" s="192">
        <v>-25.093296897451932</v>
      </c>
      <c r="V23" s="198">
        <v>-19.564367601265886</v>
      </c>
      <c r="W23" s="199">
        <v>-34.341145814015803</v>
      </c>
      <c r="X23" s="192">
        <v>-20.555199429603377</v>
      </c>
      <c r="Y23" s="198">
        <v>-9.6837265685882912</v>
      </c>
      <c r="Z23" s="199">
        <v>-36.808565725405693</v>
      </c>
      <c r="AA23" s="192">
        <v>-19.945487285191533</v>
      </c>
      <c r="AB23" s="198">
        <v>-11.04873108542831</v>
      </c>
      <c r="AC23" s="199">
        <v>-33.71226926452259</v>
      </c>
      <c r="AD23" s="192">
        <v>-23.528342346723129</v>
      </c>
      <c r="AE23" s="198">
        <v>-16.051216316568674</v>
      </c>
      <c r="AF23" s="199">
        <v>-29.977236196894651</v>
      </c>
      <c r="AG23" s="192">
        <v>-23.65219300272684</v>
      </c>
      <c r="AH23" s="198">
        <v>-23.540526337543334</v>
      </c>
      <c r="AI23" s="199">
        <v>-23.759139979528708</v>
      </c>
      <c r="AJ23" s="192">
        <v>-16.426528447315057</v>
      </c>
      <c r="AK23" s="198">
        <v>-17.21272512807872</v>
      </c>
      <c r="AL23" s="199">
        <v>-15.613189935434512</v>
      </c>
      <c r="AM23" s="192">
        <v>-20.639784287290109</v>
      </c>
      <c r="AN23" s="198">
        <v>-6.9770075886283811</v>
      </c>
      <c r="AO23" s="199">
        <v>-36.747229269595408</v>
      </c>
    </row>
    <row r="24" spans="1:41" ht="15.75" customHeight="1" x14ac:dyDescent="0.3">
      <c r="A24" s="101"/>
      <c r="B24" s="96" t="s">
        <v>10</v>
      </c>
      <c r="C24" s="97">
        <v>-25.39934641045355</v>
      </c>
      <c r="D24" s="98">
        <v>-16.947133252727852</v>
      </c>
      <c r="E24" s="99">
        <v>-36.781750632818586</v>
      </c>
      <c r="F24" s="97">
        <v>-28.77486147263485</v>
      </c>
      <c r="G24" s="98">
        <v>-20.207644303038485</v>
      </c>
      <c r="H24" s="99">
        <v>-44.406124196525887</v>
      </c>
      <c r="I24" s="97">
        <v>-24.434649370928042</v>
      </c>
      <c r="J24" s="98">
        <v>-13.741436354063108</v>
      </c>
      <c r="K24" s="99">
        <v>-40.014727648412183</v>
      </c>
      <c r="L24" s="97">
        <v>-20.383010336569519</v>
      </c>
      <c r="M24" s="98">
        <v>-8.68080178138786</v>
      </c>
      <c r="N24" s="99">
        <v>-32.007156963691919</v>
      </c>
      <c r="O24" s="97">
        <v>-25.334338588836282</v>
      </c>
      <c r="P24" s="98">
        <v>-18.372824641547247</v>
      </c>
      <c r="Q24" s="99">
        <v>-34.806120060294873</v>
      </c>
      <c r="R24" s="97">
        <v>-27.845341908810429</v>
      </c>
      <c r="S24" s="98">
        <v>-21.165323028083726</v>
      </c>
      <c r="T24" s="99">
        <v>-30.988806160754933</v>
      </c>
      <c r="U24" s="97">
        <v>-27.614310334706659</v>
      </c>
      <c r="V24" s="98">
        <v>-21.77908322608446</v>
      </c>
      <c r="W24" s="99">
        <v>-37.301812904649488</v>
      </c>
      <c r="X24" s="97">
        <v>-22.382608929443627</v>
      </c>
      <c r="Y24" s="98">
        <v>-10.403660330841413</v>
      </c>
      <c r="Z24" s="99">
        <v>-40.426392138511936</v>
      </c>
      <c r="AA24" s="97">
        <v>-22.693329974500276</v>
      </c>
      <c r="AB24" s="98">
        <v>-13.8258353911905</v>
      </c>
      <c r="AC24" s="99">
        <v>-36.381974276989858</v>
      </c>
      <c r="AD24" s="97">
        <v>-25.907771962318961</v>
      </c>
      <c r="AE24" s="98">
        <v>-17.508570467116758</v>
      </c>
      <c r="AF24" s="99">
        <v>-33.121743968438622</v>
      </c>
      <c r="AG24" s="97">
        <v>-24.785693554740163</v>
      </c>
      <c r="AH24" s="98">
        <v>-24.567088661302883</v>
      </c>
      <c r="AI24" s="99">
        <v>-24.994552742124299</v>
      </c>
      <c r="AJ24" s="97">
        <v>-18.928818299552685</v>
      </c>
      <c r="AK24" s="98">
        <v>-19.158373168247</v>
      </c>
      <c r="AL24" s="99">
        <v>-18.692793605775428</v>
      </c>
      <c r="AM24" s="97">
        <v>-22.940217391304351</v>
      </c>
      <c r="AN24" s="98">
        <v>-8.6820925553319874</v>
      </c>
      <c r="AO24" s="99">
        <v>-39.692671394799049</v>
      </c>
    </row>
    <row r="25" spans="1:41" ht="15.75" customHeight="1" x14ac:dyDescent="0.3">
      <c r="A25" s="101"/>
      <c r="B25" s="111" t="s">
        <v>11</v>
      </c>
      <c r="C25" s="192">
        <v>-27.036295056447734</v>
      </c>
      <c r="D25" s="198">
        <v>-18.743669756478276</v>
      </c>
      <c r="E25" s="199">
        <v>-38.169639726568036</v>
      </c>
      <c r="F25" s="192">
        <v>-31.279732514562909</v>
      </c>
      <c r="G25" s="198">
        <v>-22.633395485925156</v>
      </c>
      <c r="H25" s="199">
        <v>-46.961561662406794</v>
      </c>
      <c r="I25" s="192">
        <v>-26.070175480917101</v>
      </c>
      <c r="J25" s="198">
        <v>-15.342001996983068</v>
      </c>
      <c r="K25" s="199">
        <v>-41.690771136778636</v>
      </c>
      <c r="L25" s="192">
        <v>-21.244672231428442</v>
      </c>
      <c r="M25" s="198">
        <v>-9.6698285469251957</v>
      </c>
      <c r="N25" s="199">
        <v>-32.704113140671843</v>
      </c>
      <c r="O25" s="192">
        <v>-26.654185371126747</v>
      </c>
      <c r="P25" s="198">
        <v>-20.172361565272311</v>
      </c>
      <c r="Q25" s="199">
        <v>-35.410791295587394</v>
      </c>
      <c r="R25" s="192">
        <v>-28.636811912269245</v>
      </c>
      <c r="S25" s="198">
        <v>-23.241288270790061</v>
      </c>
      <c r="T25" s="199">
        <v>-31.192918781544034</v>
      </c>
      <c r="U25" s="192">
        <v>-29.383703841937059</v>
      </c>
      <c r="V25" s="198">
        <v>-23.547969916128096</v>
      </c>
      <c r="W25" s="199">
        <v>-38.998101358259063</v>
      </c>
      <c r="X25" s="192">
        <v>-23.182966515949342</v>
      </c>
      <c r="Y25" s="198">
        <v>-11.0255652959945</v>
      </c>
      <c r="Z25" s="199">
        <v>-41.611045541491997</v>
      </c>
      <c r="AA25" s="192">
        <v>-24.761973006271109</v>
      </c>
      <c r="AB25" s="198">
        <v>-16.179740598258796</v>
      </c>
      <c r="AC25" s="199">
        <v>-37.993331668698502</v>
      </c>
      <c r="AD25" s="192">
        <v>-27.861315447858072</v>
      </c>
      <c r="AE25" s="198">
        <v>-19.216943001844765</v>
      </c>
      <c r="AF25" s="199">
        <v>-35.243274017668533</v>
      </c>
      <c r="AG25" s="192">
        <v>-24.90539428840054</v>
      </c>
      <c r="AH25" s="198">
        <v>-25.269499201751799</v>
      </c>
      <c r="AI25" s="199">
        <v>-24.55930423939008</v>
      </c>
      <c r="AJ25" s="192">
        <v>-20.615612778564063</v>
      </c>
      <c r="AK25" s="198">
        <v>-20.932955298830635</v>
      </c>
      <c r="AL25" s="199">
        <v>-20.291244638287154</v>
      </c>
      <c r="AM25" s="192">
        <v>-24.275875543398616</v>
      </c>
      <c r="AN25" s="198">
        <v>-10.751424179401392</v>
      </c>
      <c r="AO25" s="199">
        <v>-40.163586148289774</v>
      </c>
    </row>
    <row r="26" spans="1:41" ht="15.75" customHeight="1" x14ac:dyDescent="0.3">
      <c r="A26" s="101"/>
      <c r="B26" s="96" t="s">
        <v>12</v>
      </c>
      <c r="C26" s="131">
        <v>-28.260733573103302</v>
      </c>
      <c r="D26" s="98">
        <v>-20.273181388961305</v>
      </c>
      <c r="E26" s="98">
        <v>-38.956102553362712</v>
      </c>
      <c r="F26" s="97">
        <v>-33.412115740412375</v>
      </c>
      <c r="G26" s="98">
        <v>-24.810119325079206</v>
      </c>
      <c r="H26" s="99">
        <v>-48.907990556686251</v>
      </c>
      <c r="I26" s="97">
        <v>-27.378149975302424</v>
      </c>
      <c r="J26" s="98">
        <v>-16.714592747995681</v>
      </c>
      <c r="K26" s="99">
        <v>-42.88451509036075</v>
      </c>
      <c r="L26" s="97">
        <v>-21.787011768185959</v>
      </c>
      <c r="M26" s="98">
        <v>-10.558693468787151</v>
      </c>
      <c r="N26" s="99">
        <v>-32.911220130102592</v>
      </c>
      <c r="O26" s="97">
        <v>-27.530108008598518</v>
      </c>
      <c r="P26" s="98">
        <v>-21.964927519212907</v>
      </c>
      <c r="Q26" s="99">
        <v>-35.024132717356807</v>
      </c>
      <c r="R26" s="97">
        <v>-28.986113745897867</v>
      </c>
      <c r="S26" s="98">
        <v>-24.417352345668387</v>
      </c>
      <c r="T26" s="99">
        <v>-31.154535679201778</v>
      </c>
      <c r="U26" s="97">
        <v>-30.560501765070924</v>
      </c>
      <c r="V26" s="98">
        <v>-24.795442122911439</v>
      </c>
      <c r="W26" s="99">
        <v>-39.995226230732669</v>
      </c>
      <c r="X26" s="97">
        <v>-23.689626741604243</v>
      </c>
      <c r="Y26" s="98">
        <v>-11.452793567734521</v>
      </c>
      <c r="Z26" s="99">
        <v>-42.350710959290858</v>
      </c>
      <c r="AA26" s="97">
        <v>-26.240041983731299</v>
      </c>
      <c r="AB26" s="98">
        <v>-18.097784700588406</v>
      </c>
      <c r="AC26" s="99">
        <v>-38.787304973996541</v>
      </c>
      <c r="AD26" s="97">
        <v>-29.170107153365066</v>
      </c>
      <c r="AE26" s="98">
        <v>-20.426096241948265</v>
      </c>
      <c r="AF26" s="99">
        <v>-36.595411094340506</v>
      </c>
      <c r="AG26" s="97">
        <v>-25.057073098581604</v>
      </c>
      <c r="AH26" s="98">
        <v>-25.890154945943433</v>
      </c>
      <c r="AI26" s="99">
        <v>-24.271974018403654</v>
      </c>
      <c r="AJ26" s="97">
        <v>-21.786946916251825</v>
      </c>
      <c r="AK26" s="98">
        <v>-22.544513909393171</v>
      </c>
      <c r="AL26" s="99">
        <v>-21.017351443345355</v>
      </c>
      <c r="AM26" s="97">
        <v>-25.244566420255854</v>
      </c>
      <c r="AN26" s="98">
        <v>-12.98743677598303</v>
      </c>
      <c r="AO26" s="99">
        <v>-39.785154359818051</v>
      </c>
    </row>
    <row r="27" spans="1:41" ht="15.75" customHeight="1" x14ac:dyDescent="0.3">
      <c r="A27" s="101"/>
      <c r="B27" s="111" t="s">
        <v>13</v>
      </c>
      <c r="C27" s="193">
        <v>-29.092192991232412</v>
      </c>
      <c r="D27" s="198">
        <v>-21.435110528694267</v>
      </c>
      <c r="E27" s="198">
        <v>-39.281398522833342</v>
      </c>
      <c r="F27" s="192">
        <v>-35.077283185116926</v>
      </c>
      <c r="G27" s="198">
        <v>-26.704079605171504</v>
      </c>
      <c r="H27" s="199">
        <v>-50.117169032096619</v>
      </c>
      <c r="I27" s="192">
        <v>-28.275685579679376</v>
      </c>
      <c r="J27" s="198">
        <v>-17.800466274215776</v>
      </c>
      <c r="K27" s="199">
        <v>-43.424338382829795</v>
      </c>
      <c r="L27" s="192">
        <v>-22.364379888203111</v>
      </c>
      <c r="M27" s="198">
        <v>-11.428575616706382</v>
      </c>
      <c r="N27" s="199">
        <v>-33.15151696256612</v>
      </c>
      <c r="O27" s="192">
        <v>-27.767236730910728</v>
      </c>
      <c r="P27" s="198">
        <v>-23.191940114113898</v>
      </c>
      <c r="Q27" s="199">
        <v>-33.859282860928261</v>
      </c>
      <c r="R27" s="192">
        <v>-29.225144047493114</v>
      </c>
      <c r="S27" s="198">
        <v>-25.44004862613296</v>
      </c>
      <c r="T27" s="199">
        <v>-31.01893192943691</v>
      </c>
      <c r="U27" s="192">
        <v>-31.247657652713201</v>
      </c>
      <c r="V27" s="198">
        <v>-25.446655116762795</v>
      </c>
      <c r="W27" s="199">
        <v>-40.592349473224523</v>
      </c>
      <c r="X27" s="192">
        <v>-23.837899440332201</v>
      </c>
      <c r="Y27" s="198">
        <v>-11.620258919454752</v>
      </c>
      <c r="Z27" s="199">
        <v>-42.596724913316628</v>
      </c>
      <c r="AA27" s="192">
        <v>-27.433598574114715</v>
      </c>
      <c r="AB27" s="198">
        <v>-19.576993256644148</v>
      </c>
      <c r="AC27" s="199">
        <v>-39.479356213570519</v>
      </c>
      <c r="AD27" s="192">
        <v>-30.03760587940404</v>
      </c>
      <c r="AE27" s="198">
        <v>-21.153512329528045</v>
      </c>
      <c r="AF27" s="199">
        <v>-37.537099893962235</v>
      </c>
      <c r="AG27" s="192">
        <v>-25.161795049824487</v>
      </c>
      <c r="AH27" s="198">
        <v>-25.89433310803657</v>
      </c>
      <c r="AI27" s="199">
        <v>-24.484649576767183</v>
      </c>
      <c r="AJ27" s="192">
        <v>-22.791154268074521</v>
      </c>
      <c r="AK27" s="198">
        <v>-23.947713648690804</v>
      </c>
      <c r="AL27" s="199">
        <v>-21.62237679091611</v>
      </c>
      <c r="AM27" s="192">
        <v>-25.550231462681715</v>
      </c>
      <c r="AN27" s="198">
        <v>-14.520202020202023</v>
      </c>
      <c r="AO27" s="199">
        <v>-38.855043898942846</v>
      </c>
    </row>
    <row r="28" spans="1:41" ht="15.75" customHeight="1" x14ac:dyDescent="0.3">
      <c r="A28" s="364" t="s">
        <v>124</v>
      </c>
      <c r="B28" s="96" t="s">
        <v>54</v>
      </c>
      <c r="C28" s="131">
        <v>-37.469315443619735</v>
      </c>
      <c r="D28" s="98">
        <v>-35.218166878178771</v>
      </c>
      <c r="E28" s="98">
        <v>-40.361074104316074</v>
      </c>
      <c r="F28" s="97">
        <v>-53.149096406365956</v>
      </c>
      <c r="G28" s="98">
        <v>-49.467861015380578</v>
      </c>
      <c r="H28" s="99">
        <v>-60.534264416548901</v>
      </c>
      <c r="I28" s="97">
        <v>-37.228732376436135</v>
      </c>
      <c r="J28" s="98">
        <v>-29.685620758981891</v>
      </c>
      <c r="K28" s="99">
        <v>-47.248734334799551</v>
      </c>
      <c r="L28" s="97">
        <v>-28.851782770765144</v>
      </c>
      <c r="M28" s="98">
        <v>-23.614355372220309</v>
      </c>
      <c r="N28" s="99">
        <v>-34.160416433449015</v>
      </c>
      <c r="O28" s="97">
        <v>-28.373297619868289</v>
      </c>
      <c r="P28" s="98">
        <v>-33.705219157516687</v>
      </c>
      <c r="Q28" s="99">
        <v>-22.232675218347552</v>
      </c>
      <c r="R28" s="97">
        <v>-32.815785424893583</v>
      </c>
      <c r="S28" s="98">
        <v>-36.33334006584397</v>
      </c>
      <c r="T28" s="99">
        <v>-31.180210553995547</v>
      </c>
      <c r="U28" s="97">
        <v>-40.114057982530696</v>
      </c>
      <c r="V28" s="98">
        <v>-37.803486120077459</v>
      </c>
      <c r="W28" s="99">
        <v>-43.463320781272245</v>
      </c>
      <c r="X28" s="97">
        <v>-22.357825868142932</v>
      </c>
      <c r="Y28" s="98">
        <v>-11.201921997440344</v>
      </c>
      <c r="Z28" s="99">
        <v>-40.763104278570118</v>
      </c>
      <c r="AA28" s="97">
        <v>-41.392968758943617</v>
      </c>
      <c r="AB28" s="98">
        <v>-38.578863394620853</v>
      </c>
      <c r="AC28" s="99">
        <v>-45.662008356144646</v>
      </c>
      <c r="AD28" s="97">
        <v>-37.998537340340533</v>
      </c>
      <c r="AE28" s="98">
        <v>-31.635854977127519</v>
      </c>
      <c r="AF28" s="99">
        <v>-43.201632350213295</v>
      </c>
      <c r="AG28" s="97">
        <v>-27.355072463768117</v>
      </c>
      <c r="AH28" s="98">
        <v>-31.967421735810643</v>
      </c>
      <c r="AI28" s="99">
        <v>-23.57384300797063</v>
      </c>
      <c r="AJ28" s="97">
        <v>-29.1182618827319</v>
      </c>
      <c r="AK28" s="98">
        <v>-36.885542604792576</v>
      </c>
      <c r="AL28" s="99">
        <v>-22.136907860489341</v>
      </c>
      <c r="AM28" s="97">
        <v>-27.416267942583726</v>
      </c>
      <c r="AN28" s="98">
        <v>-24.899598393574294</v>
      </c>
      <c r="AO28" s="99">
        <v>-31.124260355029588</v>
      </c>
    </row>
    <row r="29" spans="1:41" ht="15.75" customHeight="1" x14ac:dyDescent="0.3">
      <c r="A29" s="108"/>
      <c r="B29" s="111" t="s">
        <v>56</v>
      </c>
      <c r="C29" s="193">
        <v>-37.722353375758665</v>
      </c>
      <c r="D29" s="198">
        <v>-35.238474922901531</v>
      </c>
      <c r="E29" s="198">
        <v>-40.953590538657799</v>
      </c>
      <c r="F29" s="192">
        <v>-54.021807802266217</v>
      </c>
      <c r="G29" s="198">
        <v>-49.431974567874036</v>
      </c>
      <c r="H29" s="199">
        <v>-62.953069558813681</v>
      </c>
      <c r="I29" s="192">
        <v>-38.834651964322084</v>
      </c>
      <c r="J29" s="198">
        <v>-30.982322622435575</v>
      </c>
      <c r="K29" s="199">
        <v>-49.564437144508325</v>
      </c>
      <c r="L29" s="192">
        <v>-27.255416022411517</v>
      </c>
      <c r="M29" s="198">
        <v>-22.50603137151851</v>
      </c>
      <c r="N29" s="199">
        <v>-32.203404639513046</v>
      </c>
      <c r="O29" s="192">
        <v>-28.554674213529296</v>
      </c>
      <c r="P29" s="198">
        <v>-33.239232028797957</v>
      </c>
      <c r="Q29" s="199">
        <v>-23.042702671827819</v>
      </c>
      <c r="R29" s="192">
        <v>-32.669184059116454</v>
      </c>
      <c r="S29" s="198">
        <v>-38.819085160548582</v>
      </c>
      <c r="T29" s="199">
        <v>-29.81694398819301</v>
      </c>
      <c r="U29" s="192">
        <v>-39.965653437914028</v>
      </c>
      <c r="V29" s="198">
        <v>-37.913722476909406</v>
      </c>
      <c r="W29" s="199">
        <v>-43.013061715448927</v>
      </c>
      <c r="X29" s="192">
        <v>-22.496372565433344</v>
      </c>
      <c r="Y29" s="198">
        <v>-11.30320787907989</v>
      </c>
      <c r="Z29" s="199">
        <v>-40.960760031791231</v>
      </c>
      <c r="AA29" s="192">
        <v>-40.458582437709531</v>
      </c>
      <c r="AB29" s="198">
        <v>-38.138218278514302</v>
      </c>
      <c r="AC29" s="199">
        <v>-44.002270709305549</v>
      </c>
      <c r="AD29" s="192">
        <v>-37.073116495471403</v>
      </c>
      <c r="AE29" s="198">
        <v>-30.757882392994272</v>
      </c>
      <c r="AF29" s="199">
        <v>-42.285955161431318</v>
      </c>
      <c r="AG29" s="192">
        <v>-26.311520693992239</v>
      </c>
      <c r="AH29" s="198">
        <v>-30.422621949654872</v>
      </c>
      <c r="AI29" s="199">
        <v>-22.836319465532952</v>
      </c>
      <c r="AJ29" s="192">
        <v>-24.801649715144503</v>
      </c>
      <c r="AK29" s="198">
        <v>-27.489460677424038</v>
      </c>
      <c r="AL29" s="199">
        <v>-22.311990843600626</v>
      </c>
      <c r="AM29" s="192">
        <v>-29.311585512113215</v>
      </c>
      <c r="AN29" s="198">
        <v>-30.125353821269719</v>
      </c>
      <c r="AO29" s="199">
        <v>-28.125</v>
      </c>
    </row>
    <row r="30" spans="1:41" ht="15.75" customHeight="1" x14ac:dyDescent="0.3">
      <c r="A30" s="108"/>
      <c r="B30" s="96" t="s">
        <v>65</v>
      </c>
      <c r="C30" s="131">
        <v>-35.449175481870569</v>
      </c>
      <c r="D30" s="98">
        <v>-34.42050767748411</v>
      </c>
      <c r="E30" s="98">
        <v>-36.843323934196036</v>
      </c>
      <c r="F30" s="97">
        <v>-53.03201268220247</v>
      </c>
      <c r="G30" s="98">
        <v>-48.761685809576228</v>
      </c>
      <c r="H30" s="99">
        <v>-61.600649727346557</v>
      </c>
      <c r="I30" s="97">
        <v>-36.589567865139294</v>
      </c>
      <c r="J30" s="98">
        <v>-31.335119305357395</v>
      </c>
      <c r="K30" s="99">
        <v>-44.326516864008539</v>
      </c>
      <c r="L30" s="97">
        <v>-24.788476529668323</v>
      </c>
      <c r="M30" s="98">
        <v>-21.391777552722736</v>
      </c>
      <c r="N30" s="99">
        <v>-28.429523475880515</v>
      </c>
      <c r="O30" s="97">
        <v>-25.668144465777043</v>
      </c>
      <c r="P30" s="98">
        <v>-32.271401606137054</v>
      </c>
      <c r="Q30" s="99">
        <v>-17.515819952209334</v>
      </c>
      <c r="R30" s="97">
        <v>-29.201221277963864</v>
      </c>
      <c r="S30" s="98">
        <v>-39.114321870089427</v>
      </c>
      <c r="T30" s="99">
        <v>-24.363920131643681</v>
      </c>
      <c r="U30" s="97">
        <v>-37.745239960489144</v>
      </c>
      <c r="V30" s="98">
        <v>-37.024032582282317</v>
      </c>
      <c r="W30" s="99">
        <v>-38.865799194865872</v>
      </c>
      <c r="X30" s="97">
        <v>-19.437332864681565</v>
      </c>
      <c r="Y30" s="98">
        <v>-8.5197205146806283</v>
      </c>
      <c r="Z30" s="99">
        <v>-37.403553746010218</v>
      </c>
      <c r="AA30" s="97">
        <v>-38.05269015530186</v>
      </c>
      <c r="AB30" s="98">
        <v>-37.082043492472458</v>
      </c>
      <c r="AC30" s="99">
        <v>-39.594104954606536</v>
      </c>
      <c r="AD30" s="97">
        <v>-33.860655737704946</v>
      </c>
      <c r="AE30" s="98">
        <v>-28.274992853616077</v>
      </c>
      <c r="AF30" s="99">
        <v>-38.441782646688964</v>
      </c>
      <c r="AG30" s="97">
        <v>-22.734863458513178</v>
      </c>
      <c r="AH30" s="98">
        <v>-28.085845646299102</v>
      </c>
      <c r="AI30" s="99">
        <v>-18.181546685779992</v>
      </c>
      <c r="AJ30" s="97">
        <v>-21.087850109932116</v>
      </c>
      <c r="AK30" s="98">
        <v>-23.818797010783566</v>
      </c>
      <c r="AL30" s="99">
        <v>-18.454714014129149</v>
      </c>
      <c r="AM30" s="97">
        <v>-27.739614000654235</v>
      </c>
      <c r="AN30" s="98">
        <v>-29.972375690607734</v>
      </c>
      <c r="AO30" s="99">
        <v>-24.498797113071369</v>
      </c>
    </row>
    <row r="31" spans="1:41" ht="15.75" customHeight="1" x14ac:dyDescent="0.3">
      <c r="A31" s="108"/>
      <c r="B31" s="111" t="s">
        <v>66</v>
      </c>
      <c r="C31" s="193">
        <v>-31.316993577484276</v>
      </c>
      <c r="D31" s="198">
        <v>-32.869579833422556</v>
      </c>
      <c r="E31" s="198">
        <v>-29.024096707799064</v>
      </c>
      <c r="F31" s="192">
        <v>-50.44935614915174</v>
      </c>
      <c r="G31" s="198">
        <v>-47.413361373742404</v>
      </c>
      <c r="H31" s="199">
        <v>-57.092992418333274</v>
      </c>
      <c r="I31" s="192">
        <v>-31.98373788207234</v>
      </c>
      <c r="J31" s="198">
        <v>-30.102878668039899</v>
      </c>
      <c r="K31" s="199">
        <v>-35.097211246193439</v>
      </c>
      <c r="L31" s="192">
        <v>-20.681902576226886</v>
      </c>
      <c r="M31" s="198">
        <v>-20.094151686884409</v>
      </c>
      <c r="N31" s="199">
        <v>-21.354894623203435</v>
      </c>
      <c r="O31" s="192">
        <v>-21.148577215415298</v>
      </c>
      <c r="P31" s="198">
        <v>-31.462287939772683</v>
      </c>
      <c r="Q31" s="199">
        <v>-6.8857249687747535</v>
      </c>
      <c r="R31" s="192">
        <v>-22.969312907426719</v>
      </c>
      <c r="S31" s="198">
        <v>-36.041527870308684</v>
      </c>
      <c r="T31" s="199">
        <v>-16.409423459466087</v>
      </c>
      <c r="U31" s="192">
        <v>-33.409185559172869</v>
      </c>
      <c r="V31" s="198">
        <v>-35.474522280103116</v>
      </c>
      <c r="W31" s="199">
        <v>-29.834283819318941</v>
      </c>
      <c r="X31" s="192">
        <v>-15.65823411598638</v>
      </c>
      <c r="Y31" s="198">
        <v>-5.4896613337408695</v>
      </c>
      <c r="Z31" s="199">
        <v>-32.876194267515935</v>
      </c>
      <c r="AA31" s="192">
        <v>-34.377114619353009</v>
      </c>
      <c r="AB31" s="198">
        <v>-35.763754631374425</v>
      </c>
      <c r="AC31" s="199">
        <v>-31.973118142708046</v>
      </c>
      <c r="AD31" s="192">
        <v>-28.39520594350866</v>
      </c>
      <c r="AE31" s="198">
        <v>-25.987987987988003</v>
      </c>
      <c r="AF31" s="199">
        <v>-30.502563203785638</v>
      </c>
      <c r="AG31" s="192">
        <v>-16.825390667933881</v>
      </c>
      <c r="AH31" s="198">
        <v>-24.818140564623715</v>
      </c>
      <c r="AI31" s="199">
        <v>-9.7327638804148968</v>
      </c>
      <c r="AJ31" s="192">
        <v>-17.379293666812391</v>
      </c>
      <c r="AK31" s="198">
        <v>-20.229021823995254</v>
      </c>
      <c r="AL31" s="199">
        <v>-14.525586850090299</v>
      </c>
      <c r="AM31" s="192">
        <v>-23.897730237411952</v>
      </c>
      <c r="AN31" s="198">
        <v>-28.71244635193133</v>
      </c>
      <c r="AO31" s="199">
        <v>-16.433799068529609</v>
      </c>
    </row>
    <row r="32" spans="1:41" ht="15.75" customHeight="1" x14ac:dyDescent="0.3">
      <c r="A32" s="108"/>
      <c r="B32" s="96" t="s">
        <v>15</v>
      </c>
      <c r="C32" s="131">
        <v>-27.948826490907241</v>
      </c>
      <c r="D32" s="98">
        <v>-30.86168164862606</v>
      </c>
      <c r="E32" s="98">
        <v>-23.399970318929952</v>
      </c>
      <c r="F32" s="97">
        <v>-47.978079750685012</v>
      </c>
      <c r="G32" s="98">
        <v>-45.4974253286249</v>
      </c>
      <c r="H32" s="99">
        <v>-53.726109965142022</v>
      </c>
      <c r="I32" s="97">
        <v>-28.23278589665389</v>
      </c>
      <c r="J32" s="98">
        <v>-28.289380739897986</v>
      </c>
      <c r="K32" s="99">
        <v>-28.131956162899009</v>
      </c>
      <c r="L32" s="97">
        <v>-17.651160564946501</v>
      </c>
      <c r="M32" s="98">
        <v>-18.505370874599812</v>
      </c>
      <c r="N32" s="99">
        <v>-16.632162967870144</v>
      </c>
      <c r="O32" s="97">
        <v>-17.414118206492979</v>
      </c>
      <c r="P32" s="98">
        <v>-29.651360349798573</v>
      </c>
      <c r="Q32" s="99">
        <v>0.72685154884013503</v>
      </c>
      <c r="R32" s="97">
        <v>-19.009397865235233</v>
      </c>
      <c r="S32" s="98">
        <v>-32.496056247045125</v>
      </c>
      <c r="T32" s="99">
        <v>-12.065516559898592</v>
      </c>
      <c r="U32" s="97">
        <v>-29.389252822655376</v>
      </c>
      <c r="V32" s="98">
        <v>-32.971930455905174</v>
      </c>
      <c r="W32" s="99">
        <v>-22.770092541419263</v>
      </c>
      <c r="X32" s="97">
        <v>-12.902608759017687</v>
      </c>
      <c r="Y32" s="98">
        <v>-4.0201987449693943</v>
      </c>
      <c r="Z32" s="99">
        <v>-28.473034872446412</v>
      </c>
      <c r="AA32" s="97">
        <v>-32.190558002100985</v>
      </c>
      <c r="AB32" s="98">
        <v>-34.711322925749435</v>
      </c>
      <c r="AC32" s="99">
        <v>-27.51195288310192</v>
      </c>
      <c r="AD32" s="97">
        <v>-23.187985919014519</v>
      </c>
      <c r="AE32" s="98">
        <v>-23.328991795322786</v>
      </c>
      <c r="AF32" s="99">
        <v>-23.058662405843389</v>
      </c>
      <c r="AG32" s="97">
        <v>-13.455183920957081</v>
      </c>
      <c r="AH32" s="98">
        <v>-22.069532266532764</v>
      </c>
      <c r="AI32" s="99">
        <v>-5.5752766757151795</v>
      </c>
      <c r="AJ32" s="97">
        <v>-13.831460064912449</v>
      </c>
      <c r="AK32" s="98">
        <v>-15.825113632849952</v>
      </c>
      <c r="AL32" s="99">
        <v>-11.829542808352112</v>
      </c>
      <c r="AM32" s="97">
        <v>-20.266990291262132</v>
      </c>
      <c r="AN32" s="98">
        <v>-26.818830242510693</v>
      </c>
      <c r="AO32" s="99">
        <v>-9.6354166666666625</v>
      </c>
    </row>
    <row r="33" spans="1:41" ht="15.75" customHeight="1" x14ac:dyDescent="0.3">
      <c r="A33" s="108"/>
      <c r="B33" s="111" t="s">
        <v>67</v>
      </c>
      <c r="C33" s="193">
        <v>-24.037097067602343</v>
      </c>
      <c r="D33" s="198">
        <v>-28.607141122110303</v>
      </c>
      <c r="E33" s="198">
        <v>-16.573019925164868</v>
      </c>
      <c r="F33" s="192">
        <v>-44.866296338283639</v>
      </c>
      <c r="G33" s="198">
        <v>-43.112278600022321</v>
      </c>
      <c r="H33" s="199">
        <v>-49.100265028608227</v>
      </c>
      <c r="I33" s="192">
        <v>-23.887221023926063</v>
      </c>
      <c r="J33" s="198">
        <v>-25.941936820166276</v>
      </c>
      <c r="K33" s="199">
        <v>-20.015018849800072</v>
      </c>
      <c r="L33" s="192">
        <v>-14.300592718035555</v>
      </c>
      <c r="M33" s="198">
        <v>-16.991429602637798</v>
      </c>
      <c r="N33" s="199">
        <v>-10.962687907401437</v>
      </c>
      <c r="O33" s="192">
        <v>-12.76008453095857</v>
      </c>
      <c r="P33" s="198">
        <v>-27.573266812406636</v>
      </c>
      <c r="Q33" s="199">
        <v>10.489042795889114</v>
      </c>
      <c r="R33" s="192">
        <v>-13.880253342875671</v>
      </c>
      <c r="S33" s="198">
        <v>-28.374373286571664</v>
      </c>
      <c r="T33" s="199">
        <v>-6.2931487722262087</v>
      </c>
      <c r="U33" s="192">
        <v>-24.925989732701993</v>
      </c>
      <c r="V33" s="198">
        <v>-30.389887458584308</v>
      </c>
      <c r="W33" s="199">
        <v>-14.365512367491196</v>
      </c>
      <c r="X33" s="192">
        <v>-9.5374027294412027</v>
      </c>
      <c r="Y33" s="198">
        <v>-2.6019603040439043</v>
      </c>
      <c r="Z33" s="199">
        <v>-22.374249360841901</v>
      </c>
      <c r="AA33" s="192">
        <v>-29.892120746079154</v>
      </c>
      <c r="AB33" s="198">
        <v>-33.50423939474905</v>
      </c>
      <c r="AC33" s="199">
        <v>-22.850474375795315</v>
      </c>
      <c r="AD33" s="192">
        <v>-17.832916815423093</v>
      </c>
      <c r="AE33" s="198">
        <v>-20.94886978306668</v>
      </c>
      <c r="AF33" s="199">
        <v>-14.817697213460246</v>
      </c>
      <c r="AG33" s="192">
        <v>-10.401965814782233</v>
      </c>
      <c r="AH33" s="198">
        <v>-20.677653902084359</v>
      </c>
      <c r="AI33" s="199">
        <v>-0.70277541384139441</v>
      </c>
      <c r="AJ33" s="192">
        <v>-11.025154089621857</v>
      </c>
      <c r="AK33" s="198">
        <v>-12.648860833355425</v>
      </c>
      <c r="AL33" s="199">
        <v>-9.3854209913083348</v>
      </c>
      <c r="AM33" s="192">
        <v>-17.223551938726665</v>
      </c>
      <c r="AN33" s="198">
        <v>-25.671550671550669</v>
      </c>
      <c r="AO33" s="199">
        <v>-3.0053942974569758</v>
      </c>
    </row>
    <row r="34" spans="1:41" ht="15.75" customHeight="1" x14ac:dyDescent="0.3">
      <c r="A34" s="108"/>
      <c r="B34" s="96" t="s">
        <v>87</v>
      </c>
      <c r="C34" s="131">
        <v>-19.780864235066797</v>
      </c>
      <c r="D34" s="98">
        <v>-26.193322753392835</v>
      </c>
      <c r="E34" s="98">
        <v>-8.9252859494287957</v>
      </c>
      <c r="F34" s="97">
        <v>-41.624464307479123</v>
      </c>
      <c r="G34" s="98">
        <v>-40.717212692790802</v>
      </c>
      <c r="H34" s="99">
        <v>-43.901087702275596</v>
      </c>
      <c r="I34" s="97">
        <v>-19.388556068771145</v>
      </c>
      <c r="J34" s="98">
        <v>-23.633478795280492</v>
      </c>
      <c r="K34" s="99">
        <v>-11.048195453916465</v>
      </c>
      <c r="L34" s="97">
        <v>-11.13153336607332</v>
      </c>
      <c r="M34" s="98">
        <v>-15.499347394962626</v>
      </c>
      <c r="N34" s="99">
        <v>-5.5380597763173274</v>
      </c>
      <c r="O34" s="97">
        <v>-7.8474945630695121</v>
      </c>
      <c r="P34" s="98">
        <v>-25.208949750526454</v>
      </c>
      <c r="Q34" s="99">
        <v>20.568580835373162</v>
      </c>
      <c r="R34" s="97">
        <v>-8.3193582827457924</v>
      </c>
      <c r="S34" s="98">
        <v>-25.349400790093956</v>
      </c>
      <c r="T34" s="99">
        <v>0.73267757677231149</v>
      </c>
      <c r="U34" s="97">
        <v>-19.933883492838646</v>
      </c>
      <c r="V34" s="98">
        <v>-27.5728932059097</v>
      </c>
      <c r="W34" s="99">
        <v>-4.6687136926576773</v>
      </c>
      <c r="X34" s="97">
        <v>-4.8758844600543245</v>
      </c>
      <c r="Y34" s="98">
        <v>-0.667085997833472</v>
      </c>
      <c r="Z34" s="99">
        <v>-13.287426320641394</v>
      </c>
      <c r="AA34" s="97">
        <v>-26.590459826347047</v>
      </c>
      <c r="AB34" s="98">
        <v>-31.502611000977833</v>
      </c>
      <c r="AC34" s="99">
        <v>-16.656950012321136</v>
      </c>
      <c r="AD34" s="97">
        <v>-12.521857270451498</v>
      </c>
      <c r="AE34" s="98">
        <v>-18.239530809466707</v>
      </c>
      <c r="AF34" s="99">
        <v>-6.7849469817728103</v>
      </c>
      <c r="AG34" s="97">
        <v>-6.3685710578850863</v>
      </c>
      <c r="AH34" s="98">
        <v>-17.787820098988615</v>
      </c>
      <c r="AI34" s="99">
        <v>4.4377830634387827</v>
      </c>
      <c r="AJ34" s="97">
        <v>-7.3577346592862298</v>
      </c>
      <c r="AK34" s="98">
        <v>-9.1324523590794904</v>
      </c>
      <c r="AL34" s="99">
        <v>-5.560194684353692</v>
      </c>
      <c r="AM34" s="97">
        <v>-13.587604290822409</v>
      </c>
      <c r="AN34" s="98">
        <v>-23.421836900568948</v>
      </c>
      <c r="AO34" s="99">
        <v>3.0476626947754326</v>
      </c>
    </row>
    <row r="35" spans="1:41" ht="15.75" customHeight="1" x14ac:dyDescent="0.3">
      <c r="A35" s="108"/>
      <c r="B35" s="111" t="s">
        <v>9</v>
      </c>
      <c r="C35" s="193">
        <v>-15.686631124023986</v>
      </c>
      <c r="D35" s="198">
        <v>-23.689385698412746</v>
      </c>
      <c r="E35" s="198">
        <v>-1.7567667591113501</v>
      </c>
      <c r="F35" s="192">
        <v>-38.375058600803477</v>
      </c>
      <c r="G35" s="198">
        <v>-38.18869908124978</v>
      </c>
      <c r="H35" s="199">
        <v>-38.853657820807982</v>
      </c>
      <c r="I35" s="192">
        <v>-15.157966253774591</v>
      </c>
      <c r="J35" s="198">
        <v>-21.397347244710595</v>
      </c>
      <c r="K35" s="199">
        <v>-2.4618653258662304</v>
      </c>
      <c r="L35" s="192">
        <v>-8.2347530630538905</v>
      </c>
      <c r="M35" s="198">
        <v>-13.910362460520375</v>
      </c>
      <c r="N35" s="199">
        <v>-0.77452596181056821</v>
      </c>
      <c r="O35" s="192">
        <v>-2.9008708062574828</v>
      </c>
      <c r="P35" s="198">
        <v>-22.711948788213643</v>
      </c>
      <c r="Q35" s="199">
        <v>30.584346099729999</v>
      </c>
      <c r="R35" s="192">
        <v>-3.2146476035400662</v>
      </c>
      <c r="S35" s="198">
        <v>-22.259637753684569</v>
      </c>
      <c r="T35" s="199">
        <v>7.0386442437305075</v>
      </c>
      <c r="U35" s="192">
        <v>-15.294499385715255</v>
      </c>
      <c r="V35" s="198">
        <v>-24.660835922091483</v>
      </c>
      <c r="W35" s="199">
        <v>3.8976947919372895</v>
      </c>
      <c r="X35" s="192">
        <v>-0.6861666940543576</v>
      </c>
      <c r="Y35" s="198">
        <v>1.1124375278341203</v>
      </c>
      <c r="Z35" s="199">
        <v>-4.5294140970909673</v>
      </c>
      <c r="AA35" s="192">
        <v>-22.867888365533272</v>
      </c>
      <c r="AB35" s="198">
        <v>-28.847740594292826</v>
      </c>
      <c r="AC35" s="199">
        <v>-10.451073866196447</v>
      </c>
      <c r="AD35" s="192">
        <v>-7.5711920624645828</v>
      </c>
      <c r="AE35" s="198">
        <v>-15.749766173471125</v>
      </c>
      <c r="AF35" s="199">
        <v>0.88555382069868127</v>
      </c>
      <c r="AG35" s="192">
        <v>-2.6328931935984179</v>
      </c>
      <c r="AH35" s="198">
        <v>-15.1524044142064</v>
      </c>
      <c r="AI35" s="199">
        <v>9.3918512969240133</v>
      </c>
      <c r="AJ35" s="192">
        <v>-3.9231123536531687</v>
      </c>
      <c r="AK35" s="198">
        <v>-5.7906600884654935</v>
      </c>
      <c r="AL35" s="199">
        <v>-2.0277124295858262</v>
      </c>
      <c r="AM35" s="192">
        <v>-9.7451737451737408</v>
      </c>
      <c r="AN35" s="198">
        <v>-20.187507609886769</v>
      </c>
      <c r="AO35" s="199">
        <v>8.3597213426219064</v>
      </c>
    </row>
    <row r="36" spans="1:41" ht="15.75" customHeight="1" x14ac:dyDescent="0.3">
      <c r="A36" s="108"/>
      <c r="B36" s="96" t="s">
        <v>10</v>
      </c>
      <c r="C36" s="131">
        <v>-12.015355221135982</v>
      </c>
      <c r="D36" s="98">
        <v>-21.277820444640895</v>
      </c>
      <c r="E36" s="98">
        <v>4.3717527943058831</v>
      </c>
      <c r="F36" s="97">
        <v>-34.984556704877598</v>
      </c>
      <c r="G36" s="98">
        <v>-35.636268847255948</v>
      </c>
      <c r="H36" s="99">
        <v>-33.277906828462044</v>
      </c>
      <c r="I36" s="97">
        <v>-11.446369991071103</v>
      </c>
      <c r="J36" s="98">
        <v>-19.451851061553583</v>
      </c>
      <c r="K36" s="99">
        <v>5.3264636292900569</v>
      </c>
      <c r="L36" s="97">
        <v>-5.4757378619766932</v>
      </c>
      <c r="M36" s="98">
        <v>-12.1161045874567</v>
      </c>
      <c r="N36" s="99">
        <v>3.3832518862682015</v>
      </c>
      <c r="O36" s="97">
        <v>1.2881692121599952</v>
      </c>
      <c r="P36" s="98">
        <v>-20.037801876994155</v>
      </c>
      <c r="Q36" s="99">
        <v>37.618113192351203</v>
      </c>
      <c r="R36" s="97">
        <v>0.45092415380847406</v>
      </c>
      <c r="S36" s="98">
        <v>-19.438137610692586</v>
      </c>
      <c r="T36" s="99">
        <v>11.142528633535198</v>
      </c>
      <c r="U36" s="97">
        <v>-11.722487225071365</v>
      </c>
      <c r="V36" s="98">
        <v>-22.196740316175621</v>
      </c>
      <c r="W36" s="99">
        <v>9.971783177882255</v>
      </c>
      <c r="X36" s="97">
        <v>3.2189406958238687</v>
      </c>
      <c r="Y36" s="98">
        <v>2.6038329352828127</v>
      </c>
      <c r="Z36" s="99">
        <v>4.6124069977880211</v>
      </c>
      <c r="AA36" s="97">
        <v>-19.367629675319197</v>
      </c>
      <c r="AB36" s="98">
        <v>-26.003214612231261</v>
      </c>
      <c r="AC36" s="99">
        <v>-5.4925459039729567</v>
      </c>
      <c r="AD36" s="97">
        <v>-3.3043391583994941</v>
      </c>
      <c r="AE36" s="98">
        <v>-13.650432663134648</v>
      </c>
      <c r="AF36" s="99">
        <v>7.6563217459417299</v>
      </c>
      <c r="AG36" s="97">
        <v>0.72696202226365525</v>
      </c>
      <c r="AH36" s="98">
        <v>-11.84787805495402</v>
      </c>
      <c r="AI36" s="99">
        <v>12.809668898332017</v>
      </c>
      <c r="AJ36" s="97">
        <v>-0.19502729402077756</v>
      </c>
      <c r="AK36" s="98">
        <v>-2.8789670615149143</v>
      </c>
      <c r="AL36" s="99">
        <v>2.5487553511970962</v>
      </c>
      <c r="AM36" s="97">
        <v>-6.6577332675082923</v>
      </c>
      <c r="AN36" s="98">
        <v>-17.483750137710697</v>
      </c>
      <c r="AO36" s="99">
        <v>12.602900823206586</v>
      </c>
    </row>
    <row r="37" spans="1:41" s="109" customFormat="1" ht="15.75" customHeight="1" x14ac:dyDescent="0.3">
      <c r="A37" s="360"/>
      <c r="B37" s="401" t="s">
        <v>11</v>
      </c>
      <c r="C37" s="405">
        <v>-8.9486924891463708</v>
      </c>
      <c r="D37" s="403">
        <v>-18.911266723131824</v>
      </c>
      <c r="E37" s="403">
        <v>8.6289493027672304</v>
      </c>
      <c r="F37" s="402">
        <v>-31.644246497712956</v>
      </c>
      <c r="G37" s="403">
        <v>-33.057020537320824</v>
      </c>
      <c r="H37" s="404">
        <v>-27.906584090967723</v>
      </c>
      <c r="I37" s="402">
        <v>-8.2745055173339956</v>
      </c>
      <c r="J37" s="403">
        <v>-17.747509808429541</v>
      </c>
      <c r="K37" s="404">
        <v>11.751311013643573</v>
      </c>
      <c r="L37" s="402">
        <v>-3.5609610349309317</v>
      </c>
      <c r="M37" s="403">
        <v>-10.555199448080499</v>
      </c>
      <c r="N37" s="404">
        <v>5.7336889646829814</v>
      </c>
      <c r="O37" s="402">
        <v>4.0334265277963244</v>
      </c>
      <c r="P37" s="403">
        <v>-17.543936709221864</v>
      </c>
      <c r="Q37" s="404">
        <v>40.060606931237345</v>
      </c>
      <c r="R37" s="402">
        <v>2.6426479032242156</v>
      </c>
      <c r="S37" s="403">
        <v>-16.902443143436162</v>
      </c>
      <c r="T37" s="404">
        <v>12.972108590554111</v>
      </c>
      <c r="U37" s="402">
        <v>-8.543924219867737</v>
      </c>
      <c r="V37" s="403">
        <v>-19.75238947141742</v>
      </c>
      <c r="W37" s="404">
        <v>14.599009494623338</v>
      </c>
      <c r="X37" s="402">
        <v>5.9640095609475363</v>
      </c>
      <c r="Y37" s="403">
        <v>4.0064678856401414</v>
      </c>
      <c r="Z37" s="404">
        <v>10.485533889789188</v>
      </c>
      <c r="AA37" s="402">
        <v>-16.151603408972214</v>
      </c>
      <c r="AB37" s="403">
        <v>-23.354201333005996</v>
      </c>
      <c r="AC37" s="404">
        <v>-1.1407996967974121</v>
      </c>
      <c r="AD37" s="402">
        <v>0.89370584379613316</v>
      </c>
      <c r="AE37" s="403">
        <v>-10.190846853605928</v>
      </c>
      <c r="AF37" s="404">
        <v>12.702123514513941</v>
      </c>
      <c r="AG37" s="402">
        <v>2.7011800056339741</v>
      </c>
      <c r="AH37" s="403">
        <v>-7.5849694716596305</v>
      </c>
      <c r="AI37" s="404">
        <v>12.386358111721529</v>
      </c>
      <c r="AJ37" s="402">
        <v>3.0892695150758431</v>
      </c>
      <c r="AK37" s="403">
        <v>0.35858919237150566</v>
      </c>
      <c r="AL37" s="404">
        <v>5.8579335793357945</v>
      </c>
      <c r="AM37" s="402">
        <v>-4.4120492807843696</v>
      </c>
      <c r="AN37" s="403">
        <v>-14.589665653495443</v>
      </c>
      <c r="AO37" s="404">
        <v>13.420912480028413</v>
      </c>
    </row>
    <row r="38" spans="1:41" s="109" customFormat="1" ht="15" customHeight="1" x14ac:dyDescent="0.3">
      <c r="A38" s="108"/>
      <c r="F38" s="110"/>
      <c r="G38" s="110"/>
      <c r="H38" s="110"/>
      <c r="AO38" s="111"/>
    </row>
    <row r="39" spans="1:41" s="109" customFormat="1" x14ac:dyDescent="0.3">
      <c r="A39" s="108"/>
      <c r="B39" s="109" t="s">
        <v>84</v>
      </c>
      <c r="C39" s="140"/>
      <c r="D39" s="140"/>
      <c r="E39" s="140"/>
      <c r="F39" s="140"/>
      <c r="G39" s="140"/>
      <c r="H39" s="141"/>
      <c r="I39" s="140"/>
      <c r="J39" s="140"/>
      <c r="K39" s="140"/>
      <c r="L39" s="140"/>
      <c r="M39" s="140"/>
      <c r="N39" s="140"/>
      <c r="AO39" s="111"/>
    </row>
    <row r="40" spans="1:41" s="117" customFormat="1" ht="33" x14ac:dyDescent="0.3">
      <c r="A40" s="116"/>
      <c r="B40" s="112" t="s">
        <v>17</v>
      </c>
      <c r="C40" s="140"/>
      <c r="D40" s="140"/>
      <c r="E40" s="140"/>
      <c r="F40" s="140"/>
      <c r="G40" s="140"/>
      <c r="H40" s="140"/>
      <c r="I40" s="140"/>
      <c r="J40" s="140"/>
      <c r="K40" s="140"/>
      <c r="L40" s="140"/>
      <c r="M40" s="140"/>
      <c r="N40" s="140"/>
      <c r="O40" s="112"/>
      <c r="P40" s="112"/>
      <c r="Q40" s="112"/>
      <c r="R40" s="112"/>
      <c r="S40" s="112"/>
      <c r="T40" s="112"/>
      <c r="U40" s="112"/>
      <c r="V40" s="112"/>
      <c r="W40" s="112"/>
      <c r="X40" s="112"/>
      <c r="Y40" s="112"/>
      <c r="Z40" s="112"/>
      <c r="AA40" s="112"/>
      <c r="AB40" s="136"/>
      <c r="AC40" s="136"/>
      <c r="AO40" s="118"/>
    </row>
    <row r="41" spans="1:41" s="117" customFormat="1" ht="24" customHeight="1" x14ac:dyDescent="0.3">
      <c r="A41" s="116"/>
      <c r="B41" s="423" t="s">
        <v>73</v>
      </c>
      <c r="C41" s="424"/>
      <c r="D41" s="424"/>
      <c r="E41" s="424"/>
      <c r="F41" s="424"/>
      <c r="G41" s="424"/>
      <c r="H41" s="424"/>
      <c r="I41" s="424"/>
      <c r="J41" s="424"/>
      <c r="K41" s="424"/>
      <c r="L41" s="140"/>
      <c r="M41" s="140"/>
      <c r="N41" s="140"/>
      <c r="O41" s="112"/>
      <c r="P41" s="112"/>
      <c r="Q41" s="112"/>
      <c r="R41" s="112"/>
      <c r="S41" s="112"/>
      <c r="T41" s="112"/>
      <c r="U41" s="112"/>
      <c r="V41" s="112"/>
      <c r="W41" s="112"/>
      <c r="X41" s="112"/>
      <c r="Y41" s="112"/>
      <c r="Z41" s="112"/>
      <c r="AA41" s="112"/>
      <c r="AB41" s="136"/>
      <c r="AC41" s="136"/>
      <c r="AO41" s="118"/>
    </row>
    <row r="42" spans="1:41" s="117" customFormat="1" x14ac:dyDescent="0.3">
      <c r="A42" s="116"/>
      <c r="B42" s="424"/>
      <c r="C42" s="424"/>
      <c r="D42" s="424"/>
      <c r="E42" s="424"/>
      <c r="F42" s="424"/>
      <c r="G42" s="424"/>
      <c r="H42" s="424"/>
      <c r="I42" s="424"/>
      <c r="J42" s="424"/>
      <c r="K42" s="424"/>
      <c r="L42" s="140"/>
      <c r="M42" s="140"/>
      <c r="N42" s="140"/>
      <c r="O42" s="112"/>
      <c r="P42" s="112"/>
      <c r="Q42" s="112"/>
      <c r="R42" s="112"/>
      <c r="S42" s="112"/>
      <c r="T42" s="112"/>
      <c r="U42" s="112"/>
      <c r="V42" s="112"/>
      <c r="W42" s="112"/>
      <c r="X42" s="112"/>
      <c r="Y42" s="112"/>
      <c r="Z42" s="112"/>
      <c r="AA42" s="112"/>
      <c r="AB42" s="136"/>
      <c r="AC42" s="136"/>
      <c r="AO42" s="118"/>
    </row>
    <row r="43" spans="1:41" s="117" customFormat="1" x14ac:dyDescent="0.3">
      <c r="A43" s="116"/>
      <c r="B43" s="424"/>
      <c r="C43" s="424"/>
      <c r="D43" s="424"/>
      <c r="E43" s="424"/>
      <c r="F43" s="424"/>
      <c r="G43" s="424"/>
      <c r="H43" s="424"/>
      <c r="I43" s="424"/>
      <c r="J43" s="424"/>
      <c r="K43" s="424"/>
      <c r="L43" s="140"/>
      <c r="M43" s="140"/>
      <c r="N43" s="140"/>
      <c r="O43" s="112"/>
      <c r="P43" s="112"/>
      <c r="Q43" s="112"/>
      <c r="R43" s="112"/>
      <c r="S43" s="112"/>
      <c r="T43" s="112"/>
      <c r="U43" s="112"/>
      <c r="V43" s="112"/>
      <c r="W43" s="112"/>
      <c r="X43" s="112"/>
      <c r="Y43" s="112"/>
      <c r="Z43" s="112"/>
      <c r="AA43" s="112"/>
      <c r="AB43" s="136"/>
      <c r="AC43" s="136"/>
      <c r="AO43" s="118"/>
    </row>
    <row r="44" spans="1:41" s="117" customFormat="1" ht="24" customHeight="1" x14ac:dyDescent="0.3">
      <c r="A44" s="116"/>
      <c r="B44" s="424"/>
      <c r="C44" s="424"/>
      <c r="D44" s="424"/>
      <c r="E44" s="424"/>
      <c r="F44" s="424"/>
      <c r="G44" s="424"/>
      <c r="H44" s="424"/>
      <c r="I44" s="424"/>
      <c r="J44" s="424"/>
      <c r="K44" s="424"/>
      <c r="L44" s="140"/>
      <c r="M44" s="140"/>
      <c r="N44" s="140"/>
      <c r="O44" s="112"/>
      <c r="P44" s="112"/>
      <c r="Q44" s="112"/>
      <c r="R44" s="112"/>
      <c r="S44" s="112"/>
      <c r="T44" s="112"/>
      <c r="U44" s="112"/>
      <c r="V44" s="112"/>
      <c r="W44" s="112"/>
      <c r="X44" s="112"/>
      <c r="Y44" s="112"/>
      <c r="Z44" s="112"/>
      <c r="AA44" s="112"/>
      <c r="AB44" s="136"/>
      <c r="AC44" s="136"/>
      <c r="AO44" s="118"/>
    </row>
    <row r="45" spans="1:41" s="120" customFormat="1" ht="33" customHeight="1" x14ac:dyDescent="0.3">
      <c r="A45" s="119"/>
      <c r="B45" s="424" t="s">
        <v>19</v>
      </c>
      <c r="C45" s="424"/>
      <c r="D45" s="424"/>
      <c r="E45" s="424"/>
      <c r="F45" s="424"/>
      <c r="G45" s="424"/>
      <c r="H45" s="424"/>
      <c r="I45" s="424"/>
      <c r="J45" s="424"/>
      <c r="K45" s="424"/>
      <c r="L45" s="424"/>
      <c r="M45" s="424"/>
      <c r="AO45" s="121"/>
    </row>
    <row r="46" spans="1:41" s="120" customFormat="1" ht="16.5" customHeight="1" x14ac:dyDescent="0.3">
      <c r="A46" s="119"/>
      <c r="B46" s="122" t="s">
        <v>74</v>
      </c>
      <c r="C46" s="122"/>
      <c r="D46" s="122"/>
      <c r="E46" s="122"/>
      <c r="F46" s="122"/>
      <c r="G46" s="122"/>
      <c r="H46" s="122"/>
      <c r="I46" s="122"/>
      <c r="J46" s="122"/>
      <c r="K46" s="122"/>
      <c r="L46" s="122"/>
      <c r="M46" s="122"/>
      <c r="N46" s="122"/>
      <c r="AO46" s="121"/>
    </row>
    <row r="47" spans="1:41" ht="15" customHeight="1" x14ac:dyDescent="0.3">
      <c r="A47" s="123"/>
      <c r="B47" s="124" t="str">
        <f>'1.1 V.A Ing.real'!B45</f>
        <v>Actualizado el 15 de diciembre de 2021</v>
      </c>
      <c r="C47" s="124"/>
      <c r="D47" s="124"/>
      <c r="E47" s="124"/>
      <c r="F47" s="124"/>
      <c r="G47" s="124"/>
      <c r="H47" s="124"/>
      <c r="I47" s="124"/>
      <c r="J47" s="124"/>
      <c r="K47" s="143"/>
      <c r="L47" s="143"/>
      <c r="M47" s="83"/>
      <c r="N47" s="83"/>
      <c r="O47" s="124"/>
      <c r="P47" s="124"/>
      <c r="Q47" s="124"/>
      <c r="R47" s="124"/>
      <c r="S47" s="124"/>
      <c r="T47" s="124"/>
      <c r="U47" s="124"/>
      <c r="V47" s="124"/>
      <c r="W47" s="124"/>
      <c r="X47" s="124"/>
      <c r="Y47" s="144"/>
      <c r="Z47" s="144"/>
      <c r="AO47" s="102"/>
    </row>
    <row r="48" spans="1:41" s="83" customFormat="1" x14ac:dyDescent="0.3">
      <c r="A48" s="125"/>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7"/>
    </row>
  </sheetData>
  <mergeCells count="18">
    <mergeCell ref="A14:A15"/>
    <mergeCell ref="B14:B15"/>
    <mergeCell ref="O14:Q14"/>
    <mergeCell ref="R14:T14"/>
    <mergeCell ref="A7:J8"/>
    <mergeCell ref="B45:M45"/>
    <mergeCell ref="AG14:AI14"/>
    <mergeCell ref="AJ14:AL14"/>
    <mergeCell ref="AM14:AO14"/>
    <mergeCell ref="U14:W14"/>
    <mergeCell ref="X14:Z14"/>
    <mergeCell ref="AA14:AC14"/>
    <mergeCell ref="AD14:AF14"/>
    <mergeCell ref="B41:K44"/>
    <mergeCell ref="C14:E14"/>
    <mergeCell ref="F14:H14"/>
    <mergeCell ref="I14:K14"/>
    <mergeCell ref="L14:N14"/>
  </mergeCells>
  <hyperlinks>
    <hyperlink ref="L4" location="Contenido!A1" display="Inicio" xr:uid="{00000000-0004-0000-05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O36"/>
  <sheetViews>
    <sheetView showGridLines="0" zoomScale="80" zoomScaleNormal="80" zoomScaleSheetLayoutView="90" workbookViewId="0">
      <pane ySplit="15" topLeftCell="A16" activePane="bottomLeft" state="frozen"/>
      <selection pane="bottomLeft" activeCell="A7" sqref="A7:J8"/>
    </sheetView>
  </sheetViews>
  <sheetFormatPr baseColWidth="10" defaultColWidth="11.42578125" defaultRowHeight="16.5" x14ac:dyDescent="0.3"/>
  <cols>
    <col min="1" max="1" width="8.85546875" style="100" customWidth="1"/>
    <col min="2" max="2" width="19.85546875" style="128" bestFit="1" customWidth="1"/>
    <col min="3" max="8" width="14.7109375" style="128" customWidth="1"/>
    <col min="9" max="41" width="14.7109375" style="100" customWidth="1"/>
    <col min="42" max="16384" width="11.42578125" style="100"/>
  </cols>
  <sheetData>
    <row r="1" spans="1:41" s="83" customFormat="1" ht="12" customHeight="1" x14ac:dyDescent="0.3">
      <c r="A1" s="80"/>
      <c r="B1" s="81"/>
      <c r="C1" s="81"/>
      <c r="D1" s="81"/>
      <c r="E1" s="81"/>
      <c r="F1" s="81"/>
      <c r="G1" s="81"/>
      <c r="H1" s="81"/>
      <c r="I1" s="81"/>
      <c r="J1" s="81"/>
      <c r="K1" s="81"/>
      <c r="L1" s="82"/>
      <c r="M1" s="82"/>
    </row>
    <row r="2" spans="1:41" s="87" customFormat="1" x14ac:dyDescent="0.3">
      <c r="A2" s="84"/>
      <c r="B2" s="85"/>
      <c r="C2" s="85"/>
      <c r="D2" s="85"/>
      <c r="E2" s="85"/>
      <c r="F2" s="85"/>
      <c r="G2" s="85"/>
      <c r="H2" s="85"/>
      <c r="I2" s="85"/>
      <c r="J2" s="85"/>
      <c r="K2" s="85"/>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row>
    <row r="3" spans="1:41" s="87" customFormat="1" x14ac:dyDescent="0.3">
      <c r="A3" s="84"/>
      <c r="B3" s="85"/>
      <c r="C3" s="85"/>
      <c r="D3" s="85"/>
      <c r="E3" s="85"/>
      <c r="F3" s="85"/>
      <c r="G3" s="85"/>
      <c r="H3" s="85"/>
      <c r="I3" s="85"/>
      <c r="J3" s="85"/>
      <c r="K3" s="85"/>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row>
    <row r="4" spans="1:41" s="87" customFormat="1" x14ac:dyDescent="0.3">
      <c r="A4" s="84"/>
      <c r="B4" s="85"/>
      <c r="C4" s="85"/>
      <c r="D4" s="85"/>
      <c r="E4" s="85"/>
      <c r="F4" s="85"/>
      <c r="G4" s="85"/>
      <c r="H4" s="85"/>
      <c r="I4" s="85"/>
      <c r="J4" s="85"/>
      <c r="K4" s="85"/>
      <c r="L4" s="224" t="s">
        <v>0</v>
      </c>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row>
    <row r="5" spans="1:41" s="87" customFormat="1" x14ac:dyDescent="0.3">
      <c r="A5" s="84"/>
      <c r="B5" s="85"/>
      <c r="C5" s="85"/>
      <c r="D5" s="85"/>
      <c r="E5" s="85"/>
      <c r="F5" s="85"/>
      <c r="G5" s="85"/>
      <c r="H5" s="85"/>
      <c r="I5" s="85"/>
      <c r="J5" s="85"/>
      <c r="K5" s="85"/>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row>
    <row r="6" spans="1:41" s="87" customFormat="1" x14ac:dyDescent="0.3">
      <c r="A6" s="84"/>
      <c r="B6" s="85"/>
      <c r="C6" s="85"/>
      <c r="D6" s="85"/>
      <c r="E6" s="85"/>
      <c r="F6" s="85"/>
      <c r="G6" s="85"/>
      <c r="H6" s="85"/>
      <c r="I6" s="85"/>
      <c r="J6" s="85"/>
      <c r="K6" s="85"/>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row>
    <row r="7" spans="1:41" s="87" customFormat="1" ht="15" customHeight="1" x14ac:dyDescent="0.3">
      <c r="A7" s="421" t="s">
        <v>4</v>
      </c>
      <c r="B7" s="421"/>
      <c r="C7" s="421"/>
      <c r="D7" s="421"/>
      <c r="E7" s="421"/>
      <c r="F7" s="421"/>
      <c r="G7" s="421"/>
      <c r="H7" s="421"/>
      <c r="I7" s="421"/>
      <c r="J7" s="421"/>
      <c r="K7" s="197"/>
      <c r="L7" s="197"/>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row>
    <row r="8" spans="1:41" s="87" customFormat="1" ht="15" customHeight="1" x14ac:dyDescent="0.3">
      <c r="A8" s="421"/>
      <c r="B8" s="421"/>
      <c r="C8" s="421"/>
      <c r="D8" s="421"/>
      <c r="E8" s="421"/>
      <c r="F8" s="421"/>
      <c r="G8" s="421"/>
      <c r="H8" s="421"/>
      <c r="I8" s="421"/>
      <c r="J8" s="421"/>
      <c r="K8" s="197"/>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row>
    <row r="9" spans="1:41" s="89" customFormat="1" ht="15" customHeight="1" x14ac:dyDescent="0.3">
      <c r="A9" s="215"/>
      <c r="B9" s="216"/>
      <c r="C9" s="216"/>
      <c r="D9" s="216"/>
      <c r="E9" s="216"/>
      <c r="F9" s="216"/>
      <c r="G9" s="216"/>
      <c r="H9" s="216"/>
      <c r="I9" s="216"/>
      <c r="J9" s="216"/>
      <c r="K9" s="129"/>
      <c r="L9" s="228"/>
      <c r="M9" s="228"/>
      <c r="N9" s="228"/>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row>
    <row r="10" spans="1:41" s="83" customFormat="1" ht="18" customHeight="1" x14ac:dyDescent="0.3">
      <c r="A10" s="90" t="s">
        <v>126</v>
      </c>
      <c r="B10" s="223"/>
      <c r="C10" s="223"/>
      <c r="D10" s="223"/>
      <c r="E10" s="223"/>
      <c r="F10" s="223"/>
      <c r="G10" s="223"/>
      <c r="H10" s="223"/>
      <c r="I10" s="223"/>
      <c r="J10" s="223"/>
      <c r="K10" s="225"/>
      <c r="L10" s="225"/>
      <c r="M10" s="225"/>
      <c r="N10" s="225"/>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row>
    <row r="11" spans="1:41" s="83" customFormat="1" ht="18" customHeight="1" x14ac:dyDescent="0.3">
      <c r="A11" s="90" t="s">
        <v>79</v>
      </c>
      <c r="B11" s="223"/>
      <c r="C11" s="223"/>
      <c r="D11" s="223"/>
      <c r="E11" s="223"/>
      <c r="F11" s="229"/>
      <c r="G11" s="229"/>
      <c r="H11" s="229"/>
      <c r="I11" s="229"/>
      <c r="J11" s="229"/>
      <c r="K11" s="230"/>
      <c r="L11" s="230"/>
      <c r="M11" s="230"/>
      <c r="N11" s="230"/>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row>
    <row r="12" spans="1:41" s="83" customFormat="1" ht="18" customHeight="1" x14ac:dyDescent="0.3">
      <c r="A12" s="90" t="str">
        <f>'1.3 V.12Meses Ing.real'!A12</f>
        <v>Diciembre 2020 - octubre 2021</v>
      </c>
      <c r="B12" s="229"/>
      <c r="C12" s="229"/>
      <c r="D12" s="229"/>
      <c r="E12" s="229"/>
      <c r="F12" s="229"/>
      <c r="G12" s="229"/>
      <c r="H12" s="229"/>
      <c r="I12" s="229"/>
      <c r="J12" s="229"/>
      <c r="K12" s="230"/>
      <c r="L12" s="230"/>
      <c r="M12" s="230"/>
      <c r="N12" s="230"/>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c r="AM12" s="137"/>
    </row>
    <row r="13" spans="1:41" s="83" customFormat="1" ht="18" customHeight="1" x14ac:dyDescent="0.3">
      <c r="A13" s="218"/>
      <c r="B13" s="219"/>
      <c r="C13" s="219"/>
      <c r="D13" s="219"/>
      <c r="E13" s="219"/>
      <c r="F13" s="220"/>
      <c r="G13" s="220"/>
      <c r="H13" s="220"/>
      <c r="I13" s="221"/>
      <c r="J13" s="221"/>
      <c r="K13" s="93"/>
    </row>
    <row r="14" spans="1:41" s="95" customFormat="1" ht="26.25" customHeight="1" x14ac:dyDescent="0.3">
      <c r="A14" s="427" t="s">
        <v>25</v>
      </c>
      <c r="B14" s="429" t="s">
        <v>26</v>
      </c>
      <c r="C14" s="425" t="s">
        <v>24</v>
      </c>
      <c r="D14" s="425"/>
      <c r="E14" s="425"/>
      <c r="F14" s="425" t="s">
        <v>5</v>
      </c>
      <c r="G14" s="425"/>
      <c r="H14" s="425"/>
      <c r="I14" s="425" t="s">
        <v>6</v>
      </c>
      <c r="J14" s="425"/>
      <c r="K14" s="425"/>
      <c r="L14" s="425" t="s">
        <v>20</v>
      </c>
      <c r="M14" s="425"/>
      <c r="N14" s="425"/>
      <c r="O14" s="425" t="s">
        <v>21</v>
      </c>
      <c r="P14" s="425"/>
      <c r="Q14" s="425"/>
      <c r="R14" s="425" t="s">
        <v>22</v>
      </c>
      <c r="S14" s="425"/>
      <c r="T14" s="425"/>
      <c r="U14" s="425" t="s">
        <v>3</v>
      </c>
      <c r="V14" s="425"/>
      <c r="W14" s="425"/>
      <c r="X14" s="425" t="s">
        <v>7</v>
      </c>
      <c r="Y14" s="425"/>
      <c r="Z14" s="425"/>
      <c r="AA14" s="425" t="s">
        <v>41</v>
      </c>
      <c r="AB14" s="425"/>
      <c r="AC14" s="425"/>
      <c r="AD14" s="425" t="s">
        <v>38</v>
      </c>
      <c r="AE14" s="425"/>
      <c r="AF14" s="425"/>
      <c r="AG14" s="425" t="s">
        <v>42</v>
      </c>
      <c r="AH14" s="425"/>
      <c r="AI14" s="425"/>
      <c r="AJ14" s="425" t="s">
        <v>23</v>
      </c>
      <c r="AK14" s="425"/>
      <c r="AL14" s="425"/>
      <c r="AM14" s="425" t="s">
        <v>40</v>
      </c>
      <c r="AN14" s="425"/>
      <c r="AO14" s="426"/>
    </row>
    <row r="15" spans="1:41" s="95" customFormat="1" ht="45.75" customHeight="1" x14ac:dyDescent="0.3">
      <c r="A15" s="428"/>
      <c r="B15" s="430"/>
      <c r="C15" s="298" t="s">
        <v>27</v>
      </c>
      <c r="D15" s="298" t="s">
        <v>28</v>
      </c>
      <c r="E15" s="298" t="s">
        <v>29</v>
      </c>
      <c r="F15" s="298" t="s">
        <v>27</v>
      </c>
      <c r="G15" s="298" t="s">
        <v>28</v>
      </c>
      <c r="H15" s="298" t="s">
        <v>29</v>
      </c>
      <c r="I15" s="298" t="s">
        <v>27</v>
      </c>
      <c r="J15" s="298" t="s">
        <v>28</v>
      </c>
      <c r="K15" s="298" t="s">
        <v>29</v>
      </c>
      <c r="L15" s="298" t="s">
        <v>27</v>
      </c>
      <c r="M15" s="298" t="s">
        <v>28</v>
      </c>
      <c r="N15" s="298" t="s">
        <v>29</v>
      </c>
      <c r="O15" s="298" t="s">
        <v>27</v>
      </c>
      <c r="P15" s="298" t="s">
        <v>28</v>
      </c>
      <c r="Q15" s="298" t="s">
        <v>29</v>
      </c>
      <c r="R15" s="298" t="s">
        <v>27</v>
      </c>
      <c r="S15" s="298" t="s">
        <v>28</v>
      </c>
      <c r="T15" s="298" t="s">
        <v>29</v>
      </c>
      <c r="U15" s="298" t="s">
        <v>27</v>
      </c>
      <c r="V15" s="298" t="s">
        <v>28</v>
      </c>
      <c r="W15" s="298" t="s">
        <v>29</v>
      </c>
      <c r="X15" s="298" t="s">
        <v>27</v>
      </c>
      <c r="Y15" s="298" t="s">
        <v>28</v>
      </c>
      <c r="Z15" s="298" t="s">
        <v>29</v>
      </c>
      <c r="AA15" s="298" t="s">
        <v>27</v>
      </c>
      <c r="AB15" s="298" t="s">
        <v>28</v>
      </c>
      <c r="AC15" s="298" t="s">
        <v>29</v>
      </c>
      <c r="AD15" s="298" t="s">
        <v>27</v>
      </c>
      <c r="AE15" s="298" t="s">
        <v>28</v>
      </c>
      <c r="AF15" s="298" t="s">
        <v>29</v>
      </c>
      <c r="AG15" s="298" t="s">
        <v>27</v>
      </c>
      <c r="AH15" s="298" t="s">
        <v>28</v>
      </c>
      <c r="AI15" s="298" t="s">
        <v>29</v>
      </c>
      <c r="AJ15" s="298" t="s">
        <v>27</v>
      </c>
      <c r="AK15" s="298" t="s">
        <v>28</v>
      </c>
      <c r="AL15" s="298" t="s">
        <v>29</v>
      </c>
      <c r="AM15" s="298" t="s">
        <v>27</v>
      </c>
      <c r="AN15" s="298" t="s">
        <v>28</v>
      </c>
      <c r="AO15" s="299" t="s">
        <v>29</v>
      </c>
    </row>
    <row r="16" spans="1:41" s="95" customFormat="1" ht="21" customHeight="1" x14ac:dyDescent="0.3">
      <c r="A16" s="101" t="s">
        <v>69</v>
      </c>
      <c r="B16" s="111" t="s">
        <v>13</v>
      </c>
      <c r="C16" s="192">
        <v>-29.092192991232412</v>
      </c>
      <c r="D16" s="198">
        <v>-21.435110528694267</v>
      </c>
      <c r="E16" s="198">
        <v>-39.281398522833342</v>
      </c>
      <c r="F16" s="192">
        <v>-35.077283185116926</v>
      </c>
      <c r="G16" s="198">
        <v>-26.704079605171504</v>
      </c>
      <c r="H16" s="199">
        <v>-50.117169032096619</v>
      </c>
      <c r="I16" s="192">
        <v>-28.275685579679376</v>
      </c>
      <c r="J16" s="198">
        <v>-17.800466274215776</v>
      </c>
      <c r="K16" s="199">
        <v>-43.424338382829795</v>
      </c>
      <c r="L16" s="192">
        <v>-22.364379888203111</v>
      </c>
      <c r="M16" s="198">
        <v>-11.428575616706382</v>
      </c>
      <c r="N16" s="199">
        <v>-33.15151696256612</v>
      </c>
      <c r="O16" s="192">
        <v>-27.767236730910728</v>
      </c>
      <c r="P16" s="198">
        <v>-23.191940114113898</v>
      </c>
      <c r="Q16" s="199">
        <v>-33.859282860928261</v>
      </c>
      <c r="R16" s="192">
        <v>-29.225144047493114</v>
      </c>
      <c r="S16" s="198">
        <v>-25.44004862613296</v>
      </c>
      <c r="T16" s="199">
        <v>-31.01893192943691</v>
      </c>
      <c r="U16" s="192">
        <v>-31.247657652713201</v>
      </c>
      <c r="V16" s="198">
        <v>-25.446655116762795</v>
      </c>
      <c r="W16" s="199">
        <v>-40.592349473224523</v>
      </c>
      <c r="X16" s="192">
        <v>-23.837899440332201</v>
      </c>
      <c r="Y16" s="198">
        <v>-11.620258919454752</v>
      </c>
      <c r="Z16" s="199">
        <v>-42.596724913316628</v>
      </c>
      <c r="AA16" s="192">
        <v>-27.433598574114715</v>
      </c>
      <c r="AB16" s="198">
        <v>-19.576993256644148</v>
      </c>
      <c r="AC16" s="199">
        <v>-39.479356213570519</v>
      </c>
      <c r="AD16" s="192">
        <v>-30.03760587940404</v>
      </c>
      <c r="AE16" s="198">
        <v>-21.153512329528045</v>
      </c>
      <c r="AF16" s="199">
        <v>-37.537099893962235</v>
      </c>
      <c r="AG16" s="192">
        <v>-25.161795049824487</v>
      </c>
      <c r="AH16" s="198">
        <v>-25.89433310803657</v>
      </c>
      <c r="AI16" s="199">
        <v>-24.484649576767183</v>
      </c>
      <c r="AJ16" s="192">
        <v>-22.791154268074521</v>
      </c>
      <c r="AK16" s="198">
        <v>-23.947713648690804</v>
      </c>
      <c r="AL16" s="199">
        <v>-21.62237679091611</v>
      </c>
      <c r="AM16" s="192">
        <v>-25.550231462681715</v>
      </c>
      <c r="AN16" s="198">
        <v>-14.520202020202023</v>
      </c>
      <c r="AO16" s="199">
        <v>-38.855043898942846</v>
      </c>
    </row>
    <row r="17" spans="1:41" s="95" customFormat="1" ht="18" customHeight="1" x14ac:dyDescent="0.3">
      <c r="A17" s="156" t="s">
        <v>124</v>
      </c>
      <c r="B17" s="156" t="s">
        <v>54</v>
      </c>
      <c r="C17" s="97">
        <v>-32.389647720331553</v>
      </c>
      <c r="D17" s="98">
        <v>-24.439959070409923</v>
      </c>
      <c r="E17" s="98">
        <v>-42.945154974322683</v>
      </c>
      <c r="F17" s="97">
        <v>-39.370839769386578</v>
      </c>
      <c r="G17" s="98">
        <v>-30.920108899148602</v>
      </c>
      <c r="H17" s="99">
        <v>-54.582796879247809</v>
      </c>
      <c r="I17" s="97">
        <v>-31.752520051816902</v>
      </c>
      <c r="J17" s="98">
        <v>-20.444704494585388</v>
      </c>
      <c r="K17" s="99">
        <v>-48.044347522764532</v>
      </c>
      <c r="L17" s="97">
        <v>-25.011469128787045</v>
      </c>
      <c r="M17" s="98">
        <v>-13.810857388007424</v>
      </c>
      <c r="N17" s="99">
        <v>-36.09671298645781</v>
      </c>
      <c r="O17" s="97">
        <v>-30.518599075116693</v>
      </c>
      <c r="P17" s="98">
        <v>-25.890076879275327</v>
      </c>
      <c r="Q17" s="99">
        <v>-36.613923122007563</v>
      </c>
      <c r="R17" s="97">
        <v>-32.410225040937611</v>
      </c>
      <c r="S17" s="98">
        <v>-29.13574722501896</v>
      </c>
      <c r="T17" s="99">
        <v>-33.969286231222398</v>
      </c>
      <c r="U17" s="97">
        <v>-34.893073097693083</v>
      </c>
      <c r="V17" s="98">
        <v>-28.599534391534398</v>
      </c>
      <c r="W17" s="99">
        <v>-44.963631893396979</v>
      </c>
      <c r="X17" s="97">
        <v>-25.197934556450662</v>
      </c>
      <c r="Y17" s="98">
        <v>-12.482331924859857</v>
      </c>
      <c r="Z17" s="99">
        <v>-44.980925165726212</v>
      </c>
      <c r="AA17" s="97">
        <v>-31.014178984267726</v>
      </c>
      <c r="AB17" s="98">
        <v>-22.794047641715988</v>
      </c>
      <c r="AC17" s="99">
        <v>-43.565080872590556</v>
      </c>
      <c r="AD17" s="97">
        <v>-33.402200977218918</v>
      </c>
      <c r="AE17" s="98">
        <v>-23.730071737008519</v>
      </c>
      <c r="AF17" s="99">
        <v>-41.523441229829096</v>
      </c>
      <c r="AG17" s="97">
        <v>-26.937305008149526</v>
      </c>
      <c r="AH17" s="98">
        <v>-27.475371135424698</v>
      </c>
      <c r="AI17" s="99">
        <v>-26.445514077918965</v>
      </c>
      <c r="AJ17" s="97">
        <v>-25.669973871901675</v>
      </c>
      <c r="AK17" s="98">
        <v>-26.729051367074586</v>
      </c>
      <c r="AL17" s="99">
        <v>-24.616441089812056</v>
      </c>
      <c r="AM17" s="97">
        <v>-27.935567637750548</v>
      </c>
      <c r="AN17" s="98">
        <v>-17.593818984547461</v>
      </c>
      <c r="AO17" s="99">
        <v>-40.647612156295224</v>
      </c>
    </row>
    <row r="18" spans="1:41" s="95" customFormat="1" ht="18" customHeight="1" x14ac:dyDescent="0.3">
      <c r="A18" s="108"/>
      <c r="B18" s="111" t="s">
        <v>56</v>
      </c>
      <c r="C18" s="193">
        <v>-35.674032349947723</v>
      </c>
      <c r="D18" s="198">
        <v>-27.378949311772971</v>
      </c>
      <c r="E18" s="198">
        <v>-46.64385305214833</v>
      </c>
      <c r="F18" s="192">
        <v>-43.94685363387768</v>
      </c>
      <c r="G18" s="198">
        <v>-35.102143281233722</v>
      </c>
      <c r="H18" s="199">
        <v>-59.84711185701785</v>
      </c>
      <c r="I18" s="192">
        <v>-35.423514293077808</v>
      </c>
      <c r="J18" s="198">
        <v>-23.317198625367809</v>
      </c>
      <c r="K18" s="199">
        <v>-52.803371160902948</v>
      </c>
      <c r="L18" s="192">
        <v>-27.265837271714332</v>
      </c>
      <c r="M18" s="198">
        <v>-15.945718273062381</v>
      </c>
      <c r="N18" s="199">
        <v>-38.505124962360746</v>
      </c>
      <c r="O18" s="192">
        <v>-33.044407416964404</v>
      </c>
      <c r="P18" s="198">
        <v>-28.296137806881571</v>
      </c>
      <c r="Q18" s="199">
        <v>-39.226058694407925</v>
      </c>
      <c r="R18" s="192">
        <v>-35.578644177098518</v>
      </c>
      <c r="S18" s="198">
        <v>-32.917898937299242</v>
      </c>
      <c r="T18" s="199">
        <v>-36.842715607431884</v>
      </c>
      <c r="U18" s="192">
        <v>-38.379261115032129</v>
      </c>
      <c r="V18" s="198">
        <v>-31.517710984366019</v>
      </c>
      <c r="W18" s="199">
        <v>-49.201477654491185</v>
      </c>
      <c r="X18" s="192">
        <v>-26.778364227312544</v>
      </c>
      <c r="Y18" s="198">
        <v>-13.422166688424308</v>
      </c>
      <c r="Z18" s="199">
        <v>-47.745017960811175</v>
      </c>
      <c r="AA18" s="192">
        <v>-34.389065769648283</v>
      </c>
      <c r="AB18" s="198">
        <v>-26.00190839694654</v>
      </c>
      <c r="AC18" s="199">
        <v>-47.178006042296083</v>
      </c>
      <c r="AD18" s="192">
        <v>-36.627313676960561</v>
      </c>
      <c r="AE18" s="198">
        <v>-26.26348091834415</v>
      </c>
      <c r="AF18" s="199">
        <v>-45.288514814912531</v>
      </c>
      <c r="AG18" s="192">
        <v>-28.478546144698637</v>
      </c>
      <c r="AH18" s="198">
        <v>-28.988005308715138</v>
      </c>
      <c r="AI18" s="199">
        <v>-28.016342108949921</v>
      </c>
      <c r="AJ18" s="192">
        <v>-27.532429418324799</v>
      </c>
      <c r="AK18" s="198">
        <v>-27.972897002692555</v>
      </c>
      <c r="AL18" s="199">
        <v>-27.099065529387779</v>
      </c>
      <c r="AM18" s="192">
        <v>-30.720647773279353</v>
      </c>
      <c r="AN18" s="198">
        <v>-21.630870040043682</v>
      </c>
      <c r="AO18" s="199">
        <v>-42.106703146374826</v>
      </c>
    </row>
    <row r="19" spans="1:41" s="95" customFormat="1" ht="18" customHeight="1" x14ac:dyDescent="0.3">
      <c r="A19" s="108"/>
      <c r="B19" s="96" t="s">
        <v>49</v>
      </c>
      <c r="C19" s="131">
        <v>-37.668994505838846</v>
      </c>
      <c r="D19" s="98">
        <v>-29.839728708362014</v>
      </c>
      <c r="E19" s="98">
        <v>-48.096612929673931</v>
      </c>
      <c r="F19" s="97">
        <v>-47.552547562290172</v>
      </c>
      <c r="G19" s="98">
        <v>-38.834996841728383</v>
      </c>
      <c r="H19" s="99">
        <v>-63.384264014047176</v>
      </c>
      <c r="I19" s="97">
        <v>-37.56453137860116</v>
      </c>
      <c r="J19" s="98">
        <v>-26.120710598806205</v>
      </c>
      <c r="K19" s="99">
        <v>-54.264894622614278</v>
      </c>
      <c r="L19" s="97">
        <v>-28.408019435048683</v>
      </c>
      <c r="M19" s="98">
        <v>-17.492629448719189</v>
      </c>
      <c r="N19" s="99">
        <v>-39.344809930110557</v>
      </c>
      <c r="O19" s="97">
        <v>-34.143390863662404</v>
      </c>
      <c r="P19" s="98">
        <v>-30.284124625702468</v>
      </c>
      <c r="Q19" s="99">
        <v>-39.170757823546708</v>
      </c>
      <c r="R19" s="97">
        <v>-36.809960025408685</v>
      </c>
      <c r="S19" s="98">
        <v>-36.255514312921463</v>
      </c>
      <c r="T19" s="99">
        <v>-37.075956576868577</v>
      </c>
      <c r="U19" s="97">
        <v>-40.596537034707445</v>
      </c>
      <c r="V19" s="98">
        <v>-33.968120211485711</v>
      </c>
      <c r="W19" s="99">
        <v>-51.052213806186018</v>
      </c>
      <c r="X19" s="97">
        <v>-27.007039618720896</v>
      </c>
      <c r="Y19" s="98">
        <v>-13.134723042732155</v>
      </c>
      <c r="Z19" s="99">
        <v>-49.057385601430923</v>
      </c>
      <c r="AA19" s="97">
        <v>-36.603114581378904</v>
      </c>
      <c r="AB19" s="98">
        <v>-28.736015287360129</v>
      </c>
      <c r="AC19" s="99">
        <v>-48.715185635882918</v>
      </c>
      <c r="AD19" s="97">
        <v>-38.501885622399648</v>
      </c>
      <c r="AE19" s="98">
        <v>-27.471783080343094</v>
      </c>
      <c r="AF19" s="99">
        <v>-47.653879239826267</v>
      </c>
      <c r="AG19" s="97">
        <v>-28.875106096511228</v>
      </c>
      <c r="AH19" s="98">
        <v>-29.689022169136013</v>
      </c>
      <c r="AI19" s="99">
        <v>-28.142431740972206</v>
      </c>
      <c r="AJ19" s="97">
        <v>-28.370319593057978</v>
      </c>
      <c r="AK19" s="98">
        <v>-29.030610426787984</v>
      </c>
      <c r="AL19" s="99">
        <v>-27.722166189579468</v>
      </c>
      <c r="AM19" s="97">
        <v>-32.354854447877699</v>
      </c>
      <c r="AN19" s="98">
        <v>-24.304698278992088</v>
      </c>
      <c r="AO19" s="99">
        <v>-42.595842956120087</v>
      </c>
    </row>
    <row r="20" spans="1:41" s="95" customFormat="1" ht="18" customHeight="1" x14ac:dyDescent="0.3">
      <c r="A20" s="108"/>
      <c r="B20" s="111" t="s">
        <v>14</v>
      </c>
      <c r="C20" s="193">
        <v>-37.345773636614823</v>
      </c>
      <c r="D20" s="198">
        <v>-31.276961505999356</v>
      </c>
      <c r="E20" s="198">
        <v>-45.647963527678051</v>
      </c>
      <c r="F20" s="192">
        <v>-49.044934753971624</v>
      </c>
      <c r="G20" s="198">
        <v>-41.34114373193033</v>
      </c>
      <c r="H20" s="199">
        <v>-63.42318772604343</v>
      </c>
      <c r="I20" s="192">
        <v>-37.094669322449334</v>
      </c>
      <c r="J20" s="198">
        <v>-27.729662947739296</v>
      </c>
      <c r="K20" s="199">
        <v>-51.293226858049437</v>
      </c>
      <c r="L20" s="192">
        <v>-27.428613548016234</v>
      </c>
      <c r="M20" s="198">
        <v>-18.246580825287761</v>
      </c>
      <c r="N20" s="199">
        <v>-36.861844243058826</v>
      </c>
      <c r="O20" s="192">
        <v>-32.979930423692636</v>
      </c>
      <c r="P20" s="198">
        <v>-32.005653292058426</v>
      </c>
      <c r="Q20" s="199">
        <v>-34.289862541048841</v>
      </c>
      <c r="R20" s="192">
        <v>-35.003759074158516</v>
      </c>
      <c r="S20" s="198">
        <v>-36.736736017418835</v>
      </c>
      <c r="T20" s="199">
        <v>-34.162919986959984</v>
      </c>
      <c r="U20" s="192">
        <v>-40.227866874767685</v>
      </c>
      <c r="V20" s="198">
        <v>-35.417432372038782</v>
      </c>
      <c r="W20" s="199">
        <v>-48.029088823049989</v>
      </c>
      <c r="X20" s="192">
        <v>-25.88628801724542</v>
      </c>
      <c r="Y20" s="198">
        <v>-11.964125798261582</v>
      </c>
      <c r="Z20" s="199">
        <v>-48.485621471444254</v>
      </c>
      <c r="AA20" s="192">
        <v>-36.841739293944364</v>
      </c>
      <c r="AB20" s="198">
        <v>-30.666078489663718</v>
      </c>
      <c r="AC20" s="199">
        <v>-46.613339267966388</v>
      </c>
      <c r="AD20" s="192">
        <v>-37.636490814711223</v>
      </c>
      <c r="AE20" s="198">
        <v>-27.913259933598901</v>
      </c>
      <c r="AF20" s="199">
        <v>-45.829466703569246</v>
      </c>
      <c r="AG20" s="192">
        <v>-26.217722063718995</v>
      </c>
      <c r="AH20" s="198">
        <v>-28.798860482991927</v>
      </c>
      <c r="AI20" s="199">
        <v>-23.86907866660346</v>
      </c>
      <c r="AJ20" s="192">
        <v>-27.800262671205346</v>
      </c>
      <c r="AK20" s="198">
        <v>-29.077687059345049</v>
      </c>
      <c r="AL20" s="199">
        <v>-26.537235995783025</v>
      </c>
      <c r="AM20" s="192">
        <v>-31.654586870987778</v>
      </c>
      <c r="AN20" s="198">
        <v>-25.834913227358903</v>
      </c>
      <c r="AO20" s="199">
        <v>-39.305915060876238</v>
      </c>
    </row>
    <row r="21" spans="1:41" s="95" customFormat="1" ht="18" customHeight="1" x14ac:dyDescent="0.3">
      <c r="A21" s="108"/>
      <c r="B21" s="96" t="s">
        <v>15</v>
      </c>
      <c r="C21" s="131">
        <v>-36.258584159797202</v>
      </c>
      <c r="D21" s="98">
        <v>-31.668494329422003</v>
      </c>
      <c r="E21" s="98">
        <v>-42.695883561664374</v>
      </c>
      <c r="F21" s="97">
        <v>-49.576602915593391</v>
      </c>
      <c r="G21" s="98">
        <v>-42.681819089844019</v>
      </c>
      <c r="H21" s="99">
        <v>-62.823123569225771</v>
      </c>
      <c r="I21" s="97">
        <v>-35.799247202604832</v>
      </c>
      <c r="J21" s="98">
        <v>-28.194922492048025</v>
      </c>
      <c r="K21" s="99">
        <v>-47.754577925886551</v>
      </c>
      <c r="L21" s="97">
        <v>-26.058842049743593</v>
      </c>
      <c r="M21" s="98">
        <v>-18.261271658063528</v>
      </c>
      <c r="N21" s="99">
        <v>-34.245303428194653</v>
      </c>
      <c r="O21" s="97">
        <v>-31.105420862920219</v>
      </c>
      <c r="P21" s="98">
        <v>-32.504921107239824</v>
      </c>
      <c r="Q21" s="99">
        <v>-29.176528612250074</v>
      </c>
      <c r="R21" s="97">
        <v>-32.693844440139486</v>
      </c>
      <c r="S21" s="98">
        <v>-36.193896991076379</v>
      </c>
      <c r="T21" s="99">
        <v>-30.97117057545027</v>
      </c>
      <c r="U21" s="97">
        <v>-38.751709643143364</v>
      </c>
      <c r="V21" s="98">
        <v>-35.294244794412208</v>
      </c>
      <c r="W21" s="99">
        <v>-44.470622743550607</v>
      </c>
      <c r="X21" s="97">
        <v>-24.4952093535194</v>
      </c>
      <c r="Y21" s="98">
        <v>-10.898273220866695</v>
      </c>
      <c r="Z21" s="99">
        <v>-47.080144730028948</v>
      </c>
      <c r="AA21" s="97">
        <v>-36.795598365908376</v>
      </c>
      <c r="AB21" s="98">
        <v>-32.319730107176603</v>
      </c>
      <c r="AC21" s="99">
        <v>-44.126067687561743</v>
      </c>
      <c r="AD21" s="97">
        <v>-35.489158510111338</v>
      </c>
      <c r="AE21" s="98">
        <v>-27.219873150105723</v>
      </c>
      <c r="AF21" s="99">
        <v>-42.574917508460118</v>
      </c>
      <c r="AG21" s="97">
        <v>-23.824926371699505</v>
      </c>
      <c r="AH21" s="98">
        <v>-27.376668601276844</v>
      </c>
      <c r="AI21" s="99">
        <v>-20.590148736673463</v>
      </c>
      <c r="AJ21" s="97">
        <v>-26.122158918354199</v>
      </c>
      <c r="AK21" s="98">
        <v>-27.258006367208289</v>
      </c>
      <c r="AL21" s="99">
        <v>-24.999849056603761</v>
      </c>
      <c r="AM21" s="97">
        <v>-29.844779927705723</v>
      </c>
      <c r="AN21" s="98">
        <v>-26.265752818925492</v>
      </c>
      <c r="AO21" s="99">
        <v>-34.727528654735572</v>
      </c>
    </row>
    <row r="22" spans="1:41" s="95" customFormat="1" ht="18" customHeight="1" x14ac:dyDescent="0.3">
      <c r="A22" s="108"/>
      <c r="B22" s="111" t="s">
        <v>16</v>
      </c>
      <c r="C22" s="193">
        <v>-33.883676021031604</v>
      </c>
      <c r="D22" s="198">
        <v>-31.116058037933524</v>
      </c>
      <c r="E22" s="198">
        <v>-37.875156374966345</v>
      </c>
      <c r="F22" s="192">
        <v>-48.831074838250508</v>
      </c>
      <c r="G22" s="198">
        <v>-42.746214009298455</v>
      </c>
      <c r="H22" s="199">
        <v>-60.856695252628732</v>
      </c>
      <c r="I22" s="192">
        <v>-33.149171736246473</v>
      </c>
      <c r="J22" s="198">
        <v>-27.445866180938893</v>
      </c>
      <c r="K22" s="199">
        <v>-42.434056520451769</v>
      </c>
      <c r="L22" s="192">
        <v>-23.442689869906598</v>
      </c>
      <c r="M22" s="198">
        <v>-17.798520115078887</v>
      </c>
      <c r="N22" s="199">
        <v>-29.564918286757415</v>
      </c>
      <c r="O22" s="192">
        <v>-27.584639326492432</v>
      </c>
      <c r="P22" s="198">
        <v>-31.94683485270766</v>
      </c>
      <c r="Q22" s="199">
        <v>-21.408631636156993</v>
      </c>
      <c r="R22" s="192">
        <v>-28.531179813017648</v>
      </c>
      <c r="S22" s="198">
        <v>-34.216841516507444</v>
      </c>
      <c r="T22" s="199">
        <v>-25.682559849131049</v>
      </c>
      <c r="U22" s="192">
        <v>-36.00908806106338</v>
      </c>
      <c r="V22" s="198">
        <v>-34.30253761240175</v>
      </c>
      <c r="W22" s="199">
        <v>-38.902621544254622</v>
      </c>
      <c r="X22" s="192">
        <v>-21.957105344228147</v>
      </c>
      <c r="Y22" s="198">
        <v>-9.5355218200908318</v>
      </c>
      <c r="Z22" s="199">
        <v>-43.310298062444531</v>
      </c>
      <c r="AA22" s="192">
        <v>-36.046644352238907</v>
      </c>
      <c r="AB22" s="198">
        <v>-33.33109905326468</v>
      </c>
      <c r="AC22" s="199">
        <v>-40.650638609250969</v>
      </c>
      <c r="AD22" s="192">
        <v>-31.927100434060673</v>
      </c>
      <c r="AE22" s="198">
        <v>-26.159619379481335</v>
      </c>
      <c r="AF22" s="199">
        <v>-37.01857805831041</v>
      </c>
      <c r="AG22" s="192">
        <v>-21.118117058144026</v>
      </c>
      <c r="AH22" s="198">
        <v>-26.434108172207438</v>
      </c>
      <c r="AI22" s="199">
        <v>-16.253179195595457</v>
      </c>
      <c r="AJ22" s="192">
        <v>-23.99426939440179</v>
      </c>
      <c r="AK22" s="198">
        <v>-25.267901165221851</v>
      </c>
      <c r="AL22" s="199">
        <v>-22.731099199029426</v>
      </c>
      <c r="AM22" s="192">
        <v>-27.677907536193846</v>
      </c>
      <c r="AN22" s="198">
        <v>-26.789838337182449</v>
      </c>
      <c r="AO22" s="199">
        <v>-28.940677966101692</v>
      </c>
    </row>
    <row r="23" spans="1:41" s="95" customFormat="1" ht="18" customHeight="1" x14ac:dyDescent="0.3">
      <c r="A23" s="108"/>
      <c r="B23" s="96" t="s">
        <v>8</v>
      </c>
      <c r="C23" s="131">
        <v>-30.284357393997542</v>
      </c>
      <c r="D23" s="98">
        <v>-29.787890956613662</v>
      </c>
      <c r="E23" s="98">
        <v>-31.024757729227449</v>
      </c>
      <c r="F23" s="97">
        <v>-46.981711366796652</v>
      </c>
      <c r="G23" s="98">
        <v>-42.162292228744121</v>
      </c>
      <c r="H23" s="99">
        <v>-56.960025606740359</v>
      </c>
      <c r="I23" s="97">
        <v>-29.517925843378869</v>
      </c>
      <c r="J23" s="98">
        <v>-26.172489416720524</v>
      </c>
      <c r="K23" s="99">
        <v>-35.184662677903432</v>
      </c>
      <c r="L23" s="97">
        <v>-20.231668322218745</v>
      </c>
      <c r="M23" s="98">
        <v>-17.091918701762264</v>
      </c>
      <c r="N23" s="99">
        <v>-23.766068507320526</v>
      </c>
      <c r="O23" s="97">
        <v>-22.81401353123147</v>
      </c>
      <c r="P23" s="98">
        <v>-30.553498511105413</v>
      </c>
      <c r="Q23" s="99">
        <v>-11.527450532098682</v>
      </c>
      <c r="R23" s="97">
        <v>-23.000399428256436</v>
      </c>
      <c r="S23" s="98">
        <v>-31.751844123784057</v>
      </c>
      <c r="T23" s="99">
        <v>-18.552566068547982</v>
      </c>
      <c r="U23" s="97">
        <v>-31.777201576329649</v>
      </c>
      <c r="V23" s="98">
        <v>-32.273025105325218</v>
      </c>
      <c r="W23" s="99">
        <v>-30.912238095199118</v>
      </c>
      <c r="X23" s="97">
        <v>-17.283541543886106</v>
      </c>
      <c r="Y23" s="98">
        <v>-7.2557261124864496</v>
      </c>
      <c r="Z23" s="99">
        <v>-35.4400008530937</v>
      </c>
      <c r="AA23" s="97">
        <v>-33.894786741947549</v>
      </c>
      <c r="AB23" s="98">
        <v>-33.170624362334181</v>
      </c>
      <c r="AC23" s="99">
        <v>-35.168686288080508</v>
      </c>
      <c r="AD23" s="97">
        <v>-27.324057434481976</v>
      </c>
      <c r="AE23" s="98">
        <v>-24.121682465269433</v>
      </c>
      <c r="AF23" s="99">
        <v>-30.230352937506812</v>
      </c>
      <c r="AG23" s="97">
        <v>-17.178645652536527</v>
      </c>
      <c r="AH23" s="98">
        <v>-23.765332930125314</v>
      </c>
      <c r="AI23" s="99">
        <v>-11.170162326186849</v>
      </c>
      <c r="AJ23" s="97">
        <v>-20.286222535617561</v>
      </c>
      <c r="AK23" s="98">
        <v>-21.846361619344712</v>
      </c>
      <c r="AL23" s="99">
        <v>-18.736102236421736</v>
      </c>
      <c r="AM23" s="97">
        <v>-24.348022598870056</v>
      </c>
      <c r="AN23" s="98">
        <v>-25.542443852303009</v>
      </c>
      <c r="AO23" s="99">
        <v>-22.602892102335925</v>
      </c>
    </row>
    <row r="24" spans="1:41" s="95" customFormat="1" ht="18" customHeight="1" x14ac:dyDescent="0.3">
      <c r="A24" s="108"/>
      <c r="B24" s="111" t="s">
        <v>9</v>
      </c>
      <c r="C24" s="193">
        <v>-25.801167390417923</v>
      </c>
      <c r="D24" s="198">
        <v>-27.745145868970933</v>
      </c>
      <c r="E24" s="198">
        <v>-22.79898762896768</v>
      </c>
      <c r="F24" s="192">
        <v>-44.473478901251738</v>
      </c>
      <c r="G24" s="198">
        <v>-40.785325085804033</v>
      </c>
      <c r="H24" s="199">
        <v>-52.437666093481326</v>
      </c>
      <c r="I24" s="192">
        <v>-25.102169430000487</v>
      </c>
      <c r="J24" s="198">
        <v>-24.377260154702405</v>
      </c>
      <c r="K24" s="199">
        <v>-26.382217856746781</v>
      </c>
      <c r="L24" s="192">
        <v>-16.488301721727417</v>
      </c>
      <c r="M24" s="198">
        <v>-15.951876561490785</v>
      </c>
      <c r="N24" s="199">
        <v>-17.116014544475753</v>
      </c>
      <c r="O24" s="192">
        <v>-16.705152410422574</v>
      </c>
      <c r="P24" s="198">
        <v>-28.263023094009565</v>
      </c>
      <c r="Q24" s="199">
        <v>0.69849186376849115</v>
      </c>
      <c r="R24" s="192">
        <v>-16.389012362828169</v>
      </c>
      <c r="S24" s="198">
        <v>-28.587812305843308</v>
      </c>
      <c r="T24" s="199">
        <v>-10.078038139098611</v>
      </c>
      <c r="U24" s="192">
        <v>-26.67047240531555</v>
      </c>
      <c r="V24" s="198">
        <v>-29.48517203249369</v>
      </c>
      <c r="W24" s="199">
        <v>-21.610557042934651</v>
      </c>
      <c r="X24" s="192">
        <v>-12.012281462405728</v>
      </c>
      <c r="Y24" s="198">
        <v>-4.8003776719393372</v>
      </c>
      <c r="Z24" s="199">
        <v>-25.862649385625314</v>
      </c>
      <c r="AA24" s="192">
        <v>-30.364406076201544</v>
      </c>
      <c r="AB24" s="198">
        <v>-31.633338128806376</v>
      </c>
      <c r="AC24" s="199">
        <v>-28.046464627503976</v>
      </c>
      <c r="AD24" s="192">
        <v>-21.70626682308362</v>
      </c>
      <c r="AE24" s="198">
        <v>-21.576424678161644</v>
      </c>
      <c r="AF24" s="199">
        <v>-21.827957701685552</v>
      </c>
      <c r="AG24" s="192">
        <v>-12.511964006678877</v>
      </c>
      <c r="AH24" s="198">
        <v>-21.07089737233515</v>
      </c>
      <c r="AI24" s="199">
        <v>-4.6396845479459543</v>
      </c>
      <c r="AJ24" s="192">
        <v>-15.822658856775174</v>
      </c>
      <c r="AK24" s="198">
        <v>-17.682290454886928</v>
      </c>
      <c r="AL24" s="199">
        <v>-13.970807268394413</v>
      </c>
      <c r="AM24" s="192">
        <v>-19.691410292595723</v>
      </c>
      <c r="AN24" s="198">
        <v>-23.326587795765874</v>
      </c>
      <c r="AO24" s="199">
        <v>-14.137931034482754</v>
      </c>
    </row>
    <row r="25" spans="1:41" s="95" customFormat="1" ht="18" customHeight="1" x14ac:dyDescent="0.3">
      <c r="A25" s="108"/>
      <c r="B25" s="96" t="s">
        <v>10</v>
      </c>
      <c r="C25" s="131">
        <v>-20.774757904536965</v>
      </c>
      <c r="D25" s="98">
        <v>-25.174184250794816</v>
      </c>
      <c r="E25" s="98">
        <v>-13.751407983744734</v>
      </c>
      <c r="F25" s="97">
        <v>-40.993542037451704</v>
      </c>
      <c r="G25" s="98">
        <v>-38.735658169897704</v>
      </c>
      <c r="H25" s="99">
        <v>-46.111738148984202</v>
      </c>
      <c r="I25" s="97">
        <v>-20.192551717620145</v>
      </c>
      <c r="J25" s="98">
        <v>-22.366462847279521</v>
      </c>
      <c r="K25" s="99">
        <v>-16.181149378037397</v>
      </c>
      <c r="L25" s="97">
        <v>-12.294132287438108</v>
      </c>
      <c r="M25" s="98">
        <v>-14.127343923903425</v>
      </c>
      <c r="N25" s="99">
        <v>-10.076166777932871</v>
      </c>
      <c r="O25" s="97">
        <v>-10.177370511993722</v>
      </c>
      <c r="P25" s="98">
        <v>-25.13978856238608</v>
      </c>
      <c r="Q25" s="99">
        <v>12.885388884109128</v>
      </c>
      <c r="R25" s="97">
        <v>-10.405272325656611</v>
      </c>
      <c r="S25" s="98">
        <v>-25.03848355702565</v>
      </c>
      <c r="T25" s="99">
        <v>-2.7990486518894464</v>
      </c>
      <c r="U25" s="97">
        <v>-21.423638334482209</v>
      </c>
      <c r="V25" s="98">
        <v>-26.458874722023818</v>
      </c>
      <c r="W25" s="99">
        <v>-12.104279212974378</v>
      </c>
      <c r="X25" s="97">
        <v>-6.0679802821874347</v>
      </c>
      <c r="Y25" s="98">
        <v>-2.2466256156142284</v>
      </c>
      <c r="Z25" s="99">
        <v>-13.895984003907969</v>
      </c>
      <c r="AA25" s="97">
        <v>-26.088258728214896</v>
      </c>
      <c r="AB25" s="98">
        <v>-29.011731637898073</v>
      </c>
      <c r="AC25" s="99">
        <v>-20.578748102807008</v>
      </c>
      <c r="AD25" s="97">
        <v>-15.604176955174342</v>
      </c>
      <c r="AE25" s="98">
        <v>-18.955587772557646</v>
      </c>
      <c r="AF25" s="99">
        <v>-12.35250776460466</v>
      </c>
      <c r="AG25" s="97">
        <v>-7.4327315420740669</v>
      </c>
      <c r="AH25" s="98">
        <v>-17.125064607263106</v>
      </c>
      <c r="AI25" s="99">
        <v>1.4942204680011395</v>
      </c>
      <c r="AJ25" s="97">
        <v>-10.266426661251604</v>
      </c>
      <c r="AK25" s="98">
        <v>-13.21295322903142</v>
      </c>
      <c r="AL25" s="99">
        <v>-7.3091510930280545</v>
      </c>
      <c r="AM25" s="97">
        <v>-14.775790247488363</v>
      </c>
      <c r="AN25" s="98">
        <v>-21.260217443060071</v>
      </c>
      <c r="AO25" s="99">
        <v>-4.3054843669912852</v>
      </c>
    </row>
    <row r="26" spans="1:41" ht="15.75" customHeight="1" x14ac:dyDescent="0.3">
      <c r="A26" s="360"/>
      <c r="B26" s="401" t="s">
        <v>11</v>
      </c>
      <c r="C26" s="405">
        <v>-15.576368352297255</v>
      </c>
      <c r="D26" s="403">
        <v>-22.067130439457372</v>
      </c>
      <c r="E26" s="403">
        <v>-4.9353479300296321</v>
      </c>
      <c r="F26" s="402">
        <v>-36.689015426191652</v>
      </c>
      <c r="G26" s="403">
        <v>-35.922737873708556</v>
      </c>
      <c r="H26" s="404">
        <v>-38.511888523854878</v>
      </c>
      <c r="I26" s="402">
        <v>-14.974248604748997</v>
      </c>
      <c r="J26" s="403">
        <v>-20.099618018238385</v>
      </c>
      <c r="K26" s="404">
        <v>-5.1140235574256394</v>
      </c>
      <c r="L26" s="402">
        <v>-8.6103948336158744</v>
      </c>
      <c r="M26" s="403">
        <v>-12.303239800024546</v>
      </c>
      <c r="N26" s="404">
        <v>-4.0188588145076647</v>
      </c>
      <c r="O26" s="402">
        <v>-4.1960061361310474</v>
      </c>
      <c r="P26" s="403">
        <v>-21.702355545559271</v>
      </c>
      <c r="Q26" s="404">
        <v>23.141730215959377</v>
      </c>
      <c r="R26" s="402">
        <v>-5.1942406586237277</v>
      </c>
      <c r="S26" s="403">
        <v>-20.978890962091391</v>
      </c>
      <c r="T26" s="404">
        <v>2.9506257016801873</v>
      </c>
      <c r="U26" s="402">
        <v>-15.717331761426257</v>
      </c>
      <c r="V26" s="403">
        <v>-22.890753483544067</v>
      </c>
      <c r="W26" s="404">
        <v>-2.0930943114597644</v>
      </c>
      <c r="X26" s="402">
        <v>-0.74327427086599007</v>
      </c>
      <c r="Y26" s="403">
        <v>0.58348635146641126</v>
      </c>
      <c r="Z26" s="404">
        <v>-3.5938939508148415</v>
      </c>
      <c r="AA26" s="402">
        <v>-21.348426006084143</v>
      </c>
      <c r="AB26" s="403">
        <v>-25.893441645960735</v>
      </c>
      <c r="AC26" s="404">
        <v>-12.550890382028356</v>
      </c>
      <c r="AD26" s="402">
        <v>-8.3639750759627809</v>
      </c>
      <c r="AE26" s="403">
        <v>-14.289203712750375</v>
      </c>
      <c r="AF26" s="404">
        <v>-2.4449299517996126</v>
      </c>
      <c r="AG26" s="402">
        <v>-3.4689824466182517</v>
      </c>
      <c r="AH26" s="403">
        <v>-11.882346243226305</v>
      </c>
      <c r="AI26" s="404">
        <v>4.1942448756387751</v>
      </c>
      <c r="AJ26" s="402">
        <v>-4.4130969789920478</v>
      </c>
      <c r="AK26" s="403">
        <v>-7.5733926318715339</v>
      </c>
      <c r="AL26" s="404">
        <v>-1.2472958597202655</v>
      </c>
      <c r="AM26" s="402">
        <v>-10.20553520553521</v>
      </c>
      <c r="AN26" s="403">
        <v>-17.971486761710796</v>
      </c>
      <c r="AO26" s="404">
        <v>2.7096599376778219</v>
      </c>
    </row>
    <row r="27" spans="1:41" s="109" customFormat="1" ht="15" customHeight="1" x14ac:dyDescent="0.3">
      <c r="A27" s="108"/>
      <c r="F27" s="110"/>
      <c r="G27" s="110"/>
      <c r="H27" s="110"/>
      <c r="AO27" s="111"/>
    </row>
    <row r="28" spans="1:41" s="109" customFormat="1" x14ac:dyDescent="0.3">
      <c r="A28" s="108"/>
      <c r="B28" s="109" t="s">
        <v>84</v>
      </c>
      <c r="C28" s="140"/>
      <c r="D28" s="140"/>
      <c r="E28" s="140"/>
      <c r="F28" s="140"/>
      <c r="G28" s="140"/>
      <c r="H28" s="141"/>
      <c r="I28" s="140"/>
      <c r="J28" s="140"/>
      <c r="K28" s="140"/>
      <c r="L28" s="140"/>
      <c r="M28" s="140"/>
      <c r="N28" s="140"/>
      <c r="AO28" s="111"/>
    </row>
    <row r="29" spans="1:41" s="117" customFormat="1" ht="33" x14ac:dyDescent="0.3">
      <c r="A29" s="116"/>
      <c r="B29" s="112" t="s">
        <v>17</v>
      </c>
      <c r="C29" s="140"/>
      <c r="D29" s="140"/>
      <c r="E29" s="140"/>
      <c r="F29" s="140"/>
      <c r="G29" s="140"/>
      <c r="H29" s="140"/>
      <c r="I29" s="140"/>
      <c r="J29" s="140"/>
      <c r="K29" s="140"/>
      <c r="L29" s="140"/>
      <c r="M29" s="140"/>
      <c r="N29" s="140"/>
      <c r="O29" s="112"/>
      <c r="P29" s="112"/>
      <c r="Q29" s="112"/>
      <c r="R29" s="112"/>
      <c r="S29" s="112"/>
      <c r="T29" s="112"/>
      <c r="U29" s="112"/>
      <c r="V29" s="112"/>
      <c r="W29" s="112"/>
      <c r="X29" s="112"/>
      <c r="Y29" s="112"/>
      <c r="Z29" s="112"/>
      <c r="AA29" s="112"/>
      <c r="AB29" s="322"/>
      <c r="AC29" s="322"/>
      <c r="AO29" s="118"/>
    </row>
    <row r="30" spans="1:41" s="117" customFormat="1" x14ac:dyDescent="0.3">
      <c r="A30" s="116"/>
      <c r="B30" s="423" t="s">
        <v>73</v>
      </c>
      <c r="C30" s="424"/>
      <c r="D30" s="424"/>
      <c r="E30" s="424"/>
      <c r="F30" s="424"/>
      <c r="G30" s="424"/>
      <c r="H30" s="424"/>
      <c r="I30" s="424"/>
      <c r="J30" s="424"/>
      <c r="K30" s="424"/>
      <c r="L30" s="140"/>
      <c r="M30" s="140"/>
      <c r="N30" s="140"/>
      <c r="O30" s="112"/>
      <c r="P30" s="112"/>
      <c r="Q30" s="112"/>
      <c r="R30" s="112"/>
      <c r="S30" s="112"/>
      <c r="T30" s="112"/>
      <c r="U30" s="112"/>
      <c r="V30" s="112"/>
      <c r="W30" s="112"/>
      <c r="X30" s="112"/>
      <c r="Y30" s="112"/>
      <c r="Z30" s="112"/>
      <c r="AA30" s="112"/>
      <c r="AB30" s="322"/>
      <c r="AC30" s="322"/>
      <c r="AO30" s="118"/>
    </row>
    <row r="31" spans="1:41" s="117" customFormat="1" x14ac:dyDescent="0.3">
      <c r="A31" s="116"/>
      <c r="B31" s="424"/>
      <c r="C31" s="424"/>
      <c r="D31" s="424"/>
      <c r="E31" s="424"/>
      <c r="F31" s="424"/>
      <c r="G31" s="424"/>
      <c r="H31" s="424"/>
      <c r="I31" s="424"/>
      <c r="J31" s="424"/>
      <c r="K31" s="424"/>
      <c r="L31" s="140"/>
      <c r="M31" s="140"/>
      <c r="N31" s="140"/>
      <c r="O31" s="112"/>
      <c r="P31" s="112"/>
      <c r="Q31" s="112"/>
      <c r="R31" s="112"/>
      <c r="S31" s="112"/>
      <c r="T31" s="112"/>
      <c r="U31" s="112"/>
      <c r="V31" s="112"/>
      <c r="W31" s="112"/>
      <c r="X31" s="112"/>
      <c r="Y31" s="112"/>
      <c r="Z31" s="112"/>
      <c r="AA31" s="112"/>
      <c r="AB31" s="322"/>
      <c r="AC31" s="322"/>
      <c r="AO31" s="118"/>
    </row>
    <row r="32" spans="1:41" s="117" customFormat="1" x14ac:dyDescent="0.3">
      <c r="A32" s="116"/>
      <c r="B32" s="424"/>
      <c r="C32" s="424"/>
      <c r="D32" s="424"/>
      <c r="E32" s="424"/>
      <c r="F32" s="424"/>
      <c r="G32" s="424"/>
      <c r="H32" s="424"/>
      <c r="I32" s="424"/>
      <c r="J32" s="424"/>
      <c r="K32" s="424"/>
      <c r="L32" s="140"/>
      <c r="M32" s="140"/>
      <c r="N32" s="140"/>
      <c r="O32" s="112"/>
      <c r="P32" s="112"/>
      <c r="Q32" s="112"/>
      <c r="R32" s="112"/>
      <c r="S32" s="112"/>
      <c r="T32" s="112"/>
      <c r="U32" s="112"/>
      <c r="V32" s="112"/>
      <c r="W32" s="112"/>
      <c r="X32" s="112"/>
      <c r="Y32" s="112"/>
      <c r="Z32" s="112"/>
      <c r="AA32" s="112"/>
      <c r="AB32" s="322"/>
      <c r="AC32" s="322"/>
      <c r="AO32" s="118"/>
    </row>
    <row r="33" spans="1:41" s="117" customFormat="1" ht="27" customHeight="1" x14ac:dyDescent="0.3">
      <c r="A33" s="116"/>
      <c r="B33" s="424"/>
      <c r="C33" s="424"/>
      <c r="D33" s="424"/>
      <c r="E33" s="424"/>
      <c r="F33" s="424"/>
      <c r="G33" s="424"/>
      <c r="H33" s="424"/>
      <c r="I33" s="424"/>
      <c r="J33" s="424"/>
      <c r="K33" s="424"/>
      <c r="L33" s="140"/>
      <c r="M33" s="140"/>
      <c r="N33" s="140"/>
      <c r="O33" s="112"/>
      <c r="P33" s="112"/>
      <c r="Q33" s="112"/>
      <c r="R33" s="112"/>
      <c r="S33" s="112"/>
      <c r="T33" s="112"/>
      <c r="U33" s="112"/>
      <c r="V33" s="112"/>
      <c r="W33" s="112"/>
      <c r="X33" s="112"/>
      <c r="Y33" s="112"/>
      <c r="Z33" s="112"/>
      <c r="AA33" s="112"/>
      <c r="AB33" s="322"/>
      <c r="AC33" s="322"/>
      <c r="AO33" s="118"/>
    </row>
    <row r="34" spans="1:41" s="120" customFormat="1" ht="16.5" customHeight="1" x14ac:dyDescent="0.3">
      <c r="A34" s="119"/>
      <c r="B34" s="122" t="s">
        <v>74</v>
      </c>
      <c r="C34" s="122"/>
      <c r="D34" s="122"/>
      <c r="E34" s="122"/>
      <c r="F34" s="122"/>
      <c r="G34" s="122"/>
      <c r="H34" s="122"/>
      <c r="I34" s="122"/>
      <c r="J34" s="122"/>
      <c r="K34" s="122"/>
      <c r="L34" s="122"/>
      <c r="M34" s="122"/>
      <c r="N34" s="122"/>
      <c r="AO34" s="121"/>
    </row>
    <row r="35" spans="1:41" ht="15" customHeight="1" x14ac:dyDescent="0.3">
      <c r="A35" s="123"/>
      <c r="B35" s="124" t="str">
        <f>'1.1 V.A Ing.real'!B45</f>
        <v>Actualizado el 15 de diciembre de 2021</v>
      </c>
      <c r="C35" s="124"/>
      <c r="D35" s="124"/>
      <c r="E35" s="124"/>
      <c r="F35" s="124"/>
      <c r="G35" s="124"/>
      <c r="H35" s="124"/>
      <c r="I35" s="124"/>
      <c r="J35" s="124"/>
      <c r="K35" s="143"/>
      <c r="L35" s="143"/>
      <c r="M35" s="83"/>
      <c r="N35" s="83"/>
      <c r="O35" s="124"/>
      <c r="P35" s="124"/>
      <c r="Q35" s="124"/>
      <c r="R35" s="124"/>
      <c r="S35" s="124"/>
      <c r="T35" s="124"/>
      <c r="U35" s="124"/>
      <c r="V35" s="124"/>
      <c r="W35" s="124"/>
      <c r="X35" s="124"/>
      <c r="Y35" s="144"/>
      <c r="Z35" s="144"/>
      <c r="AO35" s="102"/>
    </row>
    <row r="36" spans="1:41" s="83" customFormat="1" x14ac:dyDescent="0.3">
      <c r="A36" s="125"/>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7"/>
    </row>
  </sheetData>
  <mergeCells count="17">
    <mergeCell ref="A7:J8"/>
    <mergeCell ref="A14:A15"/>
    <mergeCell ref="B14:B15"/>
    <mergeCell ref="C14:E14"/>
    <mergeCell ref="F14:H14"/>
    <mergeCell ref="I14:K14"/>
    <mergeCell ref="AD14:AF14"/>
    <mergeCell ref="AG14:AI14"/>
    <mergeCell ref="AJ14:AL14"/>
    <mergeCell ref="AM14:AO14"/>
    <mergeCell ref="B30:K33"/>
    <mergeCell ref="X14:Z14"/>
    <mergeCell ref="AA14:AC14"/>
    <mergeCell ref="L14:N14"/>
    <mergeCell ref="O14:Q14"/>
    <mergeCell ref="R14:T14"/>
    <mergeCell ref="U14:W14"/>
  </mergeCells>
  <hyperlinks>
    <hyperlink ref="L4" location="Contenido!A1" display="Inicio" xr:uid="{00000000-0004-0000-06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42"/>
  <sheetViews>
    <sheetView showGridLines="0" zoomScale="80" zoomScaleNormal="80" zoomScaleSheetLayoutView="90" workbookViewId="0">
      <selection activeCell="A7" sqref="A7:M8"/>
    </sheetView>
  </sheetViews>
  <sheetFormatPr baseColWidth="10" defaultColWidth="11.42578125" defaultRowHeight="16.5" x14ac:dyDescent="0.3"/>
  <cols>
    <col min="1" max="1" width="8.42578125" style="100" customWidth="1"/>
    <col min="2" max="2" width="11.85546875" style="128" customWidth="1"/>
    <col min="3" max="3" width="15" style="128" customWidth="1"/>
    <col min="4" max="4" width="15.7109375" style="128" customWidth="1"/>
    <col min="5" max="5" width="14" style="128" customWidth="1"/>
    <col min="6" max="6" width="15.140625" style="128" bestFit="1" customWidth="1"/>
    <col min="7" max="7" width="11" style="128" customWidth="1"/>
    <col min="8" max="9" width="15.140625" style="128" bestFit="1" customWidth="1"/>
    <col min="10" max="10" width="17" style="128" customWidth="1"/>
    <col min="11" max="11" width="15.140625" style="128" bestFit="1" customWidth="1"/>
    <col min="12" max="12" width="16.85546875" style="100" customWidth="1"/>
    <col min="13" max="13" width="13.7109375" style="100" customWidth="1"/>
    <col min="14" max="14" width="21.28515625" style="100" customWidth="1"/>
    <col min="15" max="15" width="15.140625" style="100" bestFit="1" customWidth="1"/>
    <col min="16" max="16384" width="11.42578125" style="100"/>
  </cols>
  <sheetData>
    <row r="1" spans="1:15" s="83" customFormat="1" ht="12" customHeight="1" x14ac:dyDescent="0.3">
      <c r="A1" s="80"/>
      <c r="B1" s="81"/>
      <c r="C1" s="81"/>
      <c r="D1" s="81"/>
      <c r="E1" s="81"/>
      <c r="F1" s="81"/>
      <c r="G1" s="81"/>
      <c r="H1" s="81"/>
      <c r="I1" s="81"/>
      <c r="J1" s="81"/>
      <c r="K1" s="81"/>
      <c r="L1" s="81"/>
      <c r="M1" s="81"/>
      <c r="N1" s="81"/>
      <c r="O1" s="85"/>
    </row>
    <row r="2" spans="1:15" s="87" customFormat="1" x14ac:dyDescent="0.3">
      <c r="A2" s="84"/>
      <c r="B2" s="85"/>
      <c r="C2" s="85"/>
      <c r="D2" s="85"/>
      <c r="E2" s="85"/>
      <c r="F2" s="85"/>
      <c r="G2" s="85"/>
      <c r="H2" s="85"/>
      <c r="I2" s="85"/>
      <c r="J2" s="85"/>
      <c r="K2" s="85"/>
      <c r="L2" s="85"/>
      <c r="M2" s="85"/>
      <c r="N2" s="85"/>
      <c r="O2" s="85"/>
    </row>
    <row r="3" spans="1:15" s="87" customFormat="1" x14ac:dyDescent="0.3">
      <c r="A3" s="84"/>
      <c r="B3" s="85"/>
      <c r="C3" s="85"/>
      <c r="D3" s="85"/>
      <c r="F3" s="85"/>
      <c r="G3" s="85"/>
      <c r="H3" s="85"/>
      <c r="I3" s="85"/>
      <c r="J3" s="85"/>
      <c r="K3" s="85"/>
      <c r="L3" s="85"/>
      <c r="M3" s="85"/>
      <c r="N3" s="85"/>
      <c r="O3" s="224" t="s">
        <v>0</v>
      </c>
    </row>
    <row r="4" spans="1:15" s="87" customFormat="1" x14ac:dyDescent="0.3">
      <c r="A4" s="84"/>
      <c r="B4" s="85"/>
      <c r="C4" s="85"/>
      <c r="D4" s="85"/>
      <c r="E4" s="85"/>
      <c r="F4" s="85"/>
      <c r="G4" s="85"/>
      <c r="H4" s="85"/>
      <c r="J4" s="85"/>
      <c r="K4" s="85"/>
      <c r="L4" s="85"/>
      <c r="M4" s="85"/>
      <c r="N4" s="85"/>
      <c r="O4" s="85"/>
    </row>
    <row r="5" spans="1:15" s="87" customFormat="1" x14ac:dyDescent="0.3">
      <c r="A5" s="84"/>
      <c r="B5" s="85"/>
      <c r="C5" s="85"/>
      <c r="D5" s="85"/>
      <c r="E5" s="85"/>
      <c r="F5" s="85"/>
      <c r="G5" s="85"/>
      <c r="H5" s="85"/>
      <c r="I5" s="85"/>
      <c r="J5" s="85"/>
      <c r="K5" s="85"/>
      <c r="L5" s="85"/>
      <c r="M5" s="85"/>
      <c r="N5" s="85"/>
      <c r="O5" s="85"/>
    </row>
    <row r="6" spans="1:15" s="87" customFormat="1" x14ac:dyDescent="0.3">
      <c r="A6" s="84"/>
      <c r="B6" s="85"/>
      <c r="C6" s="85"/>
      <c r="D6" s="85"/>
      <c r="E6" s="85"/>
      <c r="F6" s="85"/>
      <c r="G6" s="85"/>
      <c r="H6" s="85"/>
      <c r="I6" s="85"/>
      <c r="J6" s="85"/>
      <c r="K6" s="85"/>
      <c r="L6" s="85"/>
      <c r="M6" s="85"/>
      <c r="N6" s="85"/>
      <c r="O6" s="85"/>
    </row>
    <row r="7" spans="1:15" s="87" customFormat="1" ht="15" customHeight="1" x14ac:dyDescent="0.3">
      <c r="A7" s="421" t="s">
        <v>4</v>
      </c>
      <c r="B7" s="421"/>
      <c r="C7" s="421"/>
      <c r="D7" s="421"/>
      <c r="E7" s="421"/>
      <c r="F7" s="421"/>
      <c r="G7" s="421"/>
      <c r="H7" s="421"/>
      <c r="I7" s="421"/>
      <c r="J7" s="421"/>
      <c r="K7" s="421"/>
      <c r="L7" s="421"/>
      <c r="M7" s="421"/>
      <c r="N7" s="197"/>
      <c r="O7" s="129"/>
    </row>
    <row r="8" spans="1:15" s="87" customFormat="1" ht="15" customHeight="1" x14ac:dyDescent="0.3">
      <c r="A8" s="421"/>
      <c r="B8" s="421"/>
      <c r="C8" s="421"/>
      <c r="D8" s="421"/>
      <c r="E8" s="421"/>
      <c r="F8" s="421"/>
      <c r="G8" s="421"/>
      <c r="H8" s="421"/>
      <c r="I8" s="421"/>
      <c r="J8" s="421"/>
      <c r="K8" s="421"/>
      <c r="L8" s="421"/>
      <c r="M8" s="421"/>
      <c r="N8" s="197"/>
      <c r="O8" s="129"/>
    </row>
    <row r="9" spans="1:15" s="89" customFormat="1" ht="15" customHeight="1" x14ac:dyDescent="0.3">
      <c r="A9" s="215"/>
      <c r="B9" s="216"/>
      <c r="C9" s="216"/>
      <c r="D9" s="216"/>
      <c r="E9" s="216"/>
      <c r="F9" s="216"/>
      <c r="G9" s="216"/>
      <c r="H9" s="216"/>
      <c r="I9" s="216"/>
      <c r="J9" s="216"/>
      <c r="K9" s="216"/>
      <c r="L9" s="216"/>
      <c r="M9" s="216"/>
      <c r="N9" s="129"/>
      <c r="O9" s="129"/>
    </row>
    <row r="10" spans="1:15" s="83" customFormat="1" ht="18" customHeight="1" x14ac:dyDescent="0.3">
      <c r="A10" s="90" t="s">
        <v>117</v>
      </c>
      <c r="B10" s="164"/>
      <c r="C10" s="164"/>
      <c r="D10" s="164"/>
      <c r="E10" s="164"/>
      <c r="F10" s="164"/>
      <c r="G10" s="164"/>
      <c r="H10" s="164"/>
      <c r="I10" s="164"/>
      <c r="J10" s="164"/>
      <c r="K10" s="164"/>
      <c r="L10" s="164"/>
      <c r="M10" s="164"/>
      <c r="N10" s="137"/>
      <c r="O10" s="226"/>
    </row>
    <row r="11" spans="1:15" s="83" customFormat="1" ht="18" customHeight="1" x14ac:dyDescent="0.3">
      <c r="A11" s="90" t="s">
        <v>77</v>
      </c>
      <c r="B11" s="164"/>
      <c r="C11" s="164"/>
      <c r="D11" s="164"/>
      <c r="E11" s="164"/>
      <c r="F11" s="164"/>
      <c r="G11" s="164"/>
      <c r="H11" s="164"/>
      <c r="I11" s="164"/>
      <c r="J11" s="164"/>
      <c r="K11" s="164"/>
      <c r="L11" s="164"/>
      <c r="M11" s="164"/>
      <c r="N11" s="137"/>
      <c r="O11" s="226"/>
    </row>
    <row r="12" spans="1:15" s="83" customFormat="1" ht="18" customHeight="1" x14ac:dyDescent="0.3">
      <c r="A12" s="90" t="str">
        <f>'1.1 V.A Ing.real'!A12</f>
        <v>Enero 2020 - octubre 2021</v>
      </c>
      <c r="B12" s="91"/>
      <c r="C12" s="91"/>
      <c r="D12" s="91"/>
      <c r="E12" s="91"/>
      <c r="F12" s="91"/>
      <c r="G12" s="91"/>
      <c r="H12" s="91"/>
      <c r="I12" s="91"/>
      <c r="J12" s="91"/>
      <c r="K12" s="91"/>
      <c r="L12" s="91"/>
      <c r="M12" s="91"/>
      <c r="N12" s="226"/>
      <c r="O12" s="226"/>
    </row>
    <row r="13" spans="1:15" s="83" customFormat="1" ht="18" customHeight="1" x14ac:dyDescent="0.3">
      <c r="A13" s="218"/>
      <c r="B13" s="219"/>
      <c r="C13" s="219"/>
      <c r="D13" s="219"/>
      <c r="E13" s="219"/>
      <c r="F13" s="219"/>
      <c r="G13" s="219"/>
      <c r="H13" s="220"/>
      <c r="I13" s="220"/>
      <c r="J13" s="220"/>
      <c r="K13" s="220"/>
      <c r="L13" s="221"/>
      <c r="M13" s="221"/>
      <c r="N13" s="93"/>
      <c r="O13" s="93"/>
    </row>
    <row r="14" spans="1:15" s="95" customFormat="1" ht="51" customHeight="1" x14ac:dyDescent="0.3">
      <c r="A14" s="265" t="s">
        <v>25</v>
      </c>
      <c r="B14" s="266" t="s">
        <v>26</v>
      </c>
      <c r="C14" s="262" t="s">
        <v>59</v>
      </c>
      <c r="D14" s="262" t="s">
        <v>5</v>
      </c>
      <c r="E14" s="262" t="s">
        <v>6</v>
      </c>
      <c r="F14" s="262" t="s">
        <v>20</v>
      </c>
      <c r="G14" s="262" t="s">
        <v>21</v>
      </c>
      <c r="H14" s="262" t="s">
        <v>22</v>
      </c>
      <c r="I14" s="262" t="s">
        <v>3</v>
      </c>
      <c r="J14" s="262" t="s">
        <v>7</v>
      </c>
      <c r="K14" s="262" t="s">
        <v>41</v>
      </c>
      <c r="L14" s="262" t="s">
        <v>38</v>
      </c>
      <c r="M14" s="262" t="s">
        <v>42</v>
      </c>
      <c r="N14" s="262" t="s">
        <v>23</v>
      </c>
      <c r="O14" s="376" t="s">
        <v>158</v>
      </c>
    </row>
    <row r="15" spans="1:15" ht="15.75" customHeight="1" x14ac:dyDescent="0.3">
      <c r="A15" s="269" t="s">
        <v>52</v>
      </c>
      <c r="B15" s="270" t="s">
        <v>54</v>
      </c>
      <c r="C15" s="271">
        <v>2.4118128919897064</v>
      </c>
      <c r="D15" s="272">
        <v>4.1900928129714687</v>
      </c>
      <c r="E15" s="272">
        <v>0.66011114478778943</v>
      </c>
      <c r="F15" s="272">
        <v>2.1534003915518518</v>
      </c>
      <c r="G15" s="272">
        <v>1.1936767478122112</v>
      </c>
      <c r="H15" s="272">
        <v>5.2961596055616011</v>
      </c>
      <c r="I15" s="272">
        <v>4.0671728483268943</v>
      </c>
      <c r="J15" s="272">
        <v>3.4091138814219768</v>
      </c>
      <c r="K15" s="272">
        <v>0.94197683955437039</v>
      </c>
      <c r="L15" s="272">
        <v>-0.16992225085412649</v>
      </c>
      <c r="M15" s="272">
        <v>2.5284915203305447</v>
      </c>
      <c r="N15" s="272">
        <v>2.9806048895501647</v>
      </c>
      <c r="O15" s="273">
        <v>-4.0945129508867861</v>
      </c>
    </row>
    <row r="16" spans="1:15" ht="15.75" customHeight="1" x14ac:dyDescent="0.3">
      <c r="A16" s="101"/>
      <c r="B16" s="102" t="s">
        <v>56</v>
      </c>
      <c r="C16" s="103">
        <v>1.7235125387821126</v>
      </c>
      <c r="D16" s="104">
        <v>3.4512459416110808</v>
      </c>
      <c r="E16" s="105">
        <v>-1.5156620656956221</v>
      </c>
      <c r="F16" s="105">
        <v>-1.1007848617046623</v>
      </c>
      <c r="G16" s="105">
        <v>4.4451728407269187</v>
      </c>
      <c r="H16" s="105">
        <v>3.6977233238974838</v>
      </c>
      <c r="I16" s="105">
        <v>1.9542966798223871</v>
      </c>
      <c r="J16" s="105">
        <v>2.4594224649651331</v>
      </c>
      <c r="K16" s="105">
        <v>3.3475223441089108</v>
      </c>
      <c r="L16" s="105">
        <v>-1.9871009356262181</v>
      </c>
      <c r="M16" s="105">
        <v>-6.4341728359518235E-2</v>
      </c>
      <c r="N16" s="105">
        <v>2.3312690741824627</v>
      </c>
      <c r="O16" s="106">
        <v>-6.3223892649018065</v>
      </c>
    </row>
    <row r="17" spans="1:15" ht="15.75" customHeight="1" x14ac:dyDescent="0.3">
      <c r="A17" s="101"/>
      <c r="B17" s="96" t="s">
        <v>65</v>
      </c>
      <c r="C17" s="97">
        <v>-6.3896802552807053</v>
      </c>
      <c r="D17" s="98">
        <v>-3.9696922242727584</v>
      </c>
      <c r="E17" s="98">
        <v>-11.094362577411843</v>
      </c>
      <c r="F17" s="98">
        <v>-7.7104929283566932</v>
      </c>
      <c r="G17" s="98">
        <v>-6.5959049627113959</v>
      </c>
      <c r="H17" s="98">
        <v>-11.201899722010955</v>
      </c>
      <c r="I17" s="98">
        <v>-5.9478796904641085</v>
      </c>
      <c r="J17" s="98">
        <v>-2.4083608476804796</v>
      </c>
      <c r="K17" s="98">
        <v>-5.3700487010201243</v>
      </c>
      <c r="L17" s="98">
        <v>-5.0857502241795967</v>
      </c>
      <c r="M17" s="98">
        <v>-5.5628984260218779</v>
      </c>
      <c r="N17" s="98">
        <v>-3.3977227934397058</v>
      </c>
      <c r="O17" s="99">
        <v>-3.4832589405513814</v>
      </c>
    </row>
    <row r="18" spans="1:15" s="109" customFormat="1" ht="15.75" customHeight="1" x14ac:dyDescent="0.3">
      <c r="A18" s="101"/>
      <c r="B18" s="102" t="s">
        <v>66</v>
      </c>
      <c r="C18" s="103">
        <v>-35.903745164968846</v>
      </c>
      <c r="D18" s="104">
        <v>-36.96368738836069</v>
      </c>
      <c r="E18" s="105">
        <v>-31.912269499145474</v>
      </c>
      <c r="F18" s="107">
        <v>-41.92671465544673</v>
      </c>
      <c r="G18" s="105">
        <v>-40.369689043118285</v>
      </c>
      <c r="H18" s="105">
        <v>-39.512380180211871</v>
      </c>
      <c r="I18" s="105">
        <v>-38.595133715516027</v>
      </c>
      <c r="J18" s="105">
        <v>-12.460965543138247</v>
      </c>
      <c r="K18" s="105">
        <v>-45.317379961095369</v>
      </c>
      <c r="L18" s="105">
        <v>-41.917008135014115</v>
      </c>
      <c r="M18" s="105">
        <v>-43.69272742457062</v>
      </c>
      <c r="N18" s="105">
        <v>-36.739321000047518</v>
      </c>
      <c r="O18" s="106">
        <v>-35.244369164868139</v>
      </c>
    </row>
    <row r="19" spans="1:15" ht="15.75" customHeight="1" x14ac:dyDescent="0.3">
      <c r="A19" s="101"/>
      <c r="B19" s="96" t="s">
        <v>15</v>
      </c>
      <c r="C19" s="97">
        <v>-36.495477509353094</v>
      </c>
      <c r="D19" s="98">
        <v>-41.349645606446018</v>
      </c>
      <c r="E19" s="98">
        <v>-40.615525990571463</v>
      </c>
      <c r="F19" s="98">
        <v>-30.667274018449131</v>
      </c>
      <c r="G19" s="98">
        <v>-31.908864194948382</v>
      </c>
      <c r="H19" s="98">
        <v>-31.038049345319727</v>
      </c>
      <c r="I19" s="98">
        <v>-35.405942129183209</v>
      </c>
      <c r="J19" s="98">
        <v>-12.835772514331435</v>
      </c>
      <c r="K19" s="98">
        <v>-45.778934489458564</v>
      </c>
      <c r="L19" s="98">
        <v>-47.753537387879689</v>
      </c>
      <c r="M19" s="98">
        <v>-35.193040209463824</v>
      </c>
      <c r="N19" s="98">
        <v>-47.63597710629184</v>
      </c>
      <c r="O19" s="99">
        <v>-51.354547181632014</v>
      </c>
    </row>
    <row r="20" spans="1:15" ht="15.75" customHeight="1" x14ac:dyDescent="0.3">
      <c r="A20" s="101"/>
      <c r="B20" s="111" t="s">
        <v>67</v>
      </c>
      <c r="C20" s="192">
        <v>-34.881175289760883</v>
      </c>
      <c r="D20" s="198">
        <v>-40.12443231643806</v>
      </c>
      <c r="E20" s="198">
        <v>-35.301999907555725</v>
      </c>
      <c r="F20" s="198">
        <v>-30.039132385000244</v>
      </c>
      <c r="G20" s="198">
        <v>-31.353596785834448</v>
      </c>
      <c r="H20" s="198">
        <v>-25.399985467677567</v>
      </c>
      <c r="I20" s="198">
        <v>-30.675572087914414</v>
      </c>
      <c r="J20" s="198">
        <v>-27.288731389683374</v>
      </c>
      <c r="K20" s="198">
        <v>-42.234359001331057</v>
      </c>
      <c r="L20" s="198">
        <v>-41.30615035021907</v>
      </c>
      <c r="M20" s="198">
        <v>-32.554966670609254</v>
      </c>
      <c r="N20" s="198">
        <v>-45.681896766101296</v>
      </c>
      <c r="O20" s="199">
        <v>-47.372118734730051</v>
      </c>
    </row>
    <row r="21" spans="1:15" ht="15.75" customHeight="1" x14ac:dyDescent="0.3">
      <c r="A21" s="101"/>
      <c r="B21" s="96" t="s">
        <v>87</v>
      </c>
      <c r="C21" s="97">
        <v>-36.539677407747547</v>
      </c>
      <c r="D21" s="98">
        <v>-42.647035935627073</v>
      </c>
      <c r="E21" s="98">
        <v>-37.753371532451439</v>
      </c>
      <c r="F21" s="98">
        <v>-31.329589245838928</v>
      </c>
      <c r="G21" s="98">
        <v>-35.506036393076123</v>
      </c>
      <c r="H21" s="98">
        <v>-27.598260474526871</v>
      </c>
      <c r="I21" s="98">
        <v>-26.297238079783224</v>
      </c>
      <c r="J21" s="98">
        <v>-37.994435684585618</v>
      </c>
      <c r="K21" s="98">
        <v>-39.036966670205089</v>
      </c>
      <c r="L21" s="98">
        <v>-36.283818649242015</v>
      </c>
      <c r="M21" s="98">
        <v>-20.267332481208722</v>
      </c>
      <c r="N21" s="98">
        <v>-40.638746602635855</v>
      </c>
      <c r="O21" s="99">
        <v>-44.657304280371548</v>
      </c>
    </row>
    <row r="22" spans="1:15" ht="15.75" customHeight="1" x14ac:dyDescent="0.3">
      <c r="A22" s="101"/>
      <c r="B22" s="111" t="s">
        <v>9</v>
      </c>
      <c r="C22" s="192">
        <v>-36.533794914931484</v>
      </c>
      <c r="D22" s="198">
        <v>-42.342023058422299</v>
      </c>
      <c r="E22" s="198">
        <v>-43.180599792906982</v>
      </c>
      <c r="F22" s="198">
        <v>-27.570894335001316</v>
      </c>
      <c r="G22" s="198">
        <v>-34.481505209460487</v>
      </c>
      <c r="H22" s="198">
        <v>-19.764409621320201</v>
      </c>
      <c r="I22" s="198">
        <v>-31.129912408783646</v>
      </c>
      <c r="J22" s="198">
        <v>-39.189913540888973</v>
      </c>
      <c r="K22" s="198">
        <v>-30.498248122429761</v>
      </c>
      <c r="L22" s="198">
        <v>-34.705760272702356</v>
      </c>
      <c r="M22" s="198">
        <v>-16.173264608148983</v>
      </c>
      <c r="N22" s="198">
        <v>-34.051846599102973</v>
      </c>
      <c r="O22" s="199">
        <v>-42.568424381051088</v>
      </c>
    </row>
    <row r="23" spans="1:15" ht="15.75" customHeight="1" x14ac:dyDescent="0.3">
      <c r="A23" s="101"/>
      <c r="B23" s="96" t="s">
        <v>10</v>
      </c>
      <c r="C23" s="97">
        <v>-29.850556137471052</v>
      </c>
      <c r="D23" s="98">
        <v>-37.612441914012287</v>
      </c>
      <c r="E23" s="98">
        <v>-38.333736158055402</v>
      </c>
      <c r="F23" s="98">
        <v>-20.759136517332855</v>
      </c>
      <c r="G23" s="98">
        <v>-19.236931295696746</v>
      </c>
      <c r="H23" s="98">
        <v>-12.120875218216154</v>
      </c>
      <c r="I23" s="98">
        <v>-22.489542384648185</v>
      </c>
      <c r="J23" s="98">
        <v>-37.709128398397255</v>
      </c>
      <c r="K23" s="98">
        <v>-24.821378726977116</v>
      </c>
      <c r="L23" s="98">
        <v>-27.778403954788999</v>
      </c>
      <c r="M23" s="98">
        <v>-9.2175623638878772</v>
      </c>
      <c r="N23" s="98">
        <v>-24.835200724618524</v>
      </c>
      <c r="O23" s="99">
        <v>-35.084812589839174</v>
      </c>
    </row>
    <row r="24" spans="1:15" ht="15.75" customHeight="1" x14ac:dyDescent="0.3">
      <c r="A24" s="101"/>
      <c r="B24" s="111" t="s">
        <v>11</v>
      </c>
      <c r="C24" s="192">
        <v>-20.565246676285177</v>
      </c>
      <c r="D24" s="198">
        <v>-31.515256579420349</v>
      </c>
      <c r="E24" s="198">
        <v>-26.065123141723667</v>
      </c>
      <c r="F24" s="198">
        <v>-12.578307089431483</v>
      </c>
      <c r="G24" s="198">
        <v>-7.3421733673716849</v>
      </c>
      <c r="H24" s="198">
        <v>-4.6931865258406198</v>
      </c>
      <c r="I24" s="198">
        <v>-17.828471543393142</v>
      </c>
      <c r="J24" s="198">
        <v>-19.220533284045928</v>
      </c>
      <c r="K24" s="198">
        <v>-19.04523470165239</v>
      </c>
      <c r="L24" s="198">
        <v>-15.482566893495841</v>
      </c>
      <c r="M24" s="198">
        <v>-1.8095744697366967</v>
      </c>
      <c r="N24" s="198">
        <v>-13.643958139699031</v>
      </c>
      <c r="O24" s="199">
        <v>-37.935862081545359</v>
      </c>
    </row>
    <row r="25" spans="1:15" ht="15.75" customHeight="1" x14ac:dyDescent="0.3">
      <c r="A25" s="101"/>
      <c r="B25" s="96" t="s">
        <v>12</v>
      </c>
      <c r="C25" s="97">
        <v>-14.896876563397576</v>
      </c>
      <c r="D25" s="98">
        <v>-21.284183529356383</v>
      </c>
      <c r="E25" s="98">
        <v>-18.475609240582614</v>
      </c>
      <c r="F25" s="98">
        <v>-4.8966727365281066</v>
      </c>
      <c r="G25" s="98">
        <v>-0.41543489910093045</v>
      </c>
      <c r="H25" s="98">
        <v>-3.4899430842927015</v>
      </c>
      <c r="I25" s="98">
        <v>-15.683220407986964</v>
      </c>
      <c r="J25" s="98">
        <v>-21.841296275019406</v>
      </c>
      <c r="K25" s="98">
        <v>-13.897151376396577</v>
      </c>
      <c r="L25" s="98">
        <v>-13.54574612252949</v>
      </c>
      <c r="M25" s="98">
        <v>-4.9624415645029067</v>
      </c>
      <c r="N25" s="98">
        <v>-7.1286523312628862</v>
      </c>
      <c r="O25" s="99">
        <v>-35.321311118939668</v>
      </c>
    </row>
    <row r="26" spans="1:15" ht="15.75" customHeight="1" x14ac:dyDescent="0.3">
      <c r="A26" s="101"/>
      <c r="B26" s="111" t="s">
        <v>13</v>
      </c>
      <c r="C26" s="192">
        <v>-11.333386211203644</v>
      </c>
      <c r="D26" s="198">
        <v>-12.23979049131707</v>
      </c>
      <c r="E26" s="198">
        <v>-14.072091068740223</v>
      </c>
      <c r="F26" s="198">
        <v>-4.3081474448226409</v>
      </c>
      <c r="G26" s="198">
        <v>-8.0135643859211676</v>
      </c>
      <c r="H26" s="198">
        <v>-2.2976809094626405</v>
      </c>
      <c r="I26" s="198">
        <v>-12.697941563855441</v>
      </c>
      <c r="J26" s="198">
        <v>-8.8650963240575429</v>
      </c>
      <c r="K26" s="198">
        <v>-12.81827016041721</v>
      </c>
      <c r="L26" s="198">
        <v>-12.402303826420891</v>
      </c>
      <c r="M26" s="198">
        <v>-6.1001425809244942</v>
      </c>
      <c r="N26" s="198">
        <v>-6.2761515680649582</v>
      </c>
      <c r="O26" s="199">
        <v>-32.550226098222147</v>
      </c>
    </row>
    <row r="27" spans="1:15" ht="15.75" customHeight="1" x14ac:dyDescent="0.3">
      <c r="A27" s="156" t="s">
        <v>124</v>
      </c>
      <c r="B27" s="156" t="s">
        <v>54</v>
      </c>
      <c r="C27" s="97">
        <v>-5.9258877950219002</v>
      </c>
      <c r="D27" s="98">
        <v>-9.3469124765929053</v>
      </c>
      <c r="E27" s="98">
        <v>-9.2873924787988287</v>
      </c>
      <c r="F27" s="98">
        <v>-3.7007103333235869</v>
      </c>
      <c r="G27" s="98">
        <v>4.754444995307594</v>
      </c>
      <c r="H27" s="98">
        <v>-0.94657746315202074</v>
      </c>
      <c r="I27" s="98">
        <v>-4.7607441103604486</v>
      </c>
      <c r="J27" s="98">
        <v>-3.1746506467408286</v>
      </c>
      <c r="K27" s="98">
        <v>-8.1559710185865608</v>
      </c>
      <c r="L27" s="98">
        <v>-9.1285190164201673</v>
      </c>
      <c r="M27" s="98">
        <v>-6.0391799941568287</v>
      </c>
      <c r="N27" s="98">
        <v>-4.2417277380703666</v>
      </c>
      <c r="O27" s="99">
        <v>-22.406535223569712</v>
      </c>
    </row>
    <row r="28" spans="1:15" ht="15.75" customHeight="1" x14ac:dyDescent="0.3">
      <c r="A28" s="109"/>
      <c r="B28" s="109" t="s">
        <v>56</v>
      </c>
      <c r="C28" s="192">
        <v>-6.3929590970949963</v>
      </c>
      <c r="D28" s="198">
        <v>-8.6868055185059578</v>
      </c>
      <c r="E28" s="198">
        <v>-10.60412644900598</v>
      </c>
      <c r="F28" s="198">
        <v>-0.71844724155784023</v>
      </c>
      <c r="G28" s="198">
        <v>1.2112774719194919</v>
      </c>
      <c r="H28" s="198">
        <v>2.5615784420984111</v>
      </c>
      <c r="I28" s="198">
        <v>-3.7889360170692443</v>
      </c>
      <c r="J28" s="198">
        <v>-1.0135881377253186</v>
      </c>
      <c r="K28" s="198">
        <v>-7.4342543845075992</v>
      </c>
      <c r="L28" s="198">
        <v>-7.7214440327983631</v>
      </c>
      <c r="M28" s="198">
        <v>-2.8011121214047363</v>
      </c>
      <c r="N28" s="198">
        <v>-5.2784620538197764</v>
      </c>
      <c r="O28" s="199">
        <v>-27.674669552727206</v>
      </c>
    </row>
    <row r="29" spans="1:15" ht="15.75" customHeight="1" x14ac:dyDescent="0.3">
      <c r="A29" s="109"/>
      <c r="B29" s="156" t="s">
        <v>65</v>
      </c>
      <c r="C29" s="97">
        <v>3.1040943225030038</v>
      </c>
      <c r="D29" s="98">
        <v>-0.84236830387390826</v>
      </c>
      <c r="E29" s="98">
        <v>4.1652567749188352</v>
      </c>
      <c r="F29" s="98">
        <v>8.0202950531288018</v>
      </c>
      <c r="G29" s="98">
        <v>12.163138466526103</v>
      </c>
      <c r="H29" s="98">
        <v>15.525548025054992</v>
      </c>
      <c r="I29" s="98">
        <v>6.9172746388368012</v>
      </c>
      <c r="J29" s="98">
        <v>6.6356304797146493</v>
      </c>
      <c r="K29" s="98">
        <v>-0.44348283427702029</v>
      </c>
      <c r="L29" s="98">
        <v>-3.712690816014852</v>
      </c>
      <c r="M29" s="98">
        <v>3.1915686317215197</v>
      </c>
      <c r="N29" s="98">
        <v>-0.10686795668906068</v>
      </c>
      <c r="O29" s="99">
        <v>-32.36360092260189</v>
      </c>
    </row>
    <row r="30" spans="1:15" ht="15.75" customHeight="1" x14ac:dyDescent="0.3">
      <c r="A30" s="109"/>
      <c r="B30" s="109" t="s">
        <v>66</v>
      </c>
      <c r="C30" s="192">
        <v>52.031387361408818</v>
      </c>
      <c r="D30" s="198">
        <v>55.314628793995205</v>
      </c>
      <c r="E30" s="198">
        <v>39.106464707104152</v>
      </c>
      <c r="F30" s="198">
        <v>74.298258170234632</v>
      </c>
      <c r="G30" s="198">
        <v>71.91054734814368</v>
      </c>
      <c r="H30" s="198">
        <v>70.428737999771755</v>
      </c>
      <c r="I30" s="198">
        <v>64.172773136765244</v>
      </c>
      <c r="J30" s="198">
        <v>19.54549202092042</v>
      </c>
      <c r="K30" s="198">
        <v>75.85404836262326</v>
      </c>
      <c r="L30" s="198">
        <v>56.131729836632594</v>
      </c>
      <c r="M30" s="198">
        <v>74.847342909115369</v>
      </c>
      <c r="N30" s="198">
        <v>49.332694704360478</v>
      </c>
      <c r="O30" s="199">
        <v>-8.3173968536279794</v>
      </c>
    </row>
    <row r="31" spans="1:15" ht="15.75" customHeight="1" x14ac:dyDescent="0.3">
      <c r="A31" s="109"/>
      <c r="B31" s="96" t="s">
        <v>15</v>
      </c>
      <c r="C31" s="131">
        <v>51.634119386062082</v>
      </c>
      <c r="D31" s="98">
        <v>66.278307207844648</v>
      </c>
      <c r="E31" s="98">
        <v>57.921318228283013</v>
      </c>
      <c r="F31" s="98">
        <v>44.286563144008696</v>
      </c>
      <c r="G31" s="98">
        <v>49.029402569074286</v>
      </c>
      <c r="H31" s="98">
        <v>52.623655961935079</v>
      </c>
      <c r="I31" s="98">
        <v>54.375594704274668</v>
      </c>
      <c r="J31" s="98">
        <v>16.287287595730415</v>
      </c>
      <c r="K31" s="98">
        <v>70.099575231412416</v>
      </c>
      <c r="L31" s="98">
        <v>73.345407690615446</v>
      </c>
      <c r="M31" s="98">
        <v>50.507245363960543</v>
      </c>
      <c r="N31" s="98">
        <v>88.084573561749252</v>
      </c>
      <c r="O31" s="99">
        <v>23.012504264062716</v>
      </c>
    </row>
    <row r="32" spans="1:15" ht="15.75" customHeight="1" x14ac:dyDescent="0.3">
      <c r="A32" s="109"/>
      <c r="B32" s="111" t="s">
        <v>67</v>
      </c>
      <c r="C32" s="193">
        <v>52.104188226726443</v>
      </c>
      <c r="D32" s="198">
        <v>67.107636222637268</v>
      </c>
      <c r="E32" s="198">
        <v>52.444816335923484</v>
      </c>
      <c r="F32" s="198">
        <v>44.606171858797097</v>
      </c>
      <c r="G32" s="198">
        <v>51.254284237266901</v>
      </c>
      <c r="H32" s="198">
        <v>44.005006626018869</v>
      </c>
      <c r="I32" s="198">
        <v>46.851199856474082</v>
      </c>
      <c r="J32" s="198">
        <v>40.103266436516137</v>
      </c>
      <c r="K32" s="198">
        <v>60.595824813189502</v>
      </c>
      <c r="L32" s="198">
        <v>64.829573113845925</v>
      </c>
      <c r="M32" s="198">
        <v>50.480225364414743</v>
      </c>
      <c r="N32" s="198">
        <v>77.589525841559336</v>
      </c>
      <c r="O32" s="199">
        <v>19.619836345839147</v>
      </c>
    </row>
    <row r="33" spans="1:15" ht="15.75" customHeight="1" x14ac:dyDescent="0.3">
      <c r="A33" s="109"/>
      <c r="B33" s="96" t="s">
        <v>87</v>
      </c>
      <c r="C33" s="131">
        <v>53.31296554731113</v>
      </c>
      <c r="D33" s="98">
        <v>68.761201964493068</v>
      </c>
      <c r="E33" s="98">
        <v>57.460363752233178</v>
      </c>
      <c r="F33" s="98">
        <v>44.936172313689561</v>
      </c>
      <c r="G33" s="98">
        <v>58.223462937583157</v>
      </c>
      <c r="H33" s="98">
        <v>43.348400559164844</v>
      </c>
      <c r="I33" s="98">
        <v>32.600117249901459</v>
      </c>
      <c r="J33" s="98">
        <v>63.538122485016359</v>
      </c>
      <c r="K33" s="98">
        <v>56.529600204282346</v>
      </c>
      <c r="L33" s="98">
        <v>48.568140449396566</v>
      </c>
      <c r="M33" s="98">
        <v>32.445821345749536</v>
      </c>
      <c r="N33" s="98">
        <v>71.345796833577424</v>
      </c>
      <c r="O33" s="99">
        <v>26.844129170525054</v>
      </c>
    </row>
    <row r="34" spans="1:15" ht="15.75" customHeight="1" x14ac:dyDescent="0.3">
      <c r="A34" s="109"/>
      <c r="B34" s="111" t="s">
        <v>9</v>
      </c>
      <c r="C34" s="193">
        <v>57.128874772042423</v>
      </c>
      <c r="D34" s="198">
        <v>77.779625718471721</v>
      </c>
      <c r="E34" s="198">
        <v>75.386955414709547</v>
      </c>
      <c r="F34" s="198">
        <v>42.330432855517273</v>
      </c>
      <c r="G34" s="198">
        <v>58.879359248799815</v>
      </c>
      <c r="H34" s="198">
        <v>34.218227927649082</v>
      </c>
      <c r="I34" s="198">
        <v>43.639025466375394</v>
      </c>
      <c r="J34" s="198">
        <v>66.823253364716663</v>
      </c>
      <c r="K34" s="198">
        <v>36.574523617632629</v>
      </c>
      <c r="L34" s="198">
        <v>46.753853041476304</v>
      </c>
      <c r="M34" s="198">
        <v>25.089468118761982</v>
      </c>
      <c r="N34" s="198">
        <v>51.41062269145997</v>
      </c>
      <c r="O34" s="199">
        <v>53.948333716681816</v>
      </c>
    </row>
    <row r="35" spans="1:15" ht="15.75" customHeight="1" x14ac:dyDescent="0.3">
      <c r="A35" s="109"/>
      <c r="B35" s="96" t="s">
        <v>10</v>
      </c>
      <c r="C35" s="131">
        <v>42.736816591625292</v>
      </c>
      <c r="D35" s="98">
        <v>69.272417996393315</v>
      </c>
      <c r="E35" s="98">
        <v>62.44859602623427</v>
      </c>
      <c r="F35" s="98">
        <v>25.44885053179733</v>
      </c>
      <c r="G35" s="98">
        <v>26.938735624419195</v>
      </c>
      <c r="H35" s="98">
        <v>17.664209483985527</v>
      </c>
      <c r="I35" s="98">
        <v>30.387225205954095</v>
      </c>
      <c r="J35" s="98">
        <v>62.53656182340417</v>
      </c>
      <c r="K35" s="98">
        <v>27.524465741469516</v>
      </c>
      <c r="L35" s="98">
        <v>33.230376706871901</v>
      </c>
      <c r="M35" s="98">
        <v>19.269984023828446</v>
      </c>
      <c r="N35" s="98">
        <v>32.902471957561332</v>
      </c>
      <c r="O35" s="99">
        <v>42.001961337527604</v>
      </c>
    </row>
    <row r="36" spans="1:15" s="109" customFormat="1" ht="15.75" customHeight="1" x14ac:dyDescent="0.3">
      <c r="A36" s="360"/>
      <c r="B36" s="401" t="s">
        <v>11</v>
      </c>
      <c r="C36" s="403">
        <v>26.139821393923146</v>
      </c>
      <c r="D36" s="403">
        <v>50.58614107479444</v>
      </c>
      <c r="E36" s="403">
        <v>38.197113736008625</v>
      </c>
      <c r="F36" s="403">
        <v>18.131669693605936</v>
      </c>
      <c r="G36" s="403">
        <v>10.375244467816124</v>
      </c>
      <c r="H36" s="403">
        <v>11.080696702381054</v>
      </c>
      <c r="I36" s="403">
        <v>19.644955377585127</v>
      </c>
      <c r="J36" s="403">
        <v>27.523261839478131</v>
      </c>
      <c r="K36" s="403">
        <v>18.178740571511142</v>
      </c>
      <c r="L36" s="403">
        <v>18.967666161002207</v>
      </c>
      <c r="M36" s="403">
        <v>3.4009713056282198</v>
      </c>
      <c r="N36" s="403">
        <v>12.79540114602684</v>
      </c>
      <c r="O36" s="404">
        <v>46.988623184343737</v>
      </c>
    </row>
    <row r="37" spans="1:15" s="109" customFormat="1" ht="15" customHeight="1" x14ac:dyDescent="0.3">
      <c r="A37" s="108"/>
      <c r="H37" s="110"/>
      <c r="I37" s="110"/>
      <c r="J37" s="110"/>
      <c r="K37" s="110"/>
      <c r="O37" s="111"/>
    </row>
    <row r="38" spans="1:15" s="109" customFormat="1" x14ac:dyDescent="0.3">
      <c r="A38" s="108"/>
      <c r="B38" s="109" t="s">
        <v>84</v>
      </c>
      <c r="C38" s="140"/>
      <c r="D38" s="140"/>
      <c r="E38" s="140"/>
      <c r="F38" s="140"/>
      <c r="G38" s="140"/>
      <c r="H38" s="140"/>
      <c r="I38" s="140"/>
      <c r="J38" s="141"/>
      <c r="K38" s="141"/>
      <c r="L38" s="140"/>
      <c r="M38" s="140"/>
      <c r="N38" s="140"/>
      <c r="O38" s="158"/>
    </row>
    <row r="39" spans="1:15" s="114" customFormat="1" ht="14.25" customHeight="1" x14ac:dyDescent="0.3">
      <c r="A39" s="113"/>
      <c r="B39" s="140" t="s">
        <v>17</v>
      </c>
      <c r="C39" s="140"/>
      <c r="D39" s="140"/>
      <c r="E39" s="140"/>
      <c r="F39" s="140"/>
      <c r="G39" s="140"/>
      <c r="H39" s="140"/>
      <c r="I39" s="140"/>
      <c r="J39" s="140"/>
      <c r="K39" s="140"/>
      <c r="L39" s="140"/>
      <c r="M39" s="140"/>
      <c r="N39" s="140"/>
      <c r="O39" s="158"/>
    </row>
    <row r="40" spans="1:15" s="114" customFormat="1" ht="14.25" customHeight="1" x14ac:dyDescent="0.3">
      <c r="A40" s="113"/>
      <c r="B40" s="140" t="s">
        <v>159</v>
      </c>
      <c r="C40" s="140"/>
      <c r="D40" s="140"/>
      <c r="E40" s="140"/>
      <c r="F40" s="140"/>
      <c r="G40" s="140"/>
      <c r="H40" s="140"/>
      <c r="I40" s="140"/>
      <c r="J40" s="140"/>
      <c r="K40" s="140"/>
      <c r="L40" s="140"/>
      <c r="M40" s="140"/>
      <c r="N40" s="140"/>
      <c r="O40" s="158"/>
    </row>
    <row r="41" spans="1:15" ht="15" customHeight="1" x14ac:dyDescent="0.3">
      <c r="A41" s="123"/>
      <c r="B41" s="124" t="str">
        <f>'1.1 V.A Ing.real'!B45</f>
        <v>Actualizado el 15 de diciembre de 2021</v>
      </c>
      <c r="C41" s="124"/>
      <c r="D41" s="124"/>
      <c r="E41" s="124"/>
      <c r="F41" s="124"/>
      <c r="G41" s="124"/>
      <c r="H41" s="124"/>
      <c r="I41" s="124"/>
      <c r="J41" s="124"/>
      <c r="K41" s="124"/>
      <c r="L41" s="124"/>
      <c r="M41" s="124"/>
      <c r="N41" s="143"/>
      <c r="O41" s="200"/>
    </row>
    <row r="42" spans="1:15" s="83" customFormat="1" x14ac:dyDescent="0.3">
      <c r="A42" s="125"/>
      <c r="B42" s="126"/>
      <c r="C42" s="126"/>
      <c r="D42" s="126"/>
      <c r="E42" s="126"/>
      <c r="F42" s="126"/>
      <c r="G42" s="126"/>
      <c r="H42" s="126"/>
      <c r="I42" s="126"/>
      <c r="J42" s="126"/>
      <c r="K42" s="126"/>
      <c r="L42" s="126"/>
      <c r="M42" s="126"/>
      <c r="N42" s="126"/>
      <c r="O42" s="127"/>
    </row>
  </sheetData>
  <mergeCells count="1">
    <mergeCell ref="A7:M8"/>
  </mergeCells>
  <hyperlinks>
    <hyperlink ref="O3" location="Contenido!A1" display="Inicio" xr:uid="{00000000-0004-0000-07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41"/>
  <sheetViews>
    <sheetView showGridLines="0" zoomScale="80" zoomScaleNormal="80" zoomScaleSheetLayoutView="90" workbookViewId="0">
      <pane ySplit="14" topLeftCell="A15" activePane="bottomLeft" state="frozen"/>
      <selection activeCell="C16" sqref="C16"/>
      <selection pane="bottomLeft" activeCell="A7" sqref="A7:J8"/>
    </sheetView>
  </sheetViews>
  <sheetFormatPr baseColWidth="10" defaultColWidth="11.42578125" defaultRowHeight="16.5" x14ac:dyDescent="0.3"/>
  <cols>
    <col min="1" max="1" width="11.28515625" style="100" customWidth="1"/>
    <col min="2" max="2" width="11.85546875" style="128" customWidth="1"/>
    <col min="3" max="3" width="13.28515625" style="128" customWidth="1"/>
    <col min="4" max="4" width="11.7109375" style="128" customWidth="1"/>
    <col min="5" max="5" width="12.85546875" style="128" customWidth="1"/>
    <col min="6" max="6" width="14.42578125" style="128" customWidth="1"/>
    <col min="7" max="7" width="12.28515625" style="128" customWidth="1"/>
    <col min="8" max="8" width="15.140625" style="128" bestFit="1" customWidth="1"/>
    <col min="9" max="9" width="15.140625" style="100" bestFit="1" customWidth="1"/>
    <col min="10" max="10" width="13.85546875" style="100" customWidth="1"/>
    <col min="11" max="11" width="15.140625" style="100" bestFit="1" customWidth="1"/>
    <col min="12" max="14" width="14.7109375" style="100" customWidth="1"/>
    <col min="15" max="15" width="15.140625" style="100" bestFit="1" customWidth="1"/>
    <col min="16" max="16384" width="11.42578125" style="100"/>
  </cols>
  <sheetData>
    <row r="1" spans="1:15" s="145" customFormat="1" ht="12" customHeight="1" x14ac:dyDescent="0.3">
      <c r="A1" s="80"/>
      <c r="B1" s="81"/>
      <c r="C1" s="81"/>
      <c r="D1" s="81"/>
      <c r="E1" s="81"/>
      <c r="F1" s="81"/>
      <c r="G1" s="81"/>
      <c r="H1" s="81"/>
      <c r="I1" s="81"/>
      <c r="J1" s="81"/>
      <c r="K1" s="81"/>
      <c r="L1" s="83"/>
      <c r="M1" s="83"/>
      <c r="N1" s="83"/>
      <c r="O1" s="83"/>
    </row>
    <row r="2" spans="1:15" s="86" customFormat="1" x14ac:dyDescent="0.3">
      <c r="A2" s="84"/>
      <c r="B2" s="85"/>
      <c r="C2" s="85"/>
      <c r="D2" s="85"/>
      <c r="E2" s="85"/>
      <c r="F2" s="85"/>
      <c r="G2" s="85"/>
      <c r="H2" s="85"/>
      <c r="I2" s="85"/>
      <c r="J2" s="85"/>
      <c r="K2" s="85"/>
      <c r="L2" s="89"/>
      <c r="M2" s="89"/>
      <c r="N2" s="89"/>
      <c r="O2" s="130"/>
    </row>
    <row r="3" spans="1:15" s="86" customFormat="1" x14ac:dyDescent="0.3">
      <c r="A3" s="84"/>
      <c r="B3" s="85"/>
      <c r="C3" s="85"/>
      <c r="D3" s="87"/>
      <c r="E3" s="85"/>
      <c r="F3" s="85"/>
      <c r="G3" s="85"/>
      <c r="H3" s="85"/>
      <c r="I3" s="85"/>
      <c r="J3" s="85"/>
      <c r="K3" s="85"/>
      <c r="L3" s="224" t="s">
        <v>0</v>
      </c>
      <c r="M3" s="89"/>
      <c r="N3" s="89"/>
      <c r="O3" s="130"/>
    </row>
    <row r="4" spans="1:15" s="86" customFormat="1" x14ac:dyDescent="0.3">
      <c r="A4" s="84"/>
      <c r="B4" s="85"/>
      <c r="C4" s="85"/>
      <c r="D4" s="85"/>
      <c r="E4" s="85"/>
      <c r="F4" s="85"/>
      <c r="G4" s="87"/>
      <c r="H4" s="85"/>
      <c r="I4" s="85"/>
      <c r="J4" s="85"/>
      <c r="K4" s="85"/>
      <c r="L4" s="89"/>
      <c r="M4" s="89"/>
      <c r="N4" s="89"/>
      <c r="O4" s="130"/>
    </row>
    <row r="5" spans="1:15" s="86" customFormat="1" x14ac:dyDescent="0.3">
      <c r="A5" s="84"/>
      <c r="B5" s="85"/>
      <c r="C5" s="85"/>
      <c r="D5" s="85"/>
      <c r="E5" s="85"/>
      <c r="F5" s="85"/>
      <c r="G5" s="85"/>
      <c r="H5" s="85"/>
      <c r="I5" s="85"/>
      <c r="J5" s="85"/>
      <c r="K5" s="85"/>
      <c r="L5" s="89"/>
      <c r="M5" s="89"/>
      <c r="N5" s="89"/>
      <c r="O5" s="130"/>
    </row>
    <row r="6" spans="1:15" s="86" customFormat="1" x14ac:dyDescent="0.3">
      <c r="A6" s="84"/>
      <c r="B6" s="85"/>
      <c r="C6" s="85"/>
      <c r="D6" s="85"/>
      <c r="E6" s="85"/>
      <c r="F6" s="85"/>
      <c r="G6" s="85"/>
      <c r="H6" s="85"/>
      <c r="I6" s="85"/>
      <c r="J6" s="85"/>
      <c r="K6" s="85"/>
      <c r="L6" s="89"/>
      <c r="M6" s="89"/>
      <c r="N6" s="89"/>
      <c r="O6" s="130"/>
    </row>
    <row r="7" spans="1:15" s="86" customFormat="1" ht="15" customHeight="1" x14ac:dyDescent="0.3">
      <c r="A7" s="421" t="s">
        <v>4</v>
      </c>
      <c r="B7" s="421"/>
      <c r="C7" s="421"/>
      <c r="D7" s="421"/>
      <c r="E7" s="421"/>
      <c r="F7" s="421"/>
      <c r="G7" s="421"/>
      <c r="H7" s="421"/>
      <c r="I7" s="421"/>
      <c r="J7" s="421"/>
      <c r="K7" s="197"/>
      <c r="L7" s="197"/>
      <c r="M7" s="197"/>
      <c r="N7" s="197"/>
      <c r="O7" s="197"/>
    </row>
    <row r="8" spans="1:15" s="86" customFormat="1" ht="15" customHeight="1" x14ac:dyDescent="0.3">
      <c r="A8" s="421"/>
      <c r="B8" s="421"/>
      <c r="C8" s="421"/>
      <c r="D8" s="421"/>
      <c r="E8" s="421"/>
      <c r="F8" s="421"/>
      <c r="G8" s="421"/>
      <c r="H8" s="421"/>
      <c r="I8" s="421"/>
      <c r="J8" s="421"/>
      <c r="K8" s="197"/>
      <c r="L8" s="197"/>
      <c r="M8" s="197"/>
      <c r="N8" s="197"/>
      <c r="O8" s="197"/>
    </row>
    <row r="9" spans="1:15" s="86" customFormat="1" ht="15" customHeight="1" x14ac:dyDescent="0.3">
      <c r="A9" s="215"/>
      <c r="B9" s="216"/>
      <c r="C9" s="216"/>
      <c r="D9" s="216"/>
      <c r="E9" s="216"/>
      <c r="F9" s="216"/>
      <c r="G9" s="216"/>
      <c r="H9" s="216"/>
      <c r="I9" s="216"/>
      <c r="J9" s="216"/>
      <c r="K9" s="129"/>
      <c r="L9" s="130"/>
      <c r="M9" s="130"/>
      <c r="N9" s="130"/>
      <c r="O9" s="130"/>
    </row>
    <row r="10" spans="1:15" s="145" customFormat="1" ht="18" customHeight="1" x14ac:dyDescent="0.3">
      <c r="A10" s="90" t="s">
        <v>118</v>
      </c>
      <c r="B10" s="164"/>
      <c r="C10" s="164"/>
      <c r="D10" s="164"/>
      <c r="E10" s="164"/>
      <c r="F10" s="164"/>
      <c r="G10" s="164"/>
      <c r="H10" s="164"/>
      <c r="I10" s="164"/>
      <c r="J10" s="164"/>
      <c r="K10" s="137"/>
      <c r="L10" s="137"/>
      <c r="M10" s="137"/>
      <c r="N10" s="137"/>
      <c r="O10" s="83"/>
    </row>
    <row r="11" spans="1:15" s="145" customFormat="1" ht="18" customHeight="1" x14ac:dyDescent="0.3">
      <c r="A11" s="90" t="s">
        <v>77</v>
      </c>
      <c r="B11" s="164"/>
      <c r="C11" s="164"/>
      <c r="D11" s="164"/>
      <c r="E11" s="164"/>
      <c r="F11" s="164"/>
      <c r="G11" s="164"/>
      <c r="H11" s="164"/>
      <c r="I11" s="164"/>
      <c r="J11" s="164"/>
      <c r="K11" s="137"/>
      <c r="L11" s="226"/>
      <c r="M11" s="226"/>
      <c r="N11" s="226"/>
      <c r="O11" s="83"/>
    </row>
    <row r="12" spans="1:15" s="145" customFormat="1" ht="18" customHeight="1" x14ac:dyDescent="0.3">
      <c r="A12" s="90" t="str">
        <f>'1.1 V.A Ing.real'!A12</f>
        <v>Enero 2020 - octubre 2021</v>
      </c>
      <c r="B12" s="91"/>
      <c r="C12" s="91"/>
      <c r="D12" s="91"/>
      <c r="E12" s="91"/>
      <c r="F12" s="91"/>
      <c r="G12" s="91"/>
      <c r="H12" s="91"/>
      <c r="I12" s="91"/>
      <c r="J12" s="91"/>
      <c r="K12" s="226"/>
      <c r="L12" s="226"/>
      <c r="M12" s="226"/>
      <c r="N12" s="226"/>
      <c r="O12" s="83"/>
    </row>
    <row r="13" spans="1:15" s="145" customFormat="1" ht="18" customHeight="1" x14ac:dyDescent="0.3">
      <c r="A13" s="218"/>
      <c r="B13" s="219"/>
      <c r="C13" s="219"/>
      <c r="D13" s="219"/>
      <c r="E13" s="219"/>
      <c r="F13" s="220"/>
      <c r="G13" s="220"/>
      <c r="H13" s="220"/>
      <c r="I13" s="221"/>
      <c r="J13" s="221"/>
      <c r="K13" s="93"/>
      <c r="L13" s="83"/>
      <c r="M13" s="83"/>
      <c r="N13" s="83"/>
      <c r="O13" s="83"/>
    </row>
    <row r="14" spans="1:15" s="95" customFormat="1" ht="49.5" customHeight="1" x14ac:dyDescent="0.3">
      <c r="A14" s="265" t="s">
        <v>25</v>
      </c>
      <c r="B14" s="266" t="s">
        <v>26</v>
      </c>
      <c r="C14" s="306" t="s">
        <v>59</v>
      </c>
      <c r="D14" s="306" t="s">
        <v>5</v>
      </c>
      <c r="E14" s="306" t="s">
        <v>6</v>
      </c>
      <c r="F14" s="306" t="s">
        <v>20</v>
      </c>
      <c r="G14" s="306" t="s">
        <v>21</v>
      </c>
      <c r="H14" s="306" t="s">
        <v>22</v>
      </c>
      <c r="I14" s="306" t="s">
        <v>3</v>
      </c>
      <c r="J14" s="306" t="s">
        <v>7</v>
      </c>
      <c r="K14" s="306" t="s">
        <v>41</v>
      </c>
      <c r="L14" s="306" t="s">
        <v>38</v>
      </c>
      <c r="M14" s="306" t="s">
        <v>42</v>
      </c>
      <c r="N14" s="306" t="s">
        <v>23</v>
      </c>
      <c r="O14" s="376" t="s">
        <v>158</v>
      </c>
    </row>
    <row r="15" spans="1:15" s="95" customFormat="1" ht="20.25" customHeight="1" x14ac:dyDescent="0.3">
      <c r="A15" s="269" t="s">
        <v>52</v>
      </c>
      <c r="B15" s="270" t="s">
        <v>54</v>
      </c>
      <c r="C15" s="271">
        <v>2.4118128919897064</v>
      </c>
      <c r="D15" s="272">
        <v>4.1900928129714687</v>
      </c>
      <c r="E15" s="272">
        <v>0.66011114478778943</v>
      </c>
      <c r="F15" s="272">
        <v>2.1534003915518518</v>
      </c>
      <c r="G15" s="272">
        <v>1.1936767478122112</v>
      </c>
      <c r="H15" s="272">
        <v>5.2961596055616011</v>
      </c>
      <c r="I15" s="272">
        <v>4.0671728483268943</v>
      </c>
      <c r="J15" s="272">
        <v>3.4091138814219768</v>
      </c>
      <c r="K15" s="272">
        <v>0.94197683955437039</v>
      </c>
      <c r="L15" s="272">
        <v>-0.16992225085412649</v>
      </c>
      <c r="M15" s="272">
        <v>2.5284915203305447</v>
      </c>
      <c r="N15" s="272">
        <v>2.9806048895501647</v>
      </c>
      <c r="O15" s="273">
        <v>-4.0945129508867861</v>
      </c>
    </row>
    <row r="16" spans="1:15" s="201" customFormat="1" ht="15.75" customHeight="1" x14ac:dyDescent="0.3">
      <c r="A16" s="101"/>
      <c r="B16" s="102" t="s">
        <v>56</v>
      </c>
      <c r="C16" s="103">
        <v>2.0682701550329696</v>
      </c>
      <c r="D16" s="104">
        <v>3.8120631508079983</v>
      </c>
      <c r="E16" s="105">
        <v>-0.42768274817220897</v>
      </c>
      <c r="F16" s="105">
        <v>0.54660078279120672</v>
      </c>
      <c r="G16" s="105">
        <v>2.77843100598405</v>
      </c>
      <c r="H16" s="105">
        <v>4.5189651827411526</v>
      </c>
      <c r="I16" s="105">
        <v>3.0101083486390179</v>
      </c>
      <c r="J16" s="105">
        <v>2.9414894254064405</v>
      </c>
      <c r="K16" s="105">
        <v>2.118749570187628</v>
      </c>
      <c r="L16" s="105">
        <v>-1.0777403489647619</v>
      </c>
      <c r="M16" s="105">
        <v>1.2225917887341398</v>
      </c>
      <c r="N16" s="105">
        <v>2.6561218255848118</v>
      </c>
      <c r="O16" s="106">
        <v>-5.2061743413738482</v>
      </c>
    </row>
    <row r="17" spans="1:15" s="95" customFormat="1" ht="15.75" customHeight="1" x14ac:dyDescent="0.3">
      <c r="A17" s="101"/>
      <c r="B17" s="96" t="s">
        <v>65</v>
      </c>
      <c r="C17" s="97">
        <v>-0.75097563710860848</v>
      </c>
      <c r="D17" s="98">
        <v>1.156715237336714</v>
      </c>
      <c r="E17" s="98">
        <v>-3.9343552352338662</v>
      </c>
      <c r="F17" s="98">
        <v>-2.1417633057484897</v>
      </c>
      <c r="G17" s="98">
        <v>-0.32332005668785913</v>
      </c>
      <c r="H17" s="98">
        <v>-0.80380023116813915</v>
      </c>
      <c r="I17" s="98">
        <v>4.4359408906302633E-2</v>
      </c>
      <c r="J17" s="98">
        <v>1.1599898009801324</v>
      </c>
      <c r="K17" s="98">
        <v>-0.36286968713808987</v>
      </c>
      <c r="L17" s="98">
        <v>-2.4079470327806551</v>
      </c>
      <c r="M17" s="98">
        <v>-1.0445152771698551</v>
      </c>
      <c r="N17" s="98">
        <v>0.63281109737745034</v>
      </c>
      <c r="O17" s="99">
        <v>-4.6380387335738131</v>
      </c>
    </row>
    <row r="18" spans="1:15" s="201" customFormat="1" ht="17.25" customHeight="1" x14ac:dyDescent="0.3">
      <c r="A18" s="101"/>
      <c r="B18" s="102" t="s">
        <v>66</v>
      </c>
      <c r="C18" s="103">
        <v>-9.6075700279120611</v>
      </c>
      <c r="D18" s="104">
        <v>-8.55320388769697</v>
      </c>
      <c r="E18" s="105">
        <v>-10.913316189808786</v>
      </c>
      <c r="F18" s="107">
        <v>-12.073419957778775</v>
      </c>
      <c r="G18" s="105">
        <v>-10.352602691246149</v>
      </c>
      <c r="H18" s="105">
        <v>-10.680080703825656</v>
      </c>
      <c r="I18" s="105">
        <v>-9.7519607387360878</v>
      </c>
      <c r="J18" s="105">
        <v>-2.2451344130975381</v>
      </c>
      <c r="K18" s="105">
        <v>-11.569437618780976</v>
      </c>
      <c r="L18" s="105">
        <v>-12.416456541318222</v>
      </c>
      <c r="M18" s="105">
        <v>-11.669386493824408</v>
      </c>
      <c r="N18" s="105">
        <v>-8.979067257191387</v>
      </c>
      <c r="O18" s="106">
        <v>-12.618316678735287</v>
      </c>
    </row>
    <row r="19" spans="1:15" s="95" customFormat="1" ht="16.5" customHeight="1" x14ac:dyDescent="0.3">
      <c r="A19" s="101"/>
      <c r="B19" s="96" t="s">
        <v>15</v>
      </c>
      <c r="C19" s="97">
        <v>-14.971482348864972</v>
      </c>
      <c r="D19" s="98">
        <v>-15.213265305509726</v>
      </c>
      <c r="E19" s="98">
        <v>-16.767489230818413</v>
      </c>
      <c r="F19" s="98">
        <v>-15.667258686594177</v>
      </c>
      <c r="G19" s="98">
        <v>-14.588375686298694</v>
      </c>
      <c r="H19" s="98">
        <v>-14.670806212769072</v>
      </c>
      <c r="I19" s="98">
        <v>-14.950839886491218</v>
      </c>
      <c r="J19" s="98">
        <v>-4.361791704718021</v>
      </c>
      <c r="K19" s="98">
        <v>-18.354093397435577</v>
      </c>
      <c r="L19" s="98">
        <v>-19.517000216628489</v>
      </c>
      <c r="M19" s="98">
        <v>-16.376288424815332</v>
      </c>
      <c r="N19" s="98">
        <v>-16.615169784157434</v>
      </c>
      <c r="O19" s="99">
        <v>-20.507390297020443</v>
      </c>
    </row>
    <row r="20" spans="1:15" s="95" customFormat="1" ht="16.5" customHeight="1" x14ac:dyDescent="0.3">
      <c r="A20" s="101"/>
      <c r="B20" s="111" t="s">
        <v>67</v>
      </c>
      <c r="C20" s="192">
        <v>-18.301278365232211</v>
      </c>
      <c r="D20" s="198">
        <v>-19.466667170373341</v>
      </c>
      <c r="E20" s="198">
        <v>-19.774439754384797</v>
      </c>
      <c r="F20" s="198">
        <v>-18.061997739660541</v>
      </c>
      <c r="G20" s="198">
        <v>-17.398768427903644</v>
      </c>
      <c r="H20" s="198">
        <v>-16.426044276721854</v>
      </c>
      <c r="I20" s="198">
        <v>-17.565091598397586</v>
      </c>
      <c r="J20" s="198">
        <v>-8.3170573688250755</v>
      </c>
      <c r="K20" s="198">
        <v>-22.38932887990034</v>
      </c>
      <c r="L20" s="198">
        <v>-23.135218015366398</v>
      </c>
      <c r="M20" s="198">
        <v>-19.07239768577459</v>
      </c>
      <c r="N20" s="198">
        <v>-21.501259400721352</v>
      </c>
      <c r="O20" s="199">
        <v>-25.008746648333869</v>
      </c>
    </row>
    <row r="21" spans="1:15" s="95" customFormat="1" ht="16.5" customHeight="1" x14ac:dyDescent="0.3">
      <c r="A21" s="101"/>
      <c r="B21" s="96" t="s">
        <v>87</v>
      </c>
      <c r="C21" s="97">
        <v>-20.955689317046144</v>
      </c>
      <c r="D21" s="98">
        <v>-22.934287615773542</v>
      </c>
      <c r="E21" s="98">
        <v>-22.324248807577206</v>
      </c>
      <c r="F21" s="98">
        <v>-19.997949701927929</v>
      </c>
      <c r="G21" s="98">
        <v>-20.038603674439226</v>
      </c>
      <c r="H21" s="98">
        <v>-18.031534636425995</v>
      </c>
      <c r="I21" s="98">
        <v>-18.853530586575818</v>
      </c>
      <c r="J21" s="98">
        <v>-12.643777192049265</v>
      </c>
      <c r="K21" s="98">
        <v>-24.771488958690348</v>
      </c>
      <c r="L21" s="98">
        <v>-25.00499705415179</v>
      </c>
      <c r="M21" s="98">
        <v>-19.235483392157594</v>
      </c>
      <c r="N21" s="98">
        <v>-24.161749351079632</v>
      </c>
      <c r="O21" s="99">
        <v>-27.932140327399679</v>
      </c>
    </row>
    <row r="22" spans="1:15" s="95" customFormat="1" ht="16.5" customHeight="1" x14ac:dyDescent="0.3">
      <c r="A22" s="101"/>
      <c r="B22" s="111" t="s">
        <v>9</v>
      </c>
      <c r="C22" s="192">
        <v>-22.934111163991144</v>
      </c>
      <c r="D22" s="198">
        <v>-25.453019786295894</v>
      </c>
      <c r="E22" s="198">
        <v>-24.93147520236564</v>
      </c>
      <c r="F22" s="198">
        <v>-20.939543828047825</v>
      </c>
      <c r="G22" s="198">
        <v>-21.889875835895488</v>
      </c>
      <c r="H22" s="198">
        <v>-18.247330710772214</v>
      </c>
      <c r="I22" s="198">
        <v>-20.440013767618058</v>
      </c>
      <c r="J22" s="198">
        <v>-15.982916266543402</v>
      </c>
      <c r="K22" s="198">
        <v>-25.491549365955013</v>
      </c>
      <c r="L22" s="198">
        <v>-26.230226460453387</v>
      </c>
      <c r="M22" s="198">
        <v>-18.864782280351513</v>
      </c>
      <c r="N22" s="198">
        <v>-25.40706962581789</v>
      </c>
      <c r="O22" s="199">
        <v>-29.629856848555789</v>
      </c>
    </row>
    <row r="23" spans="1:15" s="95" customFormat="1" ht="16.5" customHeight="1" x14ac:dyDescent="0.3">
      <c r="A23" s="101"/>
      <c r="B23" s="96" t="s">
        <v>10</v>
      </c>
      <c r="C23" s="97">
        <v>-23.699191706627353</v>
      </c>
      <c r="D23" s="98">
        <v>-26.831970973305751</v>
      </c>
      <c r="E23" s="98">
        <v>-26.391255726381758</v>
      </c>
      <c r="F23" s="98">
        <v>-20.919853335116802</v>
      </c>
      <c r="G23" s="98">
        <v>-21.599185764000172</v>
      </c>
      <c r="H23" s="98">
        <v>-17.570807717429627</v>
      </c>
      <c r="I23" s="98">
        <v>-20.668292496514297</v>
      </c>
      <c r="J23" s="98">
        <v>-18.346229075042451</v>
      </c>
      <c r="K23" s="98">
        <v>-25.41774521050435</v>
      </c>
      <c r="L23" s="98">
        <v>-26.402114775720797</v>
      </c>
      <c r="M23" s="98">
        <v>-17.825356966571093</v>
      </c>
      <c r="N23" s="98">
        <v>-25.343126465189279</v>
      </c>
      <c r="O23" s="99">
        <v>-30.189889322059884</v>
      </c>
    </row>
    <row r="24" spans="1:15" s="95" customFormat="1" ht="16.5" customHeight="1" x14ac:dyDescent="0.3">
      <c r="A24" s="101"/>
      <c r="B24" s="111" t="s">
        <v>11</v>
      </c>
      <c r="C24" s="192">
        <v>-23.386182019650803</v>
      </c>
      <c r="D24" s="198">
        <v>-27.313523088517854</v>
      </c>
      <c r="E24" s="198">
        <v>-26.35942209150668</v>
      </c>
      <c r="F24" s="198">
        <v>-20.095290549338031</v>
      </c>
      <c r="G24" s="198">
        <v>-20.191511581273225</v>
      </c>
      <c r="H24" s="198">
        <v>-16.281057269991138</v>
      </c>
      <c r="I24" s="198">
        <v>-20.383545454904805</v>
      </c>
      <c r="J24" s="198">
        <v>-18.432280695942794</v>
      </c>
      <c r="K24" s="198">
        <v>-24.778240486066359</v>
      </c>
      <c r="L24" s="198">
        <v>-25.320937324919868</v>
      </c>
      <c r="M24" s="198">
        <v>-16.229894187970483</v>
      </c>
      <c r="N24" s="198">
        <v>-24.167266567468062</v>
      </c>
      <c r="O24" s="199">
        <v>-30.919958950695015</v>
      </c>
    </row>
    <row r="25" spans="1:15" s="95" customFormat="1" ht="16.5" customHeight="1" x14ac:dyDescent="0.3">
      <c r="A25" s="101"/>
      <c r="B25" s="96" t="s">
        <v>12</v>
      </c>
      <c r="C25" s="97">
        <v>-22.607545365813131</v>
      </c>
      <c r="D25" s="98">
        <v>-26.752807615473252</v>
      </c>
      <c r="E25" s="98">
        <v>-25.645436065090532</v>
      </c>
      <c r="F25" s="98">
        <v>-18.709896227164457</v>
      </c>
      <c r="G25" s="98">
        <v>-18.375861168170861</v>
      </c>
      <c r="H25" s="98">
        <v>-15.105271480707039</v>
      </c>
      <c r="I25" s="98">
        <v>-19.949960887394614</v>
      </c>
      <c r="J25" s="98">
        <v>-18.749037092610486</v>
      </c>
      <c r="K25" s="98">
        <v>-23.805715072308974</v>
      </c>
      <c r="L25" s="98">
        <v>-24.251305132195188</v>
      </c>
      <c r="M25" s="98">
        <v>-15.16581734995709</v>
      </c>
      <c r="N25" s="98">
        <v>-22.620230257455141</v>
      </c>
      <c r="O25" s="99">
        <v>-31.294386680711007</v>
      </c>
    </row>
    <row r="26" spans="1:15" s="95" customFormat="1" ht="16.5" customHeight="1" x14ac:dyDescent="0.3">
      <c r="A26" s="101"/>
      <c r="B26" s="111" t="s">
        <v>13</v>
      </c>
      <c r="C26" s="192">
        <v>-21.65903977052297</v>
      </c>
      <c r="D26" s="198">
        <v>-25.551880250370374</v>
      </c>
      <c r="E26" s="198">
        <v>-24.689565730330553</v>
      </c>
      <c r="F26" s="198">
        <v>-17.516149374929601</v>
      </c>
      <c r="G26" s="198">
        <v>-17.462836396444192</v>
      </c>
      <c r="H26" s="198">
        <v>-14.024408485326811</v>
      </c>
      <c r="I26" s="198">
        <v>-19.333720181334833</v>
      </c>
      <c r="J26" s="198">
        <v>-17.888466805003734</v>
      </c>
      <c r="K26" s="198">
        <v>-22.87134371209547</v>
      </c>
      <c r="L26" s="198">
        <v>-23.265648225450231</v>
      </c>
      <c r="M26" s="198">
        <v>-14.401099134998475</v>
      </c>
      <c r="N26" s="198">
        <v>-21.240377787817945</v>
      </c>
      <c r="O26" s="199">
        <v>-31.393520210360336</v>
      </c>
    </row>
    <row r="27" spans="1:15" s="95" customFormat="1" ht="16.5" customHeight="1" x14ac:dyDescent="0.3">
      <c r="A27" s="156" t="s">
        <v>124</v>
      </c>
      <c r="B27" s="156" t="s">
        <v>54</v>
      </c>
      <c r="C27" s="97">
        <v>-5.9258877950219002</v>
      </c>
      <c r="D27" s="98">
        <v>-9.3469124765929053</v>
      </c>
      <c r="E27" s="98">
        <v>-9.2873924787988287</v>
      </c>
      <c r="F27" s="98">
        <v>-3.7007103333235869</v>
      </c>
      <c r="G27" s="98">
        <v>4.754444995307594</v>
      </c>
      <c r="H27" s="98">
        <v>-0.94657746315202074</v>
      </c>
      <c r="I27" s="98">
        <v>-4.7607441103604486</v>
      </c>
      <c r="J27" s="98">
        <v>-3.1746506467408286</v>
      </c>
      <c r="K27" s="98">
        <v>-8.1559710185865608</v>
      </c>
      <c r="L27" s="98">
        <v>-9.1285190164201673</v>
      </c>
      <c r="M27" s="98">
        <v>-6.0391799941568287</v>
      </c>
      <c r="N27" s="98">
        <v>-4.2417277380703666</v>
      </c>
      <c r="O27" s="99">
        <v>-22.406535223569712</v>
      </c>
    </row>
    <row r="28" spans="1:15" s="95" customFormat="1" ht="16.5" customHeight="1" x14ac:dyDescent="0.3">
      <c r="A28" s="109"/>
      <c r="B28" s="109" t="s">
        <v>56</v>
      </c>
      <c r="C28" s="192">
        <v>-6.1582238209570761</v>
      </c>
      <c r="D28" s="198">
        <v>-9.0103438322629579</v>
      </c>
      <c r="E28" s="198">
        <v>-9.9385103066788503</v>
      </c>
      <c r="F28" s="198">
        <v>-2.2523025476663516</v>
      </c>
      <c r="G28" s="198">
        <v>2.9995272445541232</v>
      </c>
      <c r="H28" s="198">
        <v>0.7457614967219417</v>
      </c>
      <c r="I28" s="198">
        <v>-4.2795352184114011</v>
      </c>
      <c r="J28" s="198">
        <v>-2.1155347459775764</v>
      </c>
      <c r="K28" s="198">
        <v>-7.798665013480921</v>
      </c>
      <c r="L28" s="198">
        <v>-8.4320406178994833</v>
      </c>
      <c r="M28" s="198">
        <v>-4.4290378498309195</v>
      </c>
      <c r="N28" s="198">
        <v>-4.7581603470056582</v>
      </c>
      <c r="O28" s="199">
        <v>-25.004265409799451</v>
      </c>
    </row>
    <row r="29" spans="1:15" s="95" customFormat="1" ht="16.5" customHeight="1" x14ac:dyDescent="0.3">
      <c r="A29" s="109"/>
      <c r="B29" s="156" t="s">
        <v>65</v>
      </c>
      <c r="C29" s="97">
        <v>-3.2462666511269944</v>
      </c>
      <c r="D29" s="98">
        <v>-6.3644532048825475</v>
      </c>
      <c r="E29" s="98">
        <v>-5.6474731846652197</v>
      </c>
      <c r="F29" s="98">
        <v>0.90194728403336644</v>
      </c>
      <c r="G29" s="98">
        <v>5.8407509791390755</v>
      </c>
      <c r="H29" s="98">
        <v>5.2253455726947839</v>
      </c>
      <c r="I29" s="98">
        <v>-0.79460415416968688</v>
      </c>
      <c r="J29" s="98">
        <v>0.69580819907002489</v>
      </c>
      <c r="K29" s="98">
        <v>-5.483809660992744</v>
      </c>
      <c r="L29" s="98">
        <v>-6.9087264657144765</v>
      </c>
      <c r="M29" s="98">
        <v>-1.9991674158299944</v>
      </c>
      <c r="N29" s="98">
        <v>-3.2658721121254009</v>
      </c>
      <c r="O29" s="99">
        <v>-27.460411156737731</v>
      </c>
    </row>
    <row r="30" spans="1:15" s="95" customFormat="1" ht="16.5" customHeight="1" x14ac:dyDescent="0.3">
      <c r="A30" s="109"/>
      <c r="B30" s="109" t="s">
        <v>66</v>
      </c>
      <c r="C30" s="192">
        <v>6.6291949544849293</v>
      </c>
      <c r="D30" s="198">
        <v>4.4652945497631213</v>
      </c>
      <c r="E30" s="198">
        <v>2.8847607441863987</v>
      </c>
      <c r="F30" s="198">
        <v>13.003283069032733</v>
      </c>
      <c r="G30" s="198">
        <v>16.846993612960006</v>
      </c>
      <c r="H30" s="198">
        <v>16.491469935439174</v>
      </c>
      <c r="I30" s="198">
        <v>10.412461045970201</v>
      </c>
      <c r="J30" s="198">
        <v>4.9156175382167655</v>
      </c>
      <c r="K30" s="198">
        <v>7.0545007241244573</v>
      </c>
      <c r="L30" s="198">
        <v>3.6818234596533106</v>
      </c>
      <c r="M30" s="198">
        <v>10.20477753339275</v>
      </c>
      <c r="N30" s="198">
        <v>6.1362712474483994</v>
      </c>
      <c r="O30" s="199">
        <v>-23.7614973559789</v>
      </c>
    </row>
    <row r="31" spans="1:15" s="95" customFormat="1" ht="16.5" customHeight="1" x14ac:dyDescent="0.3">
      <c r="A31" s="109"/>
      <c r="B31" s="156" t="s">
        <v>15</v>
      </c>
      <c r="C31" s="97">
        <v>13.334595861588472</v>
      </c>
      <c r="D31" s="98">
        <v>13.1483814725744</v>
      </c>
      <c r="E31" s="98">
        <v>10.624172870798777</v>
      </c>
      <c r="F31" s="98">
        <v>17.974280144207722</v>
      </c>
      <c r="G31" s="98">
        <v>21.888396206411031</v>
      </c>
      <c r="H31" s="98">
        <v>22.21578525638186</v>
      </c>
      <c r="I31" s="98">
        <v>17.178992839755104</v>
      </c>
      <c r="J31" s="98">
        <v>6.9869963224806098</v>
      </c>
      <c r="K31" s="98">
        <v>15.358091270747941</v>
      </c>
      <c r="L31" s="98">
        <v>12.768801630403948</v>
      </c>
      <c r="M31" s="98">
        <v>16.454406306268886</v>
      </c>
      <c r="N31" s="98">
        <v>16.301813095326768</v>
      </c>
      <c r="O31" s="99">
        <v>-17.932032690425746</v>
      </c>
    </row>
    <row r="32" spans="1:15" s="95" customFormat="1" ht="16.5" customHeight="1" x14ac:dyDescent="0.3">
      <c r="A32" s="109"/>
      <c r="B32" s="109" t="s">
        <v>67</v>
      </c>
      <c r="C32" s="192">
        <v>18.502751627067493</v>
      </c>
      <c r="D32" s="198">
        <v>19.998250349656701</v>
      </c>
      <c r="E32" s="198">
        <v>16.095768144269094</v>
      </c>
      <c r="F32" s="198">
        <v>21.763210622242003</v>
      </c>
      <c r="G32" s="198">
        <v>25.979421199401067</v>
      </c>
      <c r="H32" s="198">
        <v>25.397631517176755</v>
      </c>
      <c r="I32" s="198">
        <v>21.327474056385974</v>
      </c>
      <c r="J32" s="198">
        <v>11.517893067014274</v>
      </c>
      <c r="K32" s="198">
        <v>21.047651864783077</v>
      </c>
      <c r="L32" s="198">
        <v>19.370112871084586</v>
      </c>
      <c r="M32" s="198">
        <v>21.179999566549569</v>
      </c>
      <c r="N32" s="198">
        <v>23.430681822424539</v>
      </c>
      <c r="O32" s="199">
        <v>-13.516350868249482</v>
      </c>
    </row>
    <row r="33" spans="1:15" s="95" customFormat="1" ht="16.5" customHeight="1" x14ac:dyDescent="0.3">
      <c r="A33" s="109"/>
      <c r="B33" s="156" t="s">
        <v>87</v>
      </c>
      <c r="C33" s="97">
        <v>22.57017891711055</v>
      </c>
      <c r="D33" s="98">
        <v>25.426950695956219</v>
      </c>
      <c r="E33" s="98">
        <v>20.796905371004847</v>
      </c>
      <c r="F33" s="98">
        <v>24.665579154026783</v>
      </c>
      <c r="G33" s="98">
        <v>29.77092999662354</v>
      </c>
      <c r="H33" s="98">
        <v>27.676155617751206</v>
      </c>
      <c r="I33" s="98">
        <v>22.838189748563686</v>
      </c>
      <c r="J33" s="98">
        <v>16.90111544495727</v>
      </c>
      <c r="K33" s="98">
        <v>25.162083828386361</v>
      </c>
      <c r="L33" s="98">
        <v>22.897731925574337</v>
      </c>
      <c r="M33" s="98">
        <v>22.697924392443312</v>
      </c>
      <c r="N33" s="98">
        <v>28.644597463364452</v>
      </c>
      <c r="O33" s="99">
        <v>-8.9049631671089262</v>
      </c>
    </row>
    <row r="34" spans="1:15" s="95" customFormat="1" ht="16.5" customHeight="1" x14ac:dyDescent="0.3">
      <c r="A34" s="109"/>
      <c r="B34" s="109" t="s">
        <v>9</v>
      </c>
      <c r="C34" s="192">
        <v>26.184626574388538</v>
      </c>
      <c r="D34" s="198">
        <v>30.68198248770484</v>
      </c>
      <c r="E34" s="198">
        <v>25.962171151941082</v>
      </c>
      <c r="F34" s="198">
        <v>26.67774054143117</v>
      </c>
      <c r="G34" s="198">
        <v>32.90054686573496</v>
      </c>
      <c r="H34" s="198">
        <v>28.475726110323897</v>
      </c>
      <c r="I34" s="198">
        <v>25.165111637234496</v>
      </c>
      <c r="J34" s="198">
        <v>21.44612060595048</v>
      </c>
      <c r="K34" s="198">
        <v>26.500615743491363</v>
      </c>
      <c r="L34" s="198">
        <v>25.564638227014512</v>
      </c>
      <c r="M34" s="198">
        <v>22.997040048646731</v>
      </c>
      <c r="N34" s="198">
        <v>31.178982993626004</v>
      </c>
      <c r="O34" s="199">
        <v>-2.9548571333036233</v>
      </c>
    </row>
    <row r="35" spans="1:15" s="95" customFormat="1" ht="16.5" customHeight="1" x14ac:dyDescent="0.3">
      <c r="A35" s="109"/>
      <c r="B35" s="156" t="s">
        <v>10</v>
      </c>
      <c r="C35" s="97">
        <v>27.867977988382584</v>
      </c>
      <c r="D35" s="98">
        <v>34.413558288048151</v>
      </c>
      <c r="E35" s="98">
        <v>29.291517940480016</v>
      </c>
      <c r="F35" s="98">
        <v>26.543341180820647</v>
      </c>
      <c r="G35" s="98">
        <v>32.227612838982942</v>
      </c>
      <c r="H35" s="98">
        <v>27.202913181032919</v>
      </c>
      <c r="I35" s="98">
        <v>25.733403281370993</v>
      </c>
      <c r="J35" s="98">
        <v>24.855899038269925</v>
      </c>
      <c r="K35" s="98">
        <v>26.614271280842683</v>
      </c>
      <c r="L35" s="98">
        <v>26.399820659121364</v>
      </c>
      <c r="M35" s="98">
        <v>22.553409907439725</v>
      </c>
      <c r="N35" s="98">
        <v>31.37300492769317</v>
      </c>
      <c r="O35" s="99">
        <v>1.3370027687404029</v>
      </c>
    </row>
    <row r="36" spans="1:15" s="201" customFormat="1" ht="15.75" customHeight="1" x14ac:dyDescent="0.3">
      <c r="A36" s="360"/>
      <c r="B36" s="406" t="s">
        <v>11</v>
      </c>
      <c r="C36" s="402">
        <v>27.689019236504819</v>
      </c>
      <c r="D36" s="403">
        <v>35.980353543915491</v>
      </c>
      <c r="E36" s="403">
        <v>30.16426256752116</v>
      </c>
      <c r="F36" s="403">
        <v>25.633624187547511</v>
      </c>
      <c r="G36" s="403">
        <v>29.722627691520543</v>
      </c>
      <c r="H36" s="403">
        <v>25.364703690100509</v>
      </c>
      <c r="I36" s="403">
        <v>25.103326628751098</v>
      </c>
      <c r="J36" s="403">
        <v>25.115891788985188</v>
      </c>
      <c r="K36" s="403">
        <v>25.703216402503969</v>
      </c>
      <c r="L36" s="403">
        <v>25.566994243435293</v>
      </c>
      <c r="M36" s="403">
        <v>20.317044986287726</v>
      </c>
      <c r="N36" s="403">
        <v>29.246696290885765</v>
      </c>
      <c r="O36" s="404">
        <v>5.2027428873899106</v>
      </c>
    </row>
    <row r="37" spans="1:15" x14ac:dyDescent="0.3">
      <c r="A37" s="108"/>
      <c r="B37" s="109" t="s">
        <v>84</v>
      </c>
      <c r="C37" s="140"/>
      <c r="D37" s="140"/>
      <c r="E37" s="140"/>
      <c r="F37" s="140"/>
      <c r="G37" s="140"/>
      <c r="H37" s="141"/>
      <c r="I37" s="140"/>
      <c r="J37" s="140"/>
      <c r="K37" s="140"/>
      <c r="L37" s="140"/>
      <c r="M37" s="140"/>
      <c r="N37" s="140"/>
      <c r="O37" s="102"/>
    </row>
    <row r="38" spans="1:15" s="203" customFormat="1" ht="14.25" customHeight="1" x14ac:dyDescent="0.3">
      <c r="A38" s="113"/>
      <c r="B38" s="140" t="s">
        <v>17</v>
      </c>
      <c r="C38" s="140"/>
      <c r="D38" s="140"/>
      <c r="E38" s="140"/>
      <c r="F38" s="140"/>
      <c r="G38" s="140"/>
      <c r="H38" s="140"/>
      <c r="I38" s="140"/>
      <c r="J38" s="140"/>
      <c r="K38" s="140"/>
      <c r="L38" s="140"/>
      <c r="M38" s="140"/>
      <c r="N38" s="140"/>
      <c r="O38" s="202"/>
    </row>
    <row r="39" spans="1:15" s="203" customFormat="1" ht="14.25" customHeight="1" x14ac:dyDescent="0.3">
      <c r="A39" s="113"/>
      <c r="B39" s="140" t="s">
        <v>159</v>
      </c>
      <c r="C39" s="140"/>
      <c r="D39" s="140"/>
      <c r="E39" s="140"/>
      <c r="F39" s="140"/>
      <c r="G39" s="140"/>
      <c r="H39" s="140"/>
      <c r="I39" s="140"/>
      <c r="J39" s="140"/>
      <c r="K39" s="140"/>
      <c r="L39" s="140"/>
      <c r="M39" s="140"/>
      <c r="N39" s="140"/>
      <c r="O39" s="202"/>
    </row>
    <row r="40" spans="1:15" ht="15" customHeight="1" x14ac:dyDescent="0.3">
      <c r="A40" s="123"/>
      <c r="B40" s="124" t="str">
        <f>'1.1 V.A Ing.real'!B45</f>
        <v>Actualizado el 15 de diciembre de 2021</v>
      </c>
      <c r="C40" s="124"/>
      <c r="D40" s="124"/>
      <c r="E40" s="124"/>
      <c r="F40" s="124"/>
      <c r="G40" s="124"/>
      <c r="H40" s="124"/>
      <c r="I40" s="124"/>
      <c r="J40" s="124"/>
      <c r="K40" s="143"/>
      <c r="L40" s="143"/>
      <c r="M40" s="83"/>
      <c r="N40" s="83"/>
      <c r="O40" s="102"/>
    </row>
    <row r="41" spans="1:15" s="145" customFormat="1" x14ac:dyDescent="0.3">
      <c r="A41" s="125"/>
      <c r="B41" s="126"/>
      <c r="C41" s="126"/>
      <c r="D41" s="126"/>
      <c r="E41" s="126"/>
      <c r="F41" s="126"/>
      <c r="G41" s="126"/>
      <c r="H41" s="126"/>
      <c r="I41" s="126"/>
      <c r="J41" s="126"/>
      <c r="K41" s="126"/>
      <c r="L41" s="126"/>
      <c r="M41" s="126"/>
      <c r="N41" s="126"/>
      <c r="O41" s="204"/>
    </row>
  </sheetData>
  <mergeCells count="1">
    <mergeCell ref="A7:J8"/>
  </mergeCells>
  <hyperlinks>
    <hyperlink ref="L3" location="Contenido!A1" display="Inicio" xr:uid="{00000000-0004-0000-08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30"/>
  <sheetViews>
    <sheetView showGridLines="0" zoomScale="80" zoomScaleNormal="80" zoomScaleSheetLayoutView="90" workbookViewId="0">
      <pane ySplit="14" topLeftCell="A15" activePane="bottomLeft" state="frozen"/>
      <selection activeCell="C16" sqref="C16"/>
      <selection pane="bottomLeft" activeCell="A7" sqref="A7:J8"/>
    </sheetView>
  </sheetViews>
  <sheetFormatPr baseColWidth="10" defaultColWidth="11.42578125" defaultRowHeight="16.5" x14ac:dyDescent="0.3"/>
  <cols>
    <col min="1" max="1" width="11.28515625" style="100" customWidth="1"/>
    <col min="2" max="2" width="11.85546875" style="128" customWidth="1"/>
    <col min="3" max="3" width="13.28515625" style="128" customWidth="1"/>
    <col min="4" max="4" width="11.7109375" style="128" customWidth="1"/>
    <col min="5" max="5" width="12.85546875" style="128" customWidth="1"/>
    <col min="6" max="6" width="14.42578125" style="128" customWidth="1"/>
    <col min="7" max="7" width="12.28515625" style="128" customWidth="1"/>
    <col min="8" max="8" width="15.140625" style="128" bestFit="1" customWidth="1"/>
    <col min="9" max="9" width="15.140625" style="100" bestFit="1" customWidth="1"/>
    <col min="10" max="10" width="13.85546875" style="100" customWidth="1"/>
    <col min="11" max="11" width="15.140625" style="100" bestFit="1" customWidth="1"/>
    <col min="12" max="14" width="14.7109375" style="100" customWidth="1"/>
    <col min="15" max="15" width="15.140625" style="100" bestFit="1" customWidth="1"/>
    <col min="16" max="16384" width="11.42578125" style="100"/>
  </cols>
  <sheetData>
    <row r="1" spans="1:15" s="145" customFormat="1" ht="12" customHeight="1" x14ac:dyDescent="0.3">
      <c r="A1" s="80"/>
      <c r="B1" s="81"/>
      <c r="C1" s="81"/>
      <c r="D1" s="81"/>
      <c r="E1" s="81"/>
      <c r="F1" s="81"/>
      <c r="G1" s="81"/>
      <c r="H1" s="81"/>
      <c r="I1" s="81"/>
      <c r="J1" s="81"/>
      <c r="K1" s="81"/>
      <c r="L1" s="83"/>
      <c r="M1" s="83"/>
      <c r="N1" s="83"/>
      <c r="O1" s="83"/>
    </row>
    <row r="2" spans="1:15" s="86" customFormat="1" x14ac:dyDescent="0.3">
      <c r="A2" s="84"/>
      <c r="B2" s="85"/>
      <c r="C2" s="85"/>
      <c r="D2" s="85"/>
      <c r="E2" s="85"/>
      <c r="F2" s="85"/>
      <c r="G2" s="85"/>
      <c r="H2" s="85"/>
      <c r="I2" s="85"/>
      <c r="J2" s="85"/>
      <c r="K2" s="85"/>
      <c r="L2" s="89"/>
      <c r="M2" s="89"/>
      <c r="N2" s="89"/>
      <c r="O2" s="130"/>
    </row>
    <row r="3" spans="1:15" s="86" customFormat="1" x14ac:dyDescent="0.3">
      <c r="A3" s="84"/>
      <c r="B3" s="85"/>
      <c r="C3" s="85"/>
      <c r="D3" s="87"/>
      <c r="E3" s="85"/>
      <c r="F3" s="85"/>
      <c r="G3" s="85"/>
      <c r="H3" s="85"/>
      <c r="I3" s="85"/>
      <c r="J3" s="85"/>
      <c r="K3" s="85"/>
      <c r="L3" s="224" t="s">
        <v>0</v>
      </c>
      <c r="M3" s="89"/>
      <c r="N3" s="89"/>
      <c r="O3" s="130"/>
    </row>
    <row r="4" spans="1:15" s="86" customFormat="1" x14ac:dyDescent="0.3">
      <c r="A4" s="84"/>
      <c r="B4" s="85"/>
      <c r="C4" s="85"/>
      <c r="D4" s="85"/>
      <c r="E4" s="85"/>
      <c r="F4" s="85"/>
      <c r="G4" s="87"/>
      <c r="H4" s="85"/>
      <c r="I4" s="85"/>
      <c r="J4" s="85"/>
      <c r="K4" s="85"/>
      <c r="L4" s="89"/>
      <c r="M4" s="89"/>
      <c r="N4" s="89"/>
      <c r="O4" s="130"/>
    </row>
    <row r="5" spans="1:15" s="86" customFormat="1" x14ac:dyDescent="0.3">
      <c r="A5" s="84"/>
      <c r="B5" s="85"/>
      <c r="C5" s="85"/>
      <c r="D5" s="85"/>
      <c r="E5" s="85"/>
      <c r="F5" s="85"/>
      <c r="G5" s="85"/>
      <c r="H5" s="85"/>
      <c r="I5" s="85"/>
      <c r="J5" s="85"/>
      <c r="K5" s="85"/>
      <c r="L5" s="89"/>
      <c r="M5" s="89"/>
      <c r="N5" s="89"/>
      <c r="O5" s="130"/>
    </row>
    <row r="6" spans="1:15" s="86" customFormat="1" x14ac:dyDescent="0.3">
      <c r="A6" s="84"/>
      <c r="B6" s="85"/>
      <c r="C6" s="85"/>
      <c r="D6" s="85"/>
      <c r="E6" s="85"/>
      <c r="F6" s="85"/>
      <c r="G6" s="85"/>
      <c r="H6" s="85"/>
      <c r="I6" s="85"/>
      <c r="J6" s="85"/>
      <c r="K6" s="85"/>
      <c r="L6" s="89"/>
      <c r="M6" s="89"/>
      <c r="N6" s="89"/>
      <c r="O6" s="130"/>
    </row>
    <row r="7" spans="1:15" s="86" customFormat="1" ht="15" customHeight="1" x14ac:dyDescent="0.3">
      <c r="A7" s="421" t="s">
        <v>4</v>
      </c>
      <c r="B7" s="421"/>
      <c r="C7" s="421"/>
      <c r="D7" s="421"/>
      <c r="E7" s="421"/>
      <c r="F7" s="421"/>
      <c r="G7" s="421"/>
      <c r="H7" s="421"/>
      <c r="I7" s="421"/>
      <c r="J7" s="421"/>
      <c r="K7" s="197"/>
      <c r="L7" s="197"/>
      <c r="M7" s="197"/>
      <c r="N7" s="197"/>
      <c r="O7" s="197"/>
    </row>
    <row r="8" spans="1:15" s="86" customFormat="1" ht="15" customHeight="1" x14ac:dyDescent="0.3">
      <c r="A8" s="421"/>
      <c r="B8" s="421"/>
      <c r="C8" s="421"/>
      <c r="D8" s="421"/>
      <c r="E8" s="421"/>
      <c r="F8" s="421"/>
      <c r="G8" s="421"/>
      <c r="H8" s="421"/>
      <c r="I8" s="421"/>
      <c r="J8" s="421"/>
      <c r="K8" s="197"/>
      <c r="L8" s="197"/>
      <c r="M8" s="197"/>
      <c r="N8" s="197"/>
      <c r="O8" s="197"/>
    </row>
    <row r="9" spans="1:15" s="86" customFormat="1" ht="15" customHeight="1" x14ac:dyDescent="0.3">
      <c r="A9" s="215"/>
      <c r="B9" s="216"/>
      <c r="C9" s="216"/>
      <c r="D9" s="216"/>
      <c r="E9" s="216"/>
      <c r="F9" s="216"/>
      <c r="G9" s="216"/>
      <c r="H9" s="216"/>
      <c r="I9" s="216"/>
      <c r="J9" s="216"/>
      <c r="K9" s="129"/>
      <c r="L9" s="130"/>
      <c r="M9" s="130"/>
      <c r="N9" s="130"/>
      <c r="O9" s="130"/>
    </row>
    <row r="10" spans="1:15" s="145" customFormat="1" ht="18" customHeight="1" x14ac:dyDescent="0.3">
      <c r="A10" s="90" t="s">
        <v>127</v>
      </c>
      <c r="B10" s="164"/>
      <c r="C10" s="164"/>
      <c r="D10" s="164"/>
      <c r="E10" s="164"/>
      <c r="F10" s="164"/>
      <c r="G10" s="164"/>
      <c r="H10" s="164"/>
      <c r="I10" s="164"/>
      <c r="J10" s="164"/>
      <c r="K10" s="137"/>
      <c r="L10" s="137"/>
      <c r="M10" s="137"/>
      <c r="N10" s="137"/>
      <c r="O10" s="83"/>
    </row>
    <row r="11" spans="1:15" s="145" customFormat="1" ht="18" customHeight="1" x14ac:dyDescent="0.3">
      <c r="A11" s="90" t="s">
        <v>77</v>
      </c>
      <c r="B11" s="164"/>
      <c r="C11" s="164"/>
      <c r="D11" s="164"/>
      <c r="E11" s="164"/>
      <c r="F11" s="164"/>
      <c r="G11" s="164"/>
      <c r="H11" s="164"/>
      <c r="I11" s="164"/>
      <c r="J11" s="164"/>
      <c r="K11" s="137"/>
      <c r="L11" s="226"/>
      <c r="M11" s="226"/>
      <c r="N11" s="226"/>
      <c r="O11" s="83"/>
    </row>
    <row r="12" spans="1:15" s="145" customFormat="1" ht="18" customHeight="1" x14ac:dyDescent="0.3">
      <c r="A12" s="327" t="str">
        <f>'1.3 V.12Meses Ing.real'!A12</f>
        <v>Diciembre 2020 - octubre 2021</v>
      </c>
      <c r="B12" s="91"/>
      <c r="C12" s="91"/>
      <c r="D12" s="91"/>
      <c r="E12" s="91"/>
      <c r="F12" s="91"/>
      <c r="G12" s="91"/>
      <c r="H12" s="91"/>
      <c r="I12" s="91"/>
      <c r="J12" s="91"/>
      <c r="K12" s="226"/>
      <c r="L12" s="226"/>
      <c r="M12" s="226"/>
      <c r="N12" s="226"/>
      <c r="O12" s="83"/>
    </row>
    <row r="13" spans="1:15" s="145" customFormat="1" ht="18" customHeight="1" x14ac:dyDescent="0.3">
      <c r="A13" s="218"/>
      <c r="B13" s="219"/>
      <c r="C13" s="219"/>
      <c r="D13" s="219"/>
      <c r="E13" s="219"/>
      <c r="F13" s="220"/>
      <c r="G13" s="220"/>
      <c r="H13" s="220"/>
      <c r="I13" s="221"/>
      <c r="J13" s="221"/>
      <c r="K13" s="93"/>
      <c r="L13" s="83"/>
      <c r="M13" s="83"/>
      <c r="N13" s="83"/>
      <c r="O13" s="83"/>
    </row>
    <row r="14" spans="1:15" s="95" customFormat="1" ht="49.5" customHeight="1" x14ac:dyDescent="0.3">
      <c r="A14" s="265" t="s">
        <v>25</v>
      </c>
      <c r="B14" s="266" t="s">
        <v>26</v>
      </c>
      <c r="C14" s="323" t="s">
        <v>59</v>
      </c>
      <c r="D14" s="323" t="s">
        <v>5</v>
      </c>
      <c r="E14" s="323" t="s">
        <v>6</v>
      </c>
      <c r="F14" s="323" t="s">
        <v>20</v>
      </c>
      <c r="G14" s="323" t="s">
        <v>21</v>
      </c>
      <c r="H14" s="323" t="s">
        <v>22</v>
      </c>
      <c r="I14" s="323" t="s">
        <v>3</v>
      </c>
      <c r="J14" s="323" t="s">
        <v>7</v>
      </c>
      <c r="K14" s="323" t="s">
        <v>41</v>
      </c>
      <c r="L14" s="323" t="s">
        <v>38</v>
      </c>
      <c r="M14" s="323" t="s">
        <v>42</v>
      </c>
      <c r="N14" s="323" t="s">
        <v>23</v>
      </c>
      <c r="O14" s="376" t="s">
        <v>158</v>
      </c>
    </row>
    <row r="15" spans="1:15" s="95" customFormat="1" ht="18" customHeight="1" x14ac:dyDescent="0.3">
      <c r="A15" s="101" t="s">
        <v>69</v>
      </c>
      <c r="B15" s="111" t="s">
        <v>13</v>
      </c>
      <c r="C15" s="192">
        <v>-21.65903977052297</v>
      </c>
      <c r="D15" s="198">
        <v>-25.551880250370374</v>
      </c>
      <c r="E15" s="198">
        <v>-24.689565730330553</v>
      </c>
      <c r="F15" s="198">
        <v>-17.516149374929601</v>
      </c>
      <c r="G15" s="198">
        <v>-17.462836396444192</v>
      </c>
      <c r="H15" s="198">
        <v>-14.024408485326811</v>
      </c>
      <c r="I15" s="198">
        <v>-19.333720181334833</v>
      </c>
      <c r="J15" s="198">
        <v>-17.888466805003734</v>
      </c>
      <c r="K15" s="198">
        <v>-22.87134371209547</v>
      </c>
      <c r="L15" s="198">
        <v>-23.265648225450231</v>
      </c>
      <c r="M15" s="198">
        <v>-14.401099134998475</v>
      </c>
      <c r="N15" s="198">
        <v>-21.240377787817945</v>
      </c>
      <c r="O15" s="199">
        <v>-31.393520210360336</v>
      </c>
    </row>
    <row r="16" spans="1:15" s="95" customFormat="1" ht="18" customHeight="1" x14ac:dyDescent="0.3">
      <c r="A16" s="156" t="s">
        <v>124</v>
      </c>
      <c r="B16" s="156" t="s">
        <v>54</v>
      </c>
      <c r="C16" s="97">
        <v>-22.316043286652377</v>
      </c>
      <c r="D16" s="98">
        <v>-26.546407479967872</v>
      </c>
      <c r="E16" s="98">
        <v>-25.529594208304729</v>
      </c>
      <c r="F16" s="98">
        <v>-17.99420299179031</v>
      </c>
      <c r="G16" s="98">
        <v>-17.13755332410485</v>
      </c>
      <c r="H16" s="98">
        <v>-14.493635920127513</v>
      </c>
      <c r="I16" s="98">
        <v>-20.004868375559191</v>
      </c>
      <c r="J16" s="98">
        <v>-18.395130975413252</v>
      </c>
      <c r="K16" s="98">
        <v>-23.635471586402247</v>
      </c>
      <c r="L16" s="98">
        <v>-24.013438602683134</v>
      </c>
      <c r="M16" s="98">
        <v>-15.098540517376446</v>
      </c>
      <c r="N16" s="98">
        <v>-21.794167481249914</v>
      </c>
      <c r="O16" s="99">
        <v>-32.983396280529476</v>
      </c>
    </row>
    <row r="17" spans="1:15" s="95" customFormat="1" ht="18" customHeight="1" x14ac:dyDescent="0.3">
      <c r="A17" s="109"/>
      <c r="B17" s="109" t="s">
        <v>56</v>
      </c>
      <c r="C17" s="192">
        <v>-22.960258046249006</v>
      </c>
      <c r="D17" s="198">
        <v>-27.477481963592165</v>
      </c>
      <c r="E17" s="198">
        <v>-26.325199301820867</v>
      </c>
      <c r="F17" s="198">
        <v>-17.978062482055044</v>
      </c>
      <c r="G17" s="198">
        <v>-17.332339565930255</v>
      </c>
      <c r="H17" s="198">
        <v>-14.533960502199239</v>
      </c>
      <c r="I17" s="198">
        <v>-20.446919695891765</v>
      </c>
      <c r="J17" s="198">
        <v>-18.640744658856789</v>
      </c>
      <c r="K17" s="198">
        <v>-24.469539970816012</v>
      </c>
      <c r="L17" s="198">
        <v>-24.517742722276957</v>
      </c>
      <c r="M17" s="198">
        <v>-15.331010184763439</v>
      </c>
      <c r="N17" s="198">
        <v>-22.388114918288281</v>
      </c>
      <c r="O17" s="199">
        <v>-34.831655015405438</v>
      </c>
    </row>
    <row r="18" spans="1:15" s="95" customFormat="1" ht="18" customHeight="1" x14ac:dyDescent="0.3">
      <c r="A18" s="109"/>
      <c r="B18" s="156" t="s">
        <v>49</v>
      </c>
      <c r="C18" s="97">
        <v>-22.312649902036341</v>
      </c>
      <c r="D18" s="98">
        <v>-27.307584413965991</v>
      </c>
      <c r="E18" s="98">
        <v>-25.322128709907275</v>
      </c>
      <c r="F18" s="98">
        <v>-16.843690263743127</v>
      </c>
      <c r="G18" s="98">
        <v>-15.950861357904067</v>
      </c>
      <c r="H18" s="98">
        <v>-12.553400187559516</v>
      </c>
      <c r="I18" s="98">
        <v>-19.536914946001737</v>
      </c>
      <c r="J18" s="98">
        <v>-17.949633826744027</v>
      </c>
      <c r="K18" s="98">
        <v>-24.168111850207097</v>
      </c>
      <c r="L18" s="98">
        <v>-24.491561310635788</v>
      </c>
      <c r="M18" s="98">
        <v>-14.67619664521097</v>
      </c>
      <c r="N18" s="98">
        <v>-22.178270292966186</v>
      </c>
      <c r="O18" s="99">
        <v>-37.272737459002869</v>
      </c>
    </row>
    <row r="19" spans="1:15" s="95" customFormat="1" ht="18" customHeight="1" x14ac:dyDescent="0.3">
      <c r="A19" s="109"/>
      <c r="B19" s="109" t="s">
        <v>14</v>
      </c>
      <c r="C19" s="192">
        <v>-17.03503841447629</v>
      </c>
      <c r="D19" s="198">
        <v>-22.073190520759155</v>
      </c>
      <c r="E19" s="198">
        <v>-20.893350903629702</v>
      </c>
      <c r="F19" s="198">
        <v>-10.014149639013571</v>
      </c>
      <c r="G19" s="198">
        <v>-9.3570293594951615</v>
      </c>
      <c r="H19" s="198">
        <v>-5.7033912485531797</v>
      </c>
      <c r="I19" s="198">
        <v>-13.489592373025816</v>
      </c>
      <c r="J19" s="198">
        <v>-15.684819873068079</v>
      </c>
      <c r="K19" s="198">
        <v>-17.621676504937955</v>
      </c>
      <c r="L19" s="198">
        <v>-18.830109357703183</v>
      </c>
      <c r="M19" s="198">
        <v>-7.7344405520438748</v>
      </c>
      <c r="N19" s="198">
        <v>-16.880589093492215</v>
      </c>
      <c r="O19" s="199">
        <v>-35.71599941933323</v>
      </c>
    </row>
    <row r="20" spans="1:15" s="95" customFormat="1" ht="18" customHeight="1" x14ac:dyDescent="0.3">
      <c r="A20" s="109"/>
      <c r="B20" s="156" t="s">
        <v>15</v>
      </c>
      <c r="C20" s="97">
        <v>-11.48660275267388</v>
      </c>
      <c r="D20" s="98">
        <v>-15.823889561561055</v>
      </c>
      <c r="E20" s="98">
        <v>-14.938232650826267</v>
      </c>
      <c r="F20" s="98">
        <v>-4.985994004436078</v>
      </c>
      <c r="G20" s="98">
        <v>-3.9904401936951439</v>
      </c>
      <c r="H20" s="98">
        <v>9.3656706659839273E-3</v>
      </c>
      <c r="I20" s="98">
        <v>-7.6544768083370851</v>
      </c>
      <c r="J20" s="98">
        <v>-13.59130149306309</v>
      </c>
      <c r="K20" s="98">
        <v>-10.870874780223183</v>
      </c>
      <c r="L20" s="98">
        <v>-11.794243682508975</v>
      </c>
      <c r="M20" s="98">
        <v>-1.8300562567353018</v>
      </c>
      <c r="N20" s="98">
        <v>-9.3064718136988578</v>
      </c>
      <c r="O20" s="99">
        <v>-31.480661770728545</v>
      </c>
    </row>
    <row r="21" spans="1:15" s="95" customFormat="1" ht="18" customHeight="1" x14ac:dyDescent="0.3">
      <c r="A21" s="109"/>
      <c r="B21" s="109" t="s">
        <v>16</v>
      </c>
      <c r="C21" s="192">
        <v>-5.5641642625056331</v>
      </c>
      <c r="D21" s="198">
        <v>-8.9881662576914216</v>
      </c>
      <c r="E21" s="198">
        <v>-9.1326246329860297</v>
      </c>
      <c r="F21" s="198">
        <v>0.49134609437748722</v>
      </c>
      <c r="G21" s="198">
        <v>1.9368101184197517</v>
      </c>
      <c r="H21" s="198">
        <v>5.1866361736567779</v>
      </c>
      <c r="I21" s="198">
        <v>-2.19878163740449</v>
      </c>
      <c r="J21" s="198">
        <v>-8.8755568855748752</v>
      </c>
      <c r="K21" s="198">
        <v>-3.9638522634390272</v>
      </c>
      <c r="L21" s="198">
        <v>-4.7953389115585887</v>
      </c>
      <c r="M21" s="198">
        <v>4.3246566011142518</v>
      </c>
      <c r="N21" s="198">
        <v>-1.4270407902175375</v>
      </c>
      <c r="O21" s="199">
        <v>-27.23925866040593</v>
      </c>
    </row>
    <row r="22" spans="1:15" s="95" customFormat="1" ht="18" customHeight="1" x14ac:dyDescent="0.3">
      <c r="A22" s="109"/>
      <c r="B22" s="156" t="s">
        <v>8</v>
      </c>
      <c r="C22" s="97">
        <v>1.0204566953298189</v>
      </c>
      <c r="D22" s="98">
        <v>-1.2213427134025956</v>
      </c>
      <c r="E22" s="98">
        <v>-2.4191830595022612</v>
      </c>
      <c r="F22" s="98">
        <v>6.5288742829609614</v>
      </c>
      <c r="G22" s="98">
        <v>8.9845642334018816</v>
      </c>
      <c r="H22" s="98">
        <v>10.83915985935262</v>
      </c>
      <c r="I22" s="98">
        <v>2.5651960254806205</v>
      </c>
      <c r="J22" s="98">
        <v>-2.0999518800741801</v>
      </c>
      <c r="K22" s="98">
        <v>3.0539306581831349</v>
      </c>
      <c r="L22" s="98">
        <v>1.564456715085738</v>
      </c>
      <c r="M22" s="98">
        <v>8.5582770801799981</v>
      </c>
      <c r="N22" s="98">
        <v>6.3211557748294567</v>
      </c>
      <c r="O22" s="99">
        <v>-22.105612879501813</v>
      </c>
    </row>
    <row r="23" spans="1:15" s="95" customFormat="1" ht="18" customHeight="1" x14ac:dyDescent="0.3">
      <c r="A23" s="109"/>
      <c r="B23" s="109" t="s">
        <v>9</v>
      </c>
      <c r="C23" s="192">
        <v>8.3238458044339492</v>
      </c>
      <c r="D23" s="198">
        <v>7.7299500619545602</v>
      </c>
      <c r="E23" s="198">
        <v>6.1382722554253588</v>
      </c>
      <c r="F23" s="198">
        <v>12.337156044839382</v>
      </c>
      <c r="G23" s="198">
        <v>16.576825153110587</v>
      </c>
      <c r="H23" s="198">
        <v>15.495898717116896</v>
      </c>
      <c r="I23" s="198">
        <v>8.7200938598247077</v>
      </c>
      <c r="J23" s="198">
        <v>5.2991499154652955</v>
      </c>
      <c r="K23" s="198">
        <v>8.798628860132407</v>
      </c>
      <c r="L23" s="198">
        <v>8.2883389209491796</v>
      </c>
      <c r="M23" s="198">
        <v>12.117351351949356</v>
      </c>
      <c r="N23" s="198">
        <v>13.385828567384262</v>
      </c>
      <c r="O23" s="199">
        <v>-15.712343816874485</v>
      </c>
    </row>
    <row r="24" spans="1:15" s="95" customFormat="1" ht="18" customHeight="1" x14ac:dyDescent="0.3">
      <c r="A24" s="109"/>
      <c r="B24" s="156" t="s">
        <v>10</v>
      </c>
      <c r="C24" s="97">
        <v>14.598815589829051</v>
      </c>
      <c r="D24" s="98">
        <v>16.593113437547636</v>
      </c>
      <c r="E24" s="98">
        <v>14.243165894258114</v>
      </c>
      <c r="F24" s="98">
        <v>16.566802480757371</v>
      </c>
      <c r="G24" s="98">
        <v>20.884787040647513</v>
      </c>
      <c r="H24" s="98">
        <v>18.304133759320763</v>
      </c>
      <c r="I24" s="98">
        <v>13.445817218310886</v>
      </c>
      <c r="J24" s="98">
        <v>12.701438459701308</v>
      </c>
      <c r="K24" s="98">
        <v>13.662726873341246</v>
      </c>
      <c r="L24" s="98">
        <v>13.912838533440141</v>
      </c>
      <c r="M24" s="98">
        <v>14.699436559524525</v>
      </c>
      <c r="N24" s="98">
        <v>18.851171878091222</v>
      </c>
      <c r="O24" s="99">
        <v>-9.92476451465315</v>
      </c>
    </row>
    <row r="25" spans="1:15" s="201" customFormat="1" ht="15.75" customHeight="1" x14ac:dyDescent="0.3">
      <c r="A25" s="360"/>
      <c r="B25" s="406" t="s">
        <v>11</v>
      </c>
      <c r="C25" s="402">
        <v>19.171700926168931</v>
      </c>
      <c r="D25" s="403">
        <v>24.49570562500174</v>
      </c>
      <c r="E25" s="403">
        <v>20.300151820568701</v>
      </c>
      <c r="F25" s="403">
        <v>19.586692738936627</v>
      </c>
      <c r="G25" s="403">
        <v>22.700204738405372</v>
      </c>
      <c r="H25" s="403">
        <v>19.855965487950122</v>
      </c>
      <c r="I25" s="403">
        <v>17.092115664247132</v>
      </c>
      <c r="J25" s="403">
        <v>16.92353429009885</v>
      </c>
      <c r="K25" s="403">
        <v>17.49422571656638</v>
      </c>
      <c r="L25" s="403">
        <v>17.434787826185662</v>
      </c>
      <c r="M25" s="403">
        <v>15.216273185348971</v>
      </c>
      <c r="N25" s="403">
        <v>21.706930535932688</v>
      </c>
      <c r="O25" s="404">
        <v>-3.1217655329576766</v>
      </c>
    </row>
    <row r="26" spans="1:15" x14ac:dyDescent="0.3">
      <c r="A26" s="108"/>
      <c r="B26" s="109" t="s">
        <v>84</v>
      </c>
      <c r="C26" s="140"/>
      <c r="D26" s="140"/>
      <c r="E26" s="140"/>
      <c r="F26" s="140"/>
      <c r="G26" s="140"/>
      <c r="H26" s="141"/>
      <c r="I26" s="140"/>
      <c r="J26" s="140"/>
      <c r="K26" s="140"/>
      <c r="L26" s="140"/>
      <c r="M26" s="140"/>
      <c r="N26" s="140"/>
      <c r="O26" s="102"/>
    </row>
    <row r="27" spans="1:15" s="203" customFormat="1" ht="14.25" customHeight="1" x14ac:dyDescent="0.3">
      <c r="A27" s="113"/>
      <c r="B27" s="140" t="s">
        <v>17</v>
      </c>
      <c r="C27" s="140"/>
      <c r="D27" s="140"/>
      <c r="E27" s="140"/>
      <c r="F27" s="140"/>
      <c r="G27" s="140"/>
      <c r="H27" s="140"/>
      <c r="I27" s="140"/>
      <c r="J27" s="140"/>
      <c r="K27" s="140"/>
      <c r="L27" s="140"/>
      <c r="M27" s="140"/>
      <c r="N27" s="140"/>
      <c r="O27" s="202"/>
    </row>
    <row r="28" spans="1:15" s="203" customFormat="1" ht="14.25" customHeight="1" x14ac:dyDescent="0.3">
      <c r="A28" s="113"/>
      <c r="B28" s="140" t="s">
        <v>159</v>
      </c>
      <c r="C28" s="140"/>
      <c r="D28" s="140"/>
      <c r="E28" s="140"/>
      <c r="F28" s="140"/>
      <c r="G28" s="140"/>
      <c r="H28" s="140"/>
      <c r="I28" s="140"/>
      <c r="J28" s="140"/>
      <c r="K28" s="140"/>
      <c r="L28" s="140"/>
      <c r="M28" s="140"/>
      <c r="N28" s="140"/>
      <c r="O28" s="202"/>
    </row>
    <row r="29" spans="1:15" ht="15" customHeight="1" x14ac:dyDescent="0.3">
      <c r="A29" s="123"/>
      <c r="B29" s="124" t="str">
        <f>'1.1 V.A Ing.real'!B45</f>
        <v>Actualizado el 15 de diciembre de 2021</v>
      </c>
      <c r="C29" s="124"/>
      <c r="D29" s="124"/>
      <c r="E29" s="124"/>
      <c r="F29" s="124"/>
      <c r="G29" s="124"/>
      <c r="H29" s="124"/>
      <c r="I29" s="124"/>
      <c r="J29" s="124"/>
      <c r="K29" s="143"/>
      <c r="L29" s="143"/>
      <c r="M29" s="83"/>
      <c r="N29" s="83"/>
      <c r="O29" s="102"/>
    </row>
    <row r="30" spans="1:15" s="145" customFormat="1" x14ac:dyDescent="0.3">
      <c r="A30" s="125"/>
      <c r="B30" s="126"/>
      <c r="C30" s="126"/>
      <c r="D30" s="126"/>
      <c r="E30" s="126"/>
      <c r="F30" s="126"/>
      <c r="G30" s="126"/>
      <c r="H30" s="126"/>
      <c r="I30" s="126"/>
      <c r="J30" s="126"/>
      <c r="K30" s="126"/>
      <c r="L30" s="126"/>
      <c r="M30" s="126"/>
      <c r="N30" s="126"/>
      <c r="O30" s="204"/>
    </row>
  </sheetData>
  <mergeCells count="1">
    <mergeCell ref="A7:J8"/>
  </mergeCells>
  <hyperlinks>
    <hyperlink ref="L3" location="Contenido!A1" display="Inicio" xr:uid="{00000000-0004-0000-09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O40"/>
  <sheetViews>
    <sheetView showGridLines="0" zoomScale="80" zoomScaleNormal="80" zoomScaleSheetLayoutView="90" workbookViewId="0">
      <pane ySplit="15" topLeftCell="A16" activePane="bottomLeft" state="frozen"/>
      <selection pane="bottomLeft" activeCell="A7" sqref="A7:J8"/>
    </sheetView>
  </sheetViews>
  <sheetFormatPr baseColWidth="10" defaultColWidth="11.42578125" defaultRowHeight="16.5" x14ac:dyDescent="0.3"/>
  <cols>
    <col min="1" max="1" width="8.85546875" style="100" customWidth="1"/>
    <col min="2" max="2" width="19.85546875" style="128" bestFit="1" customWidth="1"/>
    <col min="3" max="8" width="14.7109375" style="128" customWidth="1"/>
    <col min="9" max="41" width="14.7109375" style="100" customWidth="1"/>
    <col min="42" max="16384" width="11.42578125" style="100"/>
  </cols>
  <sheetData>
    <row r="1" spans="1:41" s="83" customFormat="1" ht="12" customHeight="1" x14ac:dyDescent="0.3">
      <c r="A1" s="369"/>
      <c r="B1" s="81"/>
      <c r="C1" s="81"/>
      <c r="D1" s="81"/>
      <c r="E1" s="81"/>
      <c r="F1" s="81"/>
      <c r="G1" s="81"/>
      <c r="H1" s="81"/>
      <c r="I1" s="81"/>
      <c r="J1" s="81"/>
      <c r="K1" s="81"/>
      <c r="L1" s="82"/>
      <c r="M1" s="82"/>
    </row>
    <row r="2" spans="1:41" s="87" customFormat="1" x14ac:dyDescent="0.3">
      <c r="A2" s="84"/>
      <c r="B2" s="85"/>
      <c r="C2" s="85"/>
      <c r="D2" s="85"/>
      <c r="E2" s="85"/>
      <c r="F2" s="85"/>
      <c r="G2" s="85"/>
      <c r="H2" s="85"/>
      <c r="I2" s="85"/>
      <c r="J2" s="85"/>
      <c r="K2" s="85"/>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row>
    <row r="3" spans="1:41" s="87" customFormat="1" x14ac:dyDescent="0.3">
      <c r="A3" s="84"/>
      <c r="B3" s="85"/>
      <c r="C3" s="85"/>
      <c r="D3" s="85"/>
      <c r="E3" s="85"/>
      <c r="F3" s="85"/>
      <c r="G3" s="85"/>
      <c r="H3" s="85"/>
      <c r="I3" s="85"/>
      <c r="J3" s="85"/>
      <c r="K3" s="85"/>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row>
    <row r="4" spans="1:41" s="87" customFormat="1" x14ac:dyDescent="0.3">
      <c r="A4" s="84"/>
      <c r="B4" s="85"/>
      <c r="C4" s="85"/>
      <c r="D4" s="85"/>
      <c r="E4" s="85"/>
      <c r="F4" s="85"/>
      <c r="G4" s="85"/>
      <c r="H4" s="85"/>
      <c r="I4" s="85"/>
      <c r="J4" s="85"/>
      <c r="K4" s="85"/>
      <c r="L4" s="224" t="s">
        <v>0</v>
      </c>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row>
    <row r="5" spans="1:41" s="87" customFormat="1" x14ac:dyDescent="0.3">
      <c r="A5" s="84"/>
      <c r="B5" s="85"/>
      <c r="C5" s="85"/>
      <c r="D5" s="85"/>
      <c r="E5" s="85"/>
      <c r="F5" s="85"/>
      <c r="G5" s="85"/>
      <c r="H5" s="85"/>
      <c r="I5" s="85"/>
      <c r="J5" s="85"/>
      <c r="K5" s="85"/>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row>
    <row r="6" spans="1:41" s="87" customFormat="1" x14ac:dyDescent="0.3">
      <c r="A6" s="84"/>
      <c r="B6" s="85"/>
      <c r="C6" s="85"/>
      <c r="D6" s="85"/>
      <c r="E6" s="85"/>
      <c r="F6" s="85"/>
      <c r="G6" s="85"/>
      <c r="H6" s="85"/>
      <c r="I6" s="85"/>
      <c r="J6" s="85"/>
      <c r="K6" s="85"/>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row>
    <row r="7" spans="1:41" s="87" customFormat="1" ht="15" customHeight="1" x14ac:dyDescent="0.3">
      <c r="A7" s="421" t="s">
        <v>4</v>
      </c>
      <c r="B7" s="421"/>
      <c r="C7" s="421"/>
      <c r="D7" s="421"/>
      <c r="E7" s="421"/>
      <c r="F7" s="421"/>
      <c r="G7" s="421"/>
      <c r="H7" s="421"/>
      <c r="I7" s="421"/>
      <c r="J7" s="421"/>
      <c r="K7" s="197"/>
      <c r="L7" s="197"/>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row>
    <row r="8" spans="1:41" s="87" customFormat="1" ht="15" customHeight="1" x14ac:dyDescent="0.3">
      <c r="A8" s="421"/>
      <c r="B8" s="421"/>
      <c r="C8" s="421"/>
      <c r="D8" s="421"/>
      <c r="E8" s="421"/>
      <c r="F8" s="421"/>
      <c r="G8" s="421"/>
      <c r="H8" s="421"/>
      <c r="I8" s="421"/>
      <c r="J8" s="421"/>
      <c r="K8" s="197"/>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row>
    <row r="9" spans="1:41" s="89" customFormat="1" ht="15" customHeight="1" x14ac:dyDescent="0.3">
      <c r="A9" s="215"/>
      <c r="B9" s="216"/>
      <c r="C9" s="216"/>
      <c r="D9" s="216"/>
      <c r="E9" s="216"/>
      <c r="F9" s="216"/>
      <c r="G9" s="216"/>
      <c r="H9" s="216"/>
      <c r="I9" s="216"/>
      <c r="J9" s="216"/>
      <c r="K9" s="129"/>
      <c r="L9" s="228"/>
      <c r="M9" s="228"/>
      <c r="N9" s="228"/>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row>
    <row r="10" spans="1:41" s="83" customFormat="1" ht="18" customHeight="1" x14ac:dyDescent="0.3">
      <c r="A10" s="90" t="s">
        <v>157</v>
      </c>
      <c r="B10" s="223"/>
      <c r="C10" s="223"/>
      <c r="D10" s="223"/>
      <c r="E10" s="223"/>
      <c r="F10" s="223"/>
      <c r="G10" s="223"/>
      <c r="H10" s="223"/>
      <c r="I10" s="223"/>
      <c r="J10" s="223"/>
      <c r="K10" s="225"/>
      <c r="L10" s="225"/>
      <c r="M10" s="225"/>
      <c r="N10" s="225"/>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row>
    <row r="11" spans="1:41" s="83" customFormat="1" ht="18" customHeight="1" x14ac:dyDescent="0.3">
      <c r="A11" s="90" t="s">
        <v>79</v>
      </c>
      <c r="B11" s="223"/>
      <c r="C11" s="223"/>
      <c r="D11" s="223"/>
      <c r="E11" s="223"/>
      <c r="F11" s="229"/>
      <c r="G11" s="229"/>
      <c r="H11" s="229"/>
      <c r="I11" s="229"/>
      <c r="J11" s="229"/>
      <c r="K11" s="230"/>
      <c r="L11" s="230"/>
      <c r="M11" s="230"/>
      <c r="N11" s="230"/>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row>
    <row r="12" spans="1:41" s="83" customFormat="1" ht="18" customHeight="1" x14ac:dyDescent="0.3">
      <c r="A12" s="327" t="s">
        <v>178</v>
      </c>
      <c r="B12" s="229"/>
      <c r="C12" s="229"/>
      <c r="D12" s="229"/>
      <c r="E12" s="229"/>
      <c r="F12" s="229"/>
      <c r="G12" s="229"/>
      <c r="H12" s="229"/>
      <c r="I12" s="229"/>
      <c r="J12" s="229"/>
      <c r="K12" s="230"/>
      <c r="L12" s="230"/>
      <c r="M12" s="230"/>
      <c r="N12" s="230"/>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c r="AM12" s="137"/>
    </row>
    <row r="13" spans="1:41" s="83" customFormat="1" ht="18" customHeight="1" x14ac:dyDescent="0.3">
      <c r="A13" s="218"/>
      <c r="B13" s="219"/>
      <c r="C13" s="219"/>
      <c r="D13" s="219"/>
      <c r="E13" s="219"/>
      <c r="F13" s="220"/>
      <c r="G13" s="220"/>
      <c r="H13" s="220"/>
      <c r="I13" s="221"/>
      <c r="J13" s="221"/>
      <c r="K13" s="93"/>
    </row>
    <row r="14" spans="1:41" s="95" customFormat="1" ht="26.25" customHeight="1" x14ac:dyDescent="0.3">
      <c r="A14" s="427" t="s">
        <v>25</v>
      </c>
      <c r="B14" s="429" t="s">
        <v>26</v>
      </c>
      <c r="C14" s="425" t="s">
        <v>24</v>
      </c>
      <c r="D14" s="425"/>
      <c r="E14" s="425"/>
      <c r="F14" s="425" t="s">
        <v>5</v>
      </c>
      <c r="G14" s="425"/>
      <c r="H14" s="425"/>
      <c r="I14" s="425" t="s">
        <v>6</v>
      </c>
      <c r="J14" s="425"/>
      <c r="K14" s="425"/>
      <c r="L14" s="425" t="s">
        <v>20</v>
      </c>
      <c r="M14" s="425"/>
      <c r="N14" s="425"/>
      <c r="O14" s="425" t="s">
        <v>21</v>
      </c>
      <c r="P14" s="425"/>
      <c r="Q14" s="425"/>
      <c r="R14" s="425" t="s">
        <v>22</v>
      </c>
      <c r="S14" s="425"/>
      <c r="T14" s="425"/>
      <c r="U14" s="425" t="s">
        <v>3</v>
      </c>
      <c r="V14" s="425"/>
      <c r="W14" s="425"/>
      <c r="X14" s="425" t="s">
        <v>7</v>
      </c>
      <c r="Y14" s="425"/>
      <c r="Z14" s="425"/>
      <c r="AA14" s="425" t="s">
        <v>41</v>
      </c>
      <c r="AB14" s="425"/>
      <c r="AC14" s="425"/>
      <c r="AD14" s="425" t="s">
        <v>38</v>
      </c>
      <c r="AE14" s="425"/>
      <c r="AF14" s="425"/>
      <c r="AG14" s="425" t="s">
        <v>42</v>
      </c>
      <c r="AH14" s="425"/>
      <c r="AI14" s="425"/>
      <c r="AJ14" s="425" t="s">
        <v>23</v>
      </c>
      <c r="AK14" s="425"/>
      <c r="AL14" s="425"/>
      <c r="AM14" s="425" t="s">
        <v>40</v>
      </c>
      <c r="AN14" s="425"/>
      <c r="AO14" s="426"/>
    </row>
    <row r="15" spans="1:41" s="95" customFormat="1" ht="45.75" customHeight="1" x14ac:dyDescent="0.3">
      <c r="A15" s="431"/>
      <c r="B15" s="432"/>
      <c r="C15" s="213" t="s">
        <v>136</v>
      </c>
      <c r="D15" s="213" t="s">
        <v>137</v>
      </c>
      <c r="E15" s="213" t="s">
        <v>68</v>
      </c>
      <c r="F15" s="213" t="s">
        <v>136</v>
      </c>
      <c r="G15" s="213" t="s">
        <v>137</v>
      </c>
      <c r="H15" s="213" t="s">
        <v>68</v>
      </c>
      <c r="I15" s="213" t="s">
        <v>136</v>
      </c>
      <c r="J15" s="213" t="s">
        <v>137</v>
      </c>
      <c r="K15" s="213" t="s">
        <v>68</v>
      </c>
      <c r="L15" s="213" t="s">
        <v>136</v>
      </c>
      <c r="M15" s="213" t="s">
        <v>137</v>
      </c>
      <c r="N15" s="213" t="s">
        <v>68</v>
      </c>
      <c r="O15" s="213" t="s">
        <v>136</v>
      </c>
      <c r="P15" s="213" t="s">
        <v>137</v>
      </c>
      <c r="Q15" s="213" t="s">
        <v>68</v>
      </c>
      <c r="R15" s="213" t="s">
        <v>136</v>
      </c>
      <c r="S15" s="213" t="s">
        <v>137</v>
      </c>
      <c r="T15" s="213" t="s">
        <v>68</v>
      </c>
      <c r="U15" s="213" t="s">
        <v>136</v>
      </c>
      <c r="V15" s="213" t="s">
        <v>137</v>
      </c>
      <c r="W15" s="213" t="s">
        <v>68</v>
      </c>
      <c r="X15" s="213" t="s">
        <v>136</v>
      </c>
      <c r="Y15" s="213" t="s">
        <v>137</v>
      </c>
      <c r="Z15" s="213" t="s">
        <v>68</v>
      </c>
      <c r="AA15" s="213" t="s">
        <v>136</v>
      </c>
      <c r="AB15" s="213" t="s">
        <v>137</v>
      </c>
      <c r="AC15" s="213" t="s">
        <v>68</v>
      </c>
      <c r="AD15" s="213" t="s">
        <v>136</v>
      </c>
      <c r="AE15" s="213" t="s">
        <v>137</v>
      </c>
      <c r="AF15" s="213" t="s">
        <v>68</v>
      </c>
      <c r="AG15" s="213" t="s">
        <v>136</v>
      </c>
      <c r="AH15" s="213" t="s">
        <v>137</v>
      </c>
      <c r="AI15" s="213" t="s">
        <v>68</v>
      </c>
      <c r="AJ15" s="213" t="s">
        <v>136</v>
      </c>
      <c r="AK15" s="213" t="s">
        <v>137</v>
      </c>
      <c r="AL15" s="213" t="s">
        <v>68</v>
      </c>
      <c r="AM15" s="213" t="s">
        <v>136</v>
      </c>
      <c r="AN15" s="213" t="s">
        <v>137</v>
      </c>
      <c r="AO15" s="214" t="s">
        <v>68</v>
      </c>
    </row>
    <row r="16" spans="1:41" s="95" customFormat="1" ht="18" customHeight="1" x14ac:dyDescent="0.3">
      <c r="A16" s="156" t="s">
        <v>124</v>
      </c>
      <c r="B16" s="156" t="s">
        <v>54</v>
      </c>
      <c r="C16" s="97">
        <v>-41.12077721895443</v>
      </c>
      <c r="D16" s="98">
        <v>-36.107960676061488</v>
      </c>
      <c r="E16" s="98">
        <v>-3.6569962288373392</v>
      </c>
      <c r="F16" s="97">
        <v>-65.82763992696114</v>
      </c>
      <c r="G16" s="98">
        <v>-52.51772685232762</v>
      </c>
      <c r="H16" s="99">
        <v>-5.5484639715379309</v>
      </c>
      <c r="I16" s="97">
        <v>-45.431609652458448</v>
      </c>
      <c r="J16" s="98">
        <v>-34.722246125372834</v>
      </c>
      <c r="K16" s="99">
        <v>-8.6885884468238075</v>
      </c>
      <c r="L16" s="97">
        <v>-30.965919063552327</v>
      </c>
      <c r="M16" s="98">
        <v>-27.425094349787482</v>
      </c>
      <c r="N16" s="99">
        <v>-1.627001052579724</v>
      </c>
      <c r="O16" s="97">
        <v>-10.535849999582458</v>
      </c>
      <c r="P16" s="98">
        <v>-24.95852591614398</v>
      </c>
      <c r="Q16" s="99">
        <v>6.0048744475163174</v>
      </c>
      <c r="R16" s="97">
        <v>-19.577945466928693</v>
      </c>
      <c r="S16" s="98">
        <v>-30.013956873927317</v>
      </c>
      <c r="T16" s="99">
        <v>4.2994498891707922</v>
      </c>
      <c r="U16" s="97">
        <v>-41.0416192943905</v>
      </c>
      <c r="V16" s="98">
        <v>-37.707471682757884</v>
      </c>
      <c r="W16" s="99">
        <v>-0.88719895386846215</v>
      </c>
      <c r="X16" s="97">
        <v>-48.354011854952319</v>
      </c>
      <c r="Y16" s="98">
        <v>-27.682652117866102</v>
      </c>
      <c r="Z16" s="99">
        <v>0.12623577879651293</v>
      </c>
      <c r="AA16" s="97">
        <v>-44.798180962838316</v>
      </c>
      <c r="AB16" s="98">
        <v>-40.275784831834272</v>
      </c>
      <c r="AC16" s="99">
        <v>-7.290821537067993</v>
      </c>
      <c r="AD16" s="97">
        <v>-17.242596621112938</v>
      </c>
      <c r="AE16" s="98">
        <v>-36.461873638344223</v>
      </c>
      <c r="AF16" s="99">
        <v>-9.2829298822919348</v>
      </c>
      <c r="AG16" s="97">
        <v>-18.550778339785822</v>
      </c>
      <c r="AH16" s="98">
        <v>-33.321406019785329</v>
      </c>
      <c r="AI16" s="99">
        <v>-3.6633886278760741</v>
      </c>
      <c r="AJ16" s="97">
        <v>-13.728772778806597</v>
      </c>
      <c r="AK16" s="98">
        <v>-24.823726103074762</v>
      </c>
      <c r="AL16" s="99">
        <v>-1.3875519928825075</v>
      </c>
      <c r="AM16" s="97">
        <v>-66.730560775996437</v>
      </c>
      <c r="AN16" s="98">
        <v>-26.714975845410649</v>
      </c>
      <c r="AO16" s="99">
        <v>-25.583609687882447</v>
      </c>
    </row>
    <row r="17" spans="1:41" s="95" customFormat="1" ht="18" customHeight="1" x14ac:dyDescent="0.3">
      <c r="A17" s="109"/>
      <c r="B17" s="109" t="s">
        <v>56</v>
      </c>
      <c r="C17" s="375">
        <v>-47.126934885015501</v>
      </c>
      <c r="D17" s="198">
        <v>-36.469711493887104</v>
      </c>
      <c r="E17" s="198">
        <v>-4.7796300099505089</v>
      </c>
      <c r="F17" s="375">
        <v>-68.52372451611987</v>
      </c>
      <c r="G17" s="198">
        <v>-53.948241235915482</v>
      </c>
      <c r="H17" s="199">
        <v>-5.535362599808014</v>
      </c>
      <c r="I17" s="375">
        <v>-57.136663803928634</v>
      </c>
      <c r="J17" s="198">
        <v>-38.008152607293553</v>
      </c>
      <c r="K17" s="199">
        <v>-11.95906579271565</v>
      </c>
      <c r="L17" s="375">
        <v>-21.672016692599993</v>
      </c>
      <c r="M17" s="198">
        <v>-23.796810693416205</v>
      </c>
      <c r="N17" s="199">
        <v>-1.8113235447880793</v>
      </c>
      <c r="O17" s="375">
        <v>-16.813092687109531</v>
      </c>
      <c r="P17" s="198">
        <v>-26.770266417596076</v>
      </c>
      <c r="Q17" s="199">
        <v>5.7102936898540069</v>
      </c>
      <c r="R17" s="375">
        <v>-23.342896584216689</v>
      </c>
      <c r="S17" s="198">
        <v>-28.046685814045127</v>
      </c>
      <c r="T17" s="199">
        <v>6.3540218495093059</v>
      </c>
      <c r="U17" s="375">
        <v>-39.18954622959042</v>
      </c>
      <c r="V17" s="198">
        <v>-37.42421115729686</v>
      </c>
      <c r="W17" s="199">
        <v>-1.9086863880290128</v>
      </c>
      <c r="X17" s="375">
        <v>-38.636579081261281</v>
      </c>
      <c r="Y17" s="198">
        <v>-25.920593019225102</v>
      </c>
      <c r="Z17" s="199">
        <v>1.4209059128784451</v>
      </c>
      <c r="AA17" s="375">
        <v>-44.535425749020931</v>
      </c>
      <c r="AB17" s="198">
        <v>-38.300916346438107</v>
      </c>
      <c r="AC17" s="199">
        <v>-4.335595367037925</v>
      </c>
      <c r="AD17" s="375">
        <v>-25.090636739415608</v>
      </c>
      <c r="AE17" s="198">
        <v>-33.680524538616865</v>
      </c>
      <c r="AF17" s="199">
        <v>-9.5551120818049959</v>
      </c>
      <c r="AG17" s="375">
        <v>-22.119970525904598</v>
      </c>
      <c r="AH17" s="198">
        <v>-31.316308223880952</v>
      </c>
      <c r="AI17" s="199">
        <v>-2.8636515658120865</v>
      </c>
      <c r="AJ17" s="375">
        <v>-5.9659756806703541</v>
      </c>
      <c r="AK17" s="198">
        <v>-17.739738634271994</v>
      </c>
      <c r="AL17" s="199">
        <v>-3.0702481330904474</v>
      </c>
      <c r="AM17" s="375">
        <v>-76.565333572245962</v>
      </c>
      <c r="AN17" s="198">
        <v>-29.382716049382729</v>
      </c>
      <c r="AO17" s="199">
        <v>-32.247358480730362</v>
      </c>
    </row>
    <row r="18" spans="1:41" s="95" customFormat="1" ht="18" customHeight="1" x14ac:dyDescent="0.3">
      <c r="A18" s="109"/>
      <c r="B18" s="156" t="s">
        <v>49</v>
      </c>
      <c r="C18" s="97">
        <v>-36.932575538023812</v>
      </c>
      <c r="D18" s="98">
        <v>-35.101032204552077</v>
      </c>
      <c r="E18" s="98">
        <v>-3.4839276348079706</v>
      </c>
      <c r="F18" s="97">
        <v>-62.853093565828331</v>
      </c>
      <c r="G18" s="98">
        <v>-54.006396521158607</v>
      </c>
      <c r="H18" s="99">
        <v>-4.7786210990880651</v>
      </c>
      <c r="I18" s="97">
        <v>-40.629166418881603</v>
      </c>
      <c r="J18" s="98">
        <v>-35.844037222505506</v>
      </c>
      <c r="K18" s="99">
        <v>-7.391214491382736</v>
      </c>
      <c r="L18" s="97">
        <v>1.6756915914923676</v>
      </c>
      <c r="M18" s="98">
        <v>-23.967144125939555</v>
      </c>
      <c r="N18" s="99">
        <v>-0.30860215813270919</v>
      </c>
      <c r="O18" s="97">
        <v>-22.783670676026468</v>
      </c>
      <c r="P18" s="98">
        <v>-24.685910811462573</v>
      </c>
      <c r="Q18" s="99">
        <v>4.7649644500796562</v>
      </c>
      <c r="R18" s="97">
        <v>-10.989801707958657</v>
      </c>
      <c r="S18" s="98">
        <v>-26.402748241452613</v>
      </c>
      <c r="T18" s="99">
        <v>2.5844919819846934</v>
      </c>
      <c r="U18" s="97">
        <v>-31.05789297579523</v>
      </c>
      <c r="V18" s="98">
        <v>-37.060372629717442</v>
      </c>
      <c r="W18" s="99">
        <v>0.55796377499570671</v>
      </c>
      <c r="X18" s="97">
        <v>-28.969059153663512</v>
      </c>
      <c r="Y18" s="98">
        <v>-23.331542463276268</v>
      </c>
      <c r="Z18" s="99">
        <v>4.067459705564036</v>
      </c>
      <c r="AA18" s="97">
        <v>-28.071907826721265</v>
      </c>
      <c r="AB18" s="98">
        <v>-37.042721923765662</v>
      </c>
      <c r="AC18" s="99">
        <v>-5.789716291115754</v>
      </c>
      <c r="AD18" s="97">
        <v>-12.17453738755011</v>
      </c>
      <c r="AE18" s="98">
        <v>-29.943442535481822</v>
      </c>
      <c r="AF18" s="99">
        <v>-8.6096228586958983</v>
      </c>
      <c r="AG18" s="97">
        <v>-4.6436581819765959</v>
      </c>
      <c r="AH18" s="98">
        <v>-25.18768089725042</v>
      </c>
      <c r="AI18" s="99">
        <v>-2.5488735154798214</v>
      </c>
      <c r="AJ18" s="97">
        <v>-7.2947672190580848</v>
      </c>
      <c r="AK18" s="98">
        <v>-15.729719831532684</v>
      </c>
      <c r="AL18" s="99">
        <v>-3.5009596732054504</v>
      </c>
      <c r="AM18" s="97">
        <v>-74.961122594475867</v>
      </c>
      <c r="AN18" s="98">
        <v>-28.20888238164958</v>
      </c>
      <c r="AO18" s="99">
        <v>-34.719551840532382</v>
      </c>
    </row>
    <row r="19" spans="1:41" s="95" customFormat="1" ht="18" customHeight="1" x14ac:dyDescent="0.3">
      <c r="A19" s="109"/>
      <c r="B19" s="109" t="s">
        <v>14</v>
      </c>
      <c r="C19" s="192">
        <v>-44.767678961467915</v>
      </c>
      <c r="D19" s="198">
        <v>-35.905696312170207</v>
      </c>
      <c r="E19" s="198">
        <v>-2.5535745275980792</v>
      </c>
      <c r="F19" s="192">
        <v>-66.675414610102976</v>
      </c>
      <c r="G19" s="198">
        <v>-55.228560768916445</v>
      </c>
      <c r="H19" s="199">
        <v>-2.0953850618100622</v>
      </c>
      <c r="I19" s="192">
        <v>-40.112828895719943</v>
      </c>
      <c r="J19" s="198">
        <v>-34.961009701533676</v>
      </c>
      <c r="K19" s="199">
        <v>-5.2855652009606402</v>
      </c>
      <c r="L19" s="192">
        <v>-30.281057312753212</v>
      </c>
      <c r="M19" s="198">
        <v>-25.677670266850939</v>
      </c>
      <c r="N19" s="199">
        <v>1.2207248177865004</v>
      </c>
      <c r="O19" s="192">
        <v>-45.444741508496612</v>
      </c>
      <c r="P19" s="198">
        <v>-27.086344570193244</v>
      </c>
      <c r="Q19" s="199">
        <v>2.5107939513754562</v>
      </c>
      <c r="R19" s="192">
        <v>-24.741197852053766</v>
      </c>
      <c r="S19" s="198">
        <v>-26.484604748769978</v>
      </c>
      <c r="T19" s="199">
        <v>3.0882871049647376</v>
      </c>
      <c r="U19" s="192">
        <v>-47.683590287383637</v>
      </c>
      <c r="V19" s="198">
        <v>-38.246576564521149</v>
      </c>
      <c r="W19" s="199">
        <v>0.81007182015992996</v>
      </c>
      <c r="X19" s="192">
        <v>-29.035015442037306</v>
      </c>
      <c r="Y19" s="198">
        <v>-22.009843043362608</v>
      </c>
      <c r="Z19" s="199">
        <v>4.6489694518185187</v>
      </c>
      <c r="AA19" s="192">
        <v>-33.463231661417773</v>
      </c>
      <c r="AB19" s="198">
        <v>-37.411592553450959</v>
      </c>
      <c r="AC19" s="199">
        <v>-3.8383989108351058</v>
      </c>
      <c r="AD19" s="192">
        <v>-21.523603433071038</v>
      </c>
      <c r="AE19" s="198">
        <v>-30.004344426101326</v>
      </c>
      <c r="AF19" s="199">
        <v>-9.3140200603269658</v>
      </c>
      <c r="AG19" s="192">
        <v>-25.460761650387742</v>
      </c>
      <c r="AH19" s="198">
        <v>-28.133881334441025</v>
      </c>
      <c r="AI19" s="199">
        <v>-1.5482300372687274</v>
      </c>
      <c r="AJ19" s="192">
        <v>-27.710834007151387</v>
      </c>
      <c r="AK19" s="198">
        <v>-18.454106280193216</v>
      </c>
      <c r="AL19" s="199">
        <v>-5.5311233610954691</v>
      </c>
      <c r="AM19" s="192">
        <v>-76.411743545429061</v>
      </c>
      <c r="AN19" s="198">
        <v>-29.306040938592105</v>
      </c>
      <c r="AO19" s="199">
        <v>-40.630351966496349</v>
      </c>
    </row>
    <row r="20" spans="1:41" s="95" customFormat="1" ht="18" customHeight="1" x14ac:dyDescent="0.3">
      <c r="A20" s="109"/>
      <c r="B20" s="156" t="s">
        <v>15</v>
      </c>
      <c r="C20" s="97">
        <v>-51.176636232467644</v>
      </c>
      <c r="D20" s="98">
        <v>-37.599795813836813</v>
      </c>
      <c r="E20" s="98">
        <v>-3.7054765509838439</v>
      </c>
      <c r="F20" s="97">
        <v>-70.662882473236238</v>
      </c>
      <c r="G20" s="98">
        <v>-56.574727109060241</v>
      </c>
      <c r="H20" s="99">
        <v>-2.4771835429967304</v>
      </c>
      <c r="I20" s="97">
        <v>-48.287012475496226</v>
      </c>
      <c r="J20" s="98">
        <v>-36.846328256145078</v>
      </c>
      <c r="K20" s="99">
        <v>-6.2192558213783444</v>
      </c>
      <c r="L20" s="97">
        <v>-34.862809279729703</v>
      </c>
      <c r="M20" s="98">
        <v>-26.284270440873591</v>
      </c>
      <c r="N20" s="99">
        <v>3.7807452832949728E-2</v>
      </c>
      <c r="O20" s="97">
        <v>-30.370596111336834</v>
      </c>
      <c r="P20" s="98">
        <v>-27.869238408328222</v>
      </c>
      <c r="Q20" s="99">
        <v>1.4758128927654601</v>
      </c>
      <c r="R20" s="97">
        <v>-55.708122586050443</v>
      </c>
      <c r="S20" s="98">
        <v>-33.705221507807536</v>
      </c>
      <c r="T20" s="99">
        <v>5.2522503118386465</v>
      </c>
      <c r="U20" s="97">
        <v>-48.511412306580105</v>
      </c>
      <c r="V20" s="98">
        <v>-39.260915806351029</v>
      </c>
      <c r="W20" s="99">
        <v>-0.28253901830321837</v>
      </c>
      <c r="X20" s="97">
        <v>-27.763108694923446</v>
      </c>
      <c r="Y20" s="98">
        <v>-21.451353524524265</v>
      </c>
      <c r="Z20" s="99">
        <v>1.3609158968561408</v>
      </c>
      <c r="AA20" s="97">
        <v>-61.552129369827568</v>
      </c>
      <c r="AB20" s="98">
        <v>-41.556209263425039</v>
      </c>
      <c r="AC20" s="99">
        <v>-7.7701978806231313</v>
      </c>
      <c r="AD20" s="97">
        <v>-31.190803848559646</v>
      </c>
      <c r="AE20" s="98">
        <v>-29.210581787521107</v>
      </c>
      <c r="AF20" s="99">
        <v>-9.4331563810950652</v>
      </c>
      <c r="AG20" s="97">
        <v>-30.57027683820084</v>
      </c>
      <c r="AH20" s="98">
        <v>-28.633472565027574</v>
      </c>
      <c r="AI20" s="99">
        <v>-2.460830015134452</v>
      </c>
      <c r="AJ20" s="97">
        <v>-29.333488396470699</v>
      </c>
      <c r="AK20" s="98">
        <v>-20.207198547474082</v>
      </c>
      <c r="AL20" s="99">
        <v>-1.5113508405922405</v>
      </c>
      <c r="AM20" s="97">
        <v>-79.935541619928244</v>
      </c>
      <c r="AN20" s="98">
        <v>-31.31163708086785</v>
      </c>
      <c r="AO20" s="99">
        <v>-40.160010277532457</v>
      </c>
    </row>
    <row r="21" spans="1:41" s="95" customFormat="1" ht="18" customHeight="1" x14ac:dyDescent="0.3">
      <c r="A21" s="109"/>
      <c r="B21" s="109" t="s">
        <v>16</v>
      </c>
      <c r="C21" s="192">
        <v>-31.083072288144674</v>
      </c>
      <c r="D21" s="198">
        <v>-35.642238112580046</v>
      </c>
      <c r="E21" s="198">
        <v>-0.95154029170585464</v>
      </c>
      <c r="F21" s="192">
        <v>-59.23308955782236</v>
      </c>
      <c r="G21" s="198">
        <v>-54.664639356402034</v>
      </c>
      <c r="H21" s="199">
        <v>5.6645830885604376E-2</v>
      </c>
      <c r="I21" s="192">
        <v>-18.905857334888342</v>
      </c>
      <c r="J21" s="198">
        <v>-33.892089537012652</v>
      </c>
      <c r="K21" s="199">
        <v>-1.3712525860577252</v>
      </c>
      <c r="L21" s="192">
        <v>-21.431609262556016</v>
      </c>
      <c r="M21" s="198">
        <v>-27.136714649333438</v>
      </c>
      <c r="N21" s="199">
        <v>1.167732457252102</v>
      </c>
      <c r="O21" s="192">
        <v>-3.2239198929785884</v>
      </c>
      <c r="P21" s="198">
        <v>-25.947594345095059</v>
      </c>
      <c r="Q21" s="199">
        <v>3.8306258362143186</v>
      </c>
      <c r="R21" s="192">
        <v>-26.762891061829166</v>
      </c>
      <c r="S21" s="198">
        <v>-31.070555578572289</v>
      </c>
      <c r="T21" s="199">
        <v>7.4277558702819269</v>
      </c>
      <c r="U21" s="192">
        <v>-34.876755784850879</v>
      </c>
      <c r="V21" s="198">
        <v>-36.991159894697844</v>
      </c>
      <c r="W21" s="199">
        <v>1.8037541825341119</v>
      </c>
      <c r="X21" s="192">
        <v>-14.083965457219772</v>
      </c>
      <c r="Y21" s="198">
        <v>-18.6164815391068</v>
      </c>
      <c r="Z21" s="199">
        <v>1.8708623904828858</v>
      </c>
      <c r="AA21" s="192">
        <v>-45.591406773156173</v>
      </c>
      <c r="AB21" s="198">
        <v>-40.823682005486653</v>
      </c>
      <c r="AC21" s="199">
        <v>-7.2307923795616347</v>
      </c>
      <c r="AD21" s="192">
        <v>-25.279162546736156</v>
      </c>
      <c r="AE21" s="198">
        <v>-28.065704261001624</v>
      </c>
      <c r="AF21" s="199">
        <v>-3.2551781781835265</v>
      </c>
      <c r="AG21" s="192">
        <v>18.448086186043522</v>
      </c>
      <c r="AH21" s="198">
        <v>-24.531544649464156</v>
      </c>
      <c r="AI21" s="199">
        <v>1.4914381511718311</v>
      </c>
      <c r="AJ21" s="192">
        <v>-9.3807387447652157</v>
      </c>
      <c r="AK21" s="198">
        <v>-21.722333438696285</v>
      </c>
      <c r="AL21" s="199">
        <v>-3.5367380207905641</v>
      </c>
      <c r="AM21" s="192">
        <v>-73.664349588955048</v>
      </c>
      <c r="AN21" s="198">
        <v>-30.201672405312351</v>
      </c>
      <c r="AO21" s="199">
        <v>-37.046614558201554</v>
      </c>
    </row>
    <row r="22" spans="1:41" s="95" customFormat="1" ht="18" customHeight="1" x14ac:dyDescent="0.3">
      <c r="A22" s="109"/>
      <c r="B22" s="156" t="s">
        <v>8</v>
      </c>
      <c r="C22" s="97">
        <v>-19.594687769510511</v>
      </c>
      <c r="D22" s="98">
        <v>-32.876474708446523</v>
      </c>
      <c r="E22" s="98">
        <v>-2.7070974879275123</v>
      </c>
      <c r="F22" s="97">
        <v>-55.819184864974723</v>
      </c>
      <c r="G22" s="98">
        <v>-54.7234702312374</v>
      </c>
      <c r="H22" s="99">
        <v>-3.210448482700512</v>
      </c>
      <c r="I22" s="97">
        <v>-8.38391048226792</v>
      </c>
      <c r="J22" s="98">
        <v>-29.747992707599447</v>
      </c>
      <c r="K22" s="99">
        <v>-1.9862323914969005</v>
      </c>
      <c r="L22" s="97">
        <v>0.76561481173584855</v>
      </c>
      <c r="M22" s="98">
        <v>-24.837579480081274</v>
      </c>
      <c r="N22" s="99">
        <v>-0.4717351408306536</v>
      </c>
      <c r="O22" s="97">
        <v>10.435639954999454</v>
      </c>
      <c r="P22" s="98">
        <v>-22.620096731085127</v>
      </c>
      <c r="Q22" s="99">
        <v>2.0445826045796034</v>
      </c>
      <c r="R22" s="97">
        <v>-0.32356361529671807</v>
      </c>
      <c r="S22" s="98">
        <v>-25.994757174392891</v>
      </c>
      <c r="T22" s="99">
        <v>3.7867355867783781</v>
      </c>
      <c r="U22" s="97">
        <v>-18.843369269776133</v>
      </c>
      <c r="V22" s="98">
        <v>-33.837134601836617</v>
      </c>
      <c r="W22" s="99">
        <v>-2.2700512773768056</v>
      </c>
      <c r="X22" s="97">
        <v>-4.5821998613442494</v>
      </c>
      <c r="Y22" s="98">
        <v>-15.942842282476299</v>
      </c>
      <c r="Z22" s="99">
        <v>1.4027357176680244</v>
      </c>
      <c r="AA22" s="97">
        <v>-28.398327998552009</v>
      </c>
      <c r="AB22" s="98">
        <v>-36.291220458432335</v>
      </c>
      <c r="AC22" s="99">
        <v>-4.5748076564685931</v>
      </c>
      <c r="AD22" s="97">
        <v>-8.8594000081698034</v>
      </c>
      <c r="AE22" s="98">
        <v>-24.210728504574952</v>
      </c>
      <c r="AF22" s="99">
        <v>-5.3380542018136463</v>
      </c>
      <c r="AG22" s="97">
        <v>30.763993114836239</v>
      </c>
      <c r="AH22" s="98">
        <v>-16.408792749486778</v>
      </c>
      <c r="AI22" s="99">
        <v>5.6025863761387518</v>
      </c>
      <c r="AJ22" s="97">
        <v>16.044544563526021</v>
      </c>
      <c r="AK22" s="98">
        <v>-19.8804710845491</v>
      </c>
      <c r="AL22" s="99">
        <v>1.7130126441126325</v>
      </c>
      <c r="AM22" s="97">
        <v>-61.763381022540933</v>
      </c>
      <c r="AN22" s="98">
        <v>-26.238352133398735</v>
      </c>
      <c r="AO22" s="99">
        <v>-29.801039554943841</v>
      </c>
    </row>
    <row r="23" spans="1:41" s="95" customFormat="1" ht="18" customHeight="1" x14ac:dyDescent="0.3">
      <c r="A23" s="109"/>
      <c r="B23" s="109" t="s">
        <v>9</v>
      </c>
      <c r="C23" s="192">
        <v>-21.235510588462702</v>
      </c>
      <c r="D23" s="198">
        <v>-30.888312741824286</v>
      </c>
      <c r="E23" s="198">
        <v>-0.27626608931508034</v>
      </c>
      <c r="F23" s="192">
        <v>-50.886099841459462</v>
      </c>
      <c r="G23" s="198">
        <v>-51.996300895252844</v>
      </c>
      <c r="H23" s="199">
        <v>2.5041356035795381</v>
      </c>
      <c r="I23" s="192">
        <v>-14.201140890466791</v>
      </c>
      <c r="J23" s="198">
        <v>-27.564416287061842</v>
      </c>
      <c r="K23" s="199">
        <v>-0.34618389188036947</v>
      </c>
      <c r="L23" s="192">
        <v>-4.3377657312569813</v>
      </c>
      <c r="M23" s="198">
        <v>-23.40324925131786</v>
      </c>
      <c r="N23" s="199">
        <v>3.0886596063726568</v>
      </c>
      <c r="O23" s="192">
        <v>-0.42635202174979847</v>
      </c>
      <c r="P23" s="198">
        <v>-21.057104256262782</v>
      </c>
      <c r="Q23" s="199">
        <v>4.095364712667493</v>
      </c>
      <c r="R23" s="192">
        <v>-11.434644271511353</v>
      </c>
      <c r="S23" s="198">
        <v>-25.324701762957492</v>
      </c>
      <c r="T23" s="199">
        <v>7.6907875735512832</v>
      </c>
      <c r="U23" s="192">
        <v>-21.399972973816773</v>
      </c>
      <c r="V23" s="198">
        <v>-32.098248097242355</v>
      </c>
      <c r="W23" s="199">
        <v>-1.0756773461376712</v>
      </c>
      <c r="X23" s="192">
        <v>-6.0428032429944096</v>
      </c>
      <c r="Y23" s="198">
        <v>-13.226886357061174</v>
      </c>
      <c r="Z23" s="199">
        <v>1.4453646049860769</v>
      </c>
      <c r="AA23" s="192">
        <v>-21.840474270034825</v>
      </c>
      <c r="AB23" s="198">
        <v>-34.359003656307117</v>
      </c>
      <c r="AC23" s="199">
        <v>-5.0783134672993668</v>
      </c>
      <c r="AD23" s="192">
        <v>-7.5305676540114996</v>
      </c>
      <c r="AE23" s="198">
        <v>-23.13387756510933</v>
      </c>
      <c r="AF23" s="199">
        <v>-4.1781873860523451</v>
      </c>
      <c r="AG23" s="192">
        <v>31.915807361584214</v>
      </c>
      <c r="AH23" s="198">
        <v>-15.069704010506179</v>
      </c>
      <c r="AI23" s="199">
        <v>4.8584174429884497</v>
      </c>
      <c r="AJ23" s="192">
        <v>9.2912169512283871</v>
      </c>
      <c r="AK23" s="198">
        <v>-18.98725287073778</v>
      </c>
      <c r="AL23" s="199">
        <v>-0.14749028218257187</v>
      </c>
      <c r="AM23" s="192">
        <v>-42.048300655430971</v>
      </c>
      <c r="AN23" s="198">
        <v>-25.736359246740736</v>
      </c>
      <c r="AO23" s="199">
        <v>-11.585046307392055</v>
      </c>
    </row>
    <row r="24" spans="1:41" s="95" customFormat="1" ht="18" customHeight="1" x14ac:dyDescent="0.3">
      <c r="A24" s="109"/>
      <c r="B24" s="156" t="s">
        <v>10</v>
      </c>
      <c r="C24" s="97">
        <v>-17.085585842887575</v>
      </c>
      <c r="D24" s="98">
        <v>-28.790779399487178</v>
      </c>
      <c r="E24" s="98">
        <v>0.12908302610306066</v>
      </c>
      <c r="F24" s="97">
        <v>-47.378718316792735</v>
      </c>
      <c r="G24" s="98">
        <v>-49.585156327607763</v>
      </c>
      <c r="H24" s="99">
        <v>5.604928101055795</v>
      </c>
      <c r="I24" s="97">
        <v>-5.673106489914181</v>
      </c>
      <c r="J24" s="98">
        <v>-26.103460022385448</v>
      </c>
      <c r="K24" s="99">
        <v>0.17597983307233722</v>
      </c>
      <c r="L24" s="97">
        <v>4.0526848584437891</v>
      </c>
      <c r="M24" s="98">
        <v>-19.957815308289916</v>
      </c>
      <c r="N24" s="99">
        <v>-0.59324760952326194</v>
      </c>
      <c r="O24" s="97">
        <v>6.0263742397728137</v>
      </c>
      <c r="P24" s="98">
        <v>-18.607152847481657</v>
      </c>
      <c r="Q24" s="99">
        <v>2.5196182647235776</v>
      </c>
      <c r="R24" s="97">
        <v>4.4638186491909426</v>
      </c>
      <c r="S24" s="98">
        <v>-20.553418171056492</v>
      </c>
      <c r="T24" s="99">
        <v>3.4022774759311591</v>
      </c>
      <c r="U24" s="97">
        <v>-13.674844113810448</v>
      </c>
      <c r="V24" s="98">
        <v>-32.58294022356921</v>
      </c>
      <c r="W24" s="99">
        <v>1.0637349290944176</v>
      </c>
      <c r="X24" s="97">
        <v>-8.0722335982402971</v>
      </c>
      <c r="Y24" s="98">
        <v>-9.7939289582581246</v>
      </c>
      <c r="Z24" s="99">
        <v>1.2454410310763775</v>
      </c>
      <c r="AA24" s="97">
        <v>-14.838076871968585</v>
      </c>
      <c r="AB24" s="98">
        <v>-33.019495412844037</v>
      </c>
      <c r="AC24" s="99">
        <v>-4.1288648697747838</v>
      </c>
      <c r="AD24" s="97">
        <v>-3.3679518048223778</v>
      </c>
      <c r="AE24" s="98">
        <v>-20.780878143000002</v>
      </c>
      <c r="AF24" s="99">
        <v>-3.7788955252500478</v>
      </c>
      <c r="AG24" s="97">
        <v>24.264964838227755</v>
      </c>
      <c r="AH24" s="98">
        <v>-11.827523675196517</v>
      </c>
      <c r="AI24" s="99">
        <v>8.2761988650329457</v>
      </c>
      <c r="AJ24" s="97">
        <v>6.1806859601780451</v>
      </c>
      <c r="AK24" s="98">
        <v>-14.207495849376528</v>
      </c>
      <c r="AL24" s="99">
        <v>-0.1041237210788748</v>
      </c>
      <c r="AM24" s="97">
        <v>-43.317209538319624</v>
      </c>
      <c r="AN24" s="98">
        <v>-25.696445725264173</v>
      </c>
      <c r="AO24" s="99">
        <v>-7.8191606716398461</v>
      </c>
    </row>
    <row r="25" spans="1:41" ht="15.75" customHeight="1" x14ac:dyDescent="0.3">
      <c r="A25" s="360"/>
      <c r="B25" s="406" t="s">
        <v>11</v>
      </c>
      <c r="C25" s="402">
        <v>-2.4847919177201194</v>
      </c>
      <c r="D25" s="403">
        <v>-26.496454733078835</v>
      </c>
      <c r="E25" s="403">
        <v>0.19885596723727694</v>
      </c>
      <c r="F25" s="402">
        <v>-40.279419307473638</v>
      </c>
      <c r="G25" s="403">
        <v>-47.142764114697556</v>
      </c>
      <c r="H25" s="404">
        <v>3.1285323420250588</v>
      </c>
      <c r="I25" s="402">
        <v>14.218574993677692</v>
      </c>
      <c r="J25" s="403">
        <v>-24.225894390374002</v>
      </c>
      <c r="K25" s="404">
        <v>2.1758658624100535</v>
      </c>
      <c r="L25" s="402">
        <v>21.462008583460278</v>
      </c>
      <c r="M25" s="403">
        <v>-17.826374114511488</v>
      </c>
      <c r="N25" s="404">
        <v>3.2727055096713586</v>
      </c>
      <c r="O25" s="402">
        <v>43.938748134622884</v>
      </c>
      <c r="P25" s="403">
        <v>-17.833075380455465</v>
      </c>
      <c r="Q25" s="404">
        <v>2.2713026643287781</v>
      </c>
      <c r="R25" s="402">
        <v>17.326406164147379</v>
      </c>
      <c r="S25" s="403">
        <v>-19.850674940955681</v>
      </c>
      <c r="T25" s="404">
        <v>5.867472411934993</v>
      </c>
      <c r="U25" s="402">
        <v>0.84899308170116594</v>
      </c>
      <c r="V25" s="403">
        <v>-29.485609214501039</v>
      </c>
      <c r="W25" s="404">
        <v>-1.6859114450130219</v>
      </c>
      <c r="X25" s="402">
        <v>-1.6602679567292111</v>
      </c>
      <c r="Y25" s="403">
        <v>-6.7240258392928691</v>
      </c>
      <c r="Z25" s="404">
        <v>3.0126108527202433</v>
      </c>
      <c r="AA25" s="402">
        <v>-8.7629808107566483</v>
      </c>
      <c r="AB25" s="403">
        <v>-30.206445693313476</v>
      </c>
      <c r="AC25" s="404">
        <v>-4.328677937790026</v>
      </c>
      <c r="AD25" s="402">
        <v>11.844519430302313</v>
      </c>
      <c r="AE25" s="403">
        <v>-17.211897813955833</v>
      </c>
      <c r="AF25" s="404">
        <v>0.54841766599424968</v>
      </c>
      <c r="AG25" s="402">
        <v>33.849332812707658</v>
      </c>
      <c r="AH25" s="403">
        <v>-9.5894220559235794</v>
      </c>
      <c r="AI25" s="404">
        <v>1.5298537274218038</v>
      </c>
      <c r="AJ25" s="402">
        <v>14.38836817640825</v>
      </c>
      <c r="AK25" s="403">
        <v>-10.083741617151388</v>
      </c>
      <c r="AL25" s="404">
        <v>-2.5943561698426376</v>
      </c>
      <c r="AM25" s="402">
        <v>-34.613103436324735</v>
      </c>
      <c r="AN25" s="403">
        <v>-23.589001447178038</v>
      </c>
      <c r="AO25" s="404">
        <v>-8.7727781824313169</v>
      </c>
    </row>
    <row r="26" spans="1:41" s="109" customFormat="1" ht="15" customHeight="1" x14ac:dyDescent="0.3">
      <c r="A26" s="108"/>
      <c r="F26" s="110"/>
      <c r="G26" s="110"/>
      <c r="H26" s="110"/>
      <c r="AO26" s="111"/>
    </row>
    <row r="27" spans="1:41" s="109" customFormat="1" x14ac:dyDescent="0.3">
      <c r="A27" s="108"/>
      <c r="B27" s="109" t="s">
        <v>84</v>
      </c>
      <c r="C27" s="140"/>
      <c r="D27" s="140"/>
      <c r="E27" s="140"/>
      <c r="F27" s="140"/>
      <c r="G27" s="140"/>
      <c r="H27" s="141"/>
      <c r="I27" s="140"/>
      <c r="J27" s="140"/>
      <c r="K27" s="140"/>
      <c r="L27" s="140"/>
      <c r="M27" s="140"/>
      <c r="N27" s="140"/>
      <c r="AO27" s="111"/>
    </row>
    <row r="28" spans="1:41" s="117" customFormat="1" ht="33" x14ac:dyDescent="0.3">
      <c r="A28" s="116"/>
      <c r="B28" s="112" t="s">
        <v>17</v>
      </c>
      <c r="C28" s="140"/>
      <c r="D28" s="140"/>
      <c r="E28" s="140"/>
      <c r="F28" s="140"/>
      <c r="G28" s="140"/>
      <c r="H28" s="140"/>
      <c r="I28" s="140"/>
      <c r="J28" s="140"/>
      <c r="K28" s="140"/>
      <c r="L28" s="140"/>
      <c r="M28" s="140"/>
      <c r="N28" s="140"/>
      <c r="O28" s="112"/>
      <c r="P28" s="112"/>
      <c r="Q28" s="112"/>
      <c r="R28" s="112"/>
      <c r="S28" s="112"/>
      <c r="T28" s="112"/>
      <c r="U28" s="112"/>
      <c r="V28" s="112"/>
      <c r="W28" s="112"/>
      <c r="X28" s="112"/>
      <c r="Y28" s="112"/>
      <c r="Z28" s="112"/>
      <c r="AA28" s="112"/>
      <c r="AB28" s="359"/>
      <c r="AC28" s="359"/>
      <c r="AO28" s="118"/>
    </row>
    <row r="29" spans="1:41" s="117" customFormat="1" ht="29.25" customHeight="1" x14ac:dyDescent="0.3">
      <c r="A29" s="116"/>
      <c r="B29" s="423" t="s">
        <v>73</v>
      </c>
      <c r="C29" s="424"/>
      <c r="D29" s="424"/>
      <c r="E29" s="424"/>
      <c r="F29" s="424"/>
      <c r="G29" s="424"/>
      <c r="H29" s="424"/>
      <c r="I29" s="424"/>
      <c r="J29" s="424"/>
      <c r="K29" s="424"/>
      <c r="L29" s="140"/>
      <c r="M29" s="140"/>
      <c r="N29" s="140"/>
      <c r="O29" s="112"/>
      <c r="P29" s="112"/>
      <c r="Q29" s="112"/>
      <c r="R29" s="112"/>
      <c r="S29" s="112"/>
      <c r="T29" s="112"/>
      <c r="U29" s="112"/>
      <c r="V29" s="112"/>
      <c r="W29" s="112"/>
      <c r="X29" s="112"/>
      <c r="Y29" s="112"/>
      <c r="Z29" s="112"/>
      <c r="AA29" s="112"/>
      <c r="AB29" s="359"/>
      <c r="AC29" s="359"/>
      <c r="AO29" s="118"/>
    </row>
    <row r="30" spans="1:41" s="117" customFormat="1" x14ac:dyDescent="0.3">
      <c r="A30" s="116"/>
      <c r="B30" s="424"/>
      <c r="C30" s="424"/>
      <c r="D30" s="424"/>
      <c r="E30" s="424"/>
      <c r="F30" s="424"/>
      <c r="G30" s="424"/>
      <c r="H30" s="424"/>
      <c r="I30" s="424"/>
      <c r="J30" s="424"/>
      <c r="K30" s="424"/>
      <c r="L30" s="140"/>
      <c r="M30" s="140"/>
      <c r="N30" s="140"/>
      <c r="O30" s="112"/>
      <c r="P30" s="112"/>
      <c r="Q30" s="112"/>
      <c r="R30" s="112"/>
      <c r="S30" s="112"/>
      <c r="T30" s="112"/>
      <c r="U30" s="112"/>
      <c r="V30" s="112"/>
      <c r="W30" s="112"/>
      <c r="X30" s="112"/>
      <c r="Y30" s="112"/>
      <c r="Z30" s="112"/>
      <c r="AA30" s="112"/>
      <c r="AB30" s="359"/>
      <c r="AC30" s="359"/>
      <c r="AO30" s="118"/>
    </row>
    <row r="31" spans="1:41" s="117" customFormat="1" x14ac:dyDescent="0.3">
      <c r="A31" s="116"/>
      <c r="B31" s="424"/>
      <c r="C31" s="424"/>
      <c r="D31" s="424"/>
      <c r="E31" s="424"/>
      <c r="F31" s="424"/>
      <c r="G31" s="424"/>
      <c r="H31" s="424"/>
      <c r="I31" s="424"/>
      <c r="J31" s="424"/>
      <c r="K31" s="424"/>
      <c r="L31" s="140"/>
      <c r="M31" s="140"/>
      <c r="N31" s="140"/>
      <c r="O31" s="112"/>
      <c r="P31" s="112"/>
      <c r="Q31" s="112"/>
      <c r="R31" s="112"/>
      <c r="S31" s="112"/>
      <c r="T31" s="112"/>
      <c r="U31" s="112"/>
      <c r="V31" s="112"/>
      <c r="W31" s="112"/>
      <c r="X31" s="112"/>
      <c r="Y31" s="112"/>
      <c r="Z31" s="112"/>
      <c r="AA31" s="112"/>
      <c r="AB31" s="359"/>
      <c r="AC31" s="359"/>
      <c r="AO31" s="118"/>
    </row>
    <row r="32" spans="1:41" s="117" customFormat="1" x14ac:dyDescent="0.3">
      <c r="A32" s="116"/>
      <c r="B32" s="424"/>
      <c r="C32" s="424"/>
      <c r="D32" s="424"/>
      <c r="E32" s="424"/>
      <c r="F32" s="424"/>
      <c r="G32" s="424"/>
      <c r="H32" s="424"/>
      <c r="I32" s="424"/>
      <c r="J32" s="424"/>
      <c r="K32" s="424"/>
      <c r="L32" s="140"/>
      <c r="M32" s="140"/>
      <c r="N32" s="140"/>
      <c r="O32" s="112"/>
      <c r="P32" s="112"/>
      <c r="Q32" s="112"/>
      <c r="R32" s="112"/>
      <c r="S32" s="112"/>
      <c r="T32" s="112"/>
      <c r="U32" s="112"/>
      <c r="V32" s="112"/>
      <c r="W32" s="112"/>
      <c r="X32" s="112"/>
      <c r="Y32" s="112"/>
      <c r="Z32" s="112"/>
      <c r="AA32" s="112"/>
      <c r="AB32" s="359"/>
      <c r="AC32" s="359"/>
      <c r="AO32" s="118"/>
    </row>
    <row r="33" spans="1:41" s="120" customFormat="1" ht="16.5" customHeight="1" x14ac:dyDescent="0.3">
      <c r="A33" s="119"/>
      <c r="B33" s="122" t="s">
        <v>74</v>
      </c>
      <c r="C33" s="122"/>
      <c r="D33" s="122"/>
      <c r="E33" s="122"/>
      <c r="F33" s="122"/>
      <c r="G33" s="122"/>
      <c r="H33" s="122"/>
      <c r="I33" s="122"/>
      <c r="J33" s="122"/>
      <c r="K33" s="122"/>
      <c r="L33" s="122"/>
      <c r="M33" s="122"/>
      <c r="N33" s="122"/>
      <c r="AO33" s="121"/>
    </row>
    <row r="34" spans="1:41" s="120" customFormat="1" ht="16.5" customHeight="1" x14ac:dyDescent="0.3">
      <c r="A34" s="119"/>
      <c r="B34" s="424" t="s">
        <v>160</v>
      </c>
      <c r="C34" s="424"/>
      <c r="D34" s="424"/>
      <c r="E34" s="424"/>
      <c r="F34" s="424"/>
      <c r="G34" s="424"/>
      <c r="H34" s="424"/>
      <c r="I34" s="424"/>
      <c r="J34" s="424"/>
      <c r="K34" s="424"/>
      <c r="L34" s="122"/>
      <c r="M34" s="122"/>
      <c r="N34" s="122"/>
      <c r="AO34" s="121"/>
    </row>
    <row r="35" spans="1:41" s="120" customFormat="1" ht="16.5" customHeight="1" x14ac:dyDescent="0.3">
      <c r="A35" s="119"/>
      <c r="B35" s="424"/>
      <c r="C35" s="424"/>
      <c r="D35" s="424"/>
      <c r="E35" s="424"/>
      <c r="F35" s="424"/>
      <c r="G35" s="424"/>
      <c r="H35" s="424"/>
      <c r="I35" s="424"/>
      <c r="J35" s="424"/>
      <c r="K35" s="424"/>
      <c r="L35" s="122"/>
      <c r="M35" s="122"/>
      <c r="N35" s="122"/>
      <c r="AO35" s="121"/>
    </row>
    <row r="36" spans="1:41" ht="15" customHeight="1" x14ac:dyDescent="0.3">
      <c r="A36" s="123"/>
      <c r="B36" s="124" t="str">
        <f>'1.1 V.A Ing.real'!B45</f>
        <v>Actualizado el 15 de diciembre de 2021</v>
      </c>
      <c r="C36" s="124"/>
      <c r="D36" s="124"/>
      <c r="E36" s="124"/>
      <c r="F36" s="124"/>
      <c r="G36" s="124"/>
      <c r="H36" s="124"/>
      <c r="I36" s="124"/>
      <c r="J36" s="124"/>
      <c r="K36" s="143"/>
      <c r="L36" s="143"/>
      <c r="M36" s="83"/>
      <c r="N36" s="83"/>
      <c r="O36" s="124"/>
      <c r="P36" s="124"/>
      <c r="Q36" s="124"/>
      <c r="R36" s="124"/>
      <c r="S36" s="124"/>
      <c r="T36" s="124"/>
      <c r="U36" s="124"/>
      <c r="V36" s="124"/>
      <c r="W36" s="124"/>
      <c r="X36" s="124"/>
      <c r="Y36" s="144"/>
      <c r="Z36" s="144"/>
      <c r="AO36" s="102"/>
    </row>
    <row r="37" spans="1:41" s="83" customFormat="1" x14ac:dyDescent="0.3">
      <c r="A37" s="125"/>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7"/>
    </row>
    <row r="40" spans="1:41" x14ac:dyDescent="0.3">
      <c r="B40" s="100"/>
      <c r="C40" s="100"/>
      <c r="D40" s="100"/>
      <c r="E40" s="100"/>
      <c r="F40" s="100"/>
      <c r="G40" s="100"/>
      <c r="H40" s="100"/>
    </row>
  </sheetData>
  <mergeCells count="18">
    <mergeCell ref="A7:J8"/>
    <mergeCell ref="A14:A15"/>
    <mergeCell ref="B14:B15"/>
    <mergeCell ref="C14:E14"/>
    <mergeCell ref="F14:H14"/>
    <mergeCell ref="I14:K14"/>
    <mergeCell ref="B34:K35"/>
    <mergeCell ref="L14:N14"/>
    <mergeCell ref="O14:Q14"/>
    <mergeCell ref="R14:T14"/>
    <mergeCell ref="U14:W14"/>
    <mergeCell ref="AD14:AF14"/>
    <mergeCell ref="AG14:AI14"/>
    <mergeCell ref="AJ14:AL14"/>
    <mergeCell ref="AM14:AO14"/>
    <mergeCell ref="B29:K32"/>
    <mergeCell ref="X14:Z14"/>
    <mergeCell ref="AA14:AC14"/>
  </mergeCells>
  <hyperlinks>
    <hyperlink ref="L4" location="Contenido!A1" display="Inicio" xr:uid="{00000000-0004-0000-0A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56"/>
  <sheetViews>
    <sheetView showGridLines="0" zoomScale="80" zoomScaleNormal="80" zoomScaleSheetLayoutView="90" workbookViewId="0">
      <pane ySplit="14" topLeftCell="A15" activePane="bottomLeft" state="frozen"/>
      <selection activeCell="C15" sqref="C15"/>
      <selection pane="bottomLeft" activeCell="A7" sqref="A7:F8"/>
    </sheetView>
  </sheetViews>
  <sheetFormatPr baseColWidth="10" defaultColWidth="11.42578125" defaultRowHeight="16.5" x14ac:dyDescent="0.3"/>
  <cols>
    <col min="1" max="1" width="11.85546875" style="100" customWidth="1"/>
    <col min="2" max="2" width="16.140625" style="128" customWidth="1"/>
    <col min="3" max="6" width="14.7109375" style="128" customWidth="1"/>
    <col min="7" max="16384" width="11.42578125" style="100"/>
  </cols>
  <sheetData>
    <row r="1" spans="1:7" s="83" customFormat="1" ht="12" customHeight="1" x14ac:dyDescent="0.3">
      <c r="A1" s="80"/>
      <c r="B1" s="81"/>
      <c r="C1" s="81"/>
      <c r="D1" s="81"/>
      <c r="E1" s="81"/>
      <c r="F1" s="81"/>
    </row>
    <row r="2" spans="1:7" s="87" customFormat="1" x14ac:dyDescent="0.3">
      <c r="A2" s="84"/>
      <c r="B2" s="85"/>
      <c r="C2" s="85"/>
      <c r="D2" s="85"/>
      <c r="E2" s="85"/>
      <c r="F2" s="85"/>
    </row>
    <row r="3" spans="1:7" s="87" customFormat="1" x14ac:dyDescent="0.3">
      <c r="A3" s="84"/>
      <c r="B3" s="85"/>
      <c r="C3" s="85"/>
      <c r="D3" s="85"/>
      <c r="E3" s="85"/>
      <c r="F3" s="85"/>
    </row>
    <row r="4" spans="1:7" s="87" customFormat="1" x14ac:dyDescent="0.3">
      <c r="A4" s="84"/>
      <c r="B4" s="85"/>
      <c r="C4" s="85"/>
      <c r="D4" s="85"/>
      <c r="E4" s="85"/>
      <c r="F4" s="85"/>
    </row>
    <row r="5" spans="1:7" s="87" customFormat="1" x14ac:dyDescent="0.3">
      <c r="A5" s="84"/>
      <c r="B5" s="85"/>
      <c r="C5" s="85"/>
      <c r="D5" s="85"/>
      <c r="E5" s="85"/>
      <c r="G5" s="146" t="s">
        <v>0</v>
      </c>
    </row>
    <row r="6" spans="1:7" s="87" customFormat="1" x14ac:dyDescent="0.3">
      <c r="A6" s="84"/>
      <c r="B6" s="85"/>
      <c r="C6" s="85"/>
      <c r="D6" s="85"/>
      <c r="E6" s="85"/>
      <c r="F6" s="85"/>
    </row>
    <row r="7" spans="1:7" s="87" customFormat="1" ht="15" customHeight="1" x14ac:dyDescent="0.3">
      <c r="A7" s="421" t="s">
        <v>4</v>
      </c>
      <c r="B7" s="421"/>
      <c r="C7" s="421"/>
      <c r="D7" s="421"/>
      <c r="E7" s="421"/>
      <c r="F7" s="421"/>
    </row>
    <row r="8" spans="1:7" s="87" customFormat="1" ht="15" customHeight="1" x14ac:dyDescent="0.3">
      <c r="A8" s="421"/>
      <c r="B8" s="421"/>
      <c r="C8" s="421"/>
      <c r="D8" s="421"/>
      <c r="E8" s="421"/>
      <c r="F8" s="421"/>
    </row>
    <row r="9" spans="1:7" s="89" customFormat="1" ht="15" customHeight="1" x14ac:dyDescent="0.3">
      <c r="A9" s="216"/>
      <c r="B9" s="216"/>
      <c r="C9" s="216"/>
      <c r="D9" s="216"/>
      <c r="E9" s="216"/>
      <c r="F9" s="216"/>
    </row>
    <row r="10" spans="1:7" s="83" customFormat="1" ht="15" customHeight="1" x14ac:dyDescent="0.3">
      <c r="A10" s="90" t="s">
        <v>138</v>
      </c>
      <c r="B10" s="223"/>
      <c r="C10" s="223"/>
      <c r="D10" s="223"/>
      <c r="E10" s="223"/>
      <c r="F10" s="223"/>
    </row>
    <row r="11" spans="1:7" s="83" customFormat="1" ht="15" customHeight="1" x14ac:dyDescent="0.3">
      <c r="A11" s="90" t="s">
        <v>24</v>
      </c>
      <c r="B11" s="223"/>
      <c r="C11" s="223"/>
      <c r="D11" s="223"/>
      <c r="E11" s="223"/>
      <c r="F11" s="91"/>
    </row>
    <row r="12" spans="1:7" s="83" customFormat="1" ht="15" customHeight="1" x14ac:dyDescent="0.3">
      <c r="A12" s="90" t="s">
        <v>174</v>
      </c>
      <c r="B12" s="91"/>
      <c r="C12" s="91"/>
      <c r="D12" s="91"/>
      <c r="E12" s="91"/>
      <c r="F12" s="91"/>
    </row>
    <row r="13" spans="1:7" s="83" customFormat="1" ht="15" customHeight="1" x14ac:dyDescent="0.3">
      <c r="A13" s="245"/>
      <c r="B13" s="246"/>
      <c r="C13" s="246"/>
      <c r="D13" s="246"/>
      <c r="E13" s="246"/>
      <c r="F13" s="247"/>
    </row>
    <row r="14" spans="1:7" s="95" customFormat="1" ht="60.75" customHeight="1" x14ac:dyDescent="0.3">
      <c r="A14" s="307" t="s">
        <v>25</v>
      </c>
      <c r="B14" s="308" t="s">
        <v>26</v>
      </c>
      <c r="C14" s="311" t="s">
        <v>30</v>
      </c>
      <c r="D14" s="311" t="s">
        <v>31</v>
      </c>
      <c r="E14" s="311" t="s">
        <v>32</v>
      </c>
      <c r="F14" s="312" t="s">
        <v>33</v>
      </c>
    </row>
    <row r="15" spans="1:7" ht="15.75" customHeight="1" x14ac:dyDescent="0.3">
      <c r="A15" s="292" t="s">
        <v>70</v>
      </c>
      <c r="B15" s="313" t="s">
        <v>47</v>
      </c>
      <c r="C15" s="274">
        <v>43.746918694546416</v>
      </c>
      <c r="D15" s="275">
        <v>41.803128022695709</v>
      </c>
      <c r="E15" s="275">
        <v>48.502208087947089</v>
      </c>
      <c r="F15" s="276">
        <v>57.887687914557461</v>
      </c>
    </row>
    <row r="16" spans="1:7" ht="15.75" customHeight="1" x14ac:dyDescent="0.3">
      <c r="A16" s="152"/>
      <c r="B16" s="86" t="s">
        <v>48</v>
      </c>
      <c r="C16" s="153">
        <v>42.447154461507033</v>
      </c>
      <c r="D16" s="154">
        <v>44.261237843661824</v>
      </c>
      <c r="E16" s="154">
        <v>52.13968641926153</v>
      </c>
      <c r="F16" s="155">
        <v>58.471328717788495</v>
      </c>
    </row>
    <row r="17" spans="1:6" ht="15.75" customHeight="1" x14ac:dyDescent="0.3">
      <c r="A17" s="152"/>
      <c r="B17" s="148" t="s">
        <v>49</v>
      </c>
      <c r="C17" s="149">
        <v>41.849484393443163</v>
      </c>
      <c r="D17" s="150">
        <v>43.677658884434521</v>
      </c>
      <c r="E17" s="150">
        <v>50.541077913715583</v>
      </c>
      <c r="F17" s="151">
        <v>57.810290621780865</v>
      </c>
    </row>
    <row r="18" spans="1:6" ht="15.75" customHeight="1" x14ac:dyDescent="0.3">
      <c r="A18" s="152"/>
      <c r="B18" s="86" t="s">
        <v>14</v>
      </c>
      <c r="C18" s="153">
        <v>40.62769152210825</v>
      </c>
      <c r="D18" s="154">
        <v>41.844000971991093</v>
      </c>
      <c r="E18" s="154">
        <v>48.851227733800883</v>
      </c>
      <c r="F18" s="155">
        <v>56.032634792615113</v>
      </c>
    </row>
    <row r="19" spans="1:6" ht="15.75" customHeight="1" x14ac:dyDescent="0.3">
      <c r="A19" s="152"/>
      <c r="B19" s="148" t="s">
        <v>15</v>
      </c>
      <c r="C19" s="149">
        <v>38.842175498490342</v>
      </c>
      <c r="D19" s="150">
        <v>42.558799867822785</v>
      </c>
      <c r="E19" s="150">
        <v>50.302155663390046</v>
      </c>
      <c r="F19" s="151">
        <v>56.46551874678466</v>
      </c>
    </row>
    <row r="20" spans="1:6" ht="15.75" customHeight="1" x14ac:dyDescent="0.3">
      <c r="A20" s="152"/>
      <c r="B20" s="86" t="s">
        <v>16</v>
      </c>
      <c r="C20" s="153">
        <v>42.67729676474535</v>
      </c>
      <c r="D20" s="154">
        <v>44.608859756394381</v>
      </c>
      <c r="E20" s="154">
        <v>52.498728332849844</v>
      </c>
      <c r="F20" s="155">
        <v>58.318918496015101</v>
      </c>
    </row>
    <row r="21" spans="1:6" ht="15.75" customHeight="1" x14ac:dyDescent="0.3">
      <c r="A21" s="152"/>
      <c r="B21" s="148" t="s">
        <v>8</v>
      </c>
      <c r="C21" s="149">
        <v>42.740114091087314</v>
      </c>
      <c r="D21" s="150">
        <v>46.173601379187772</v>
      </c>
      <c r="E21" s="150">
        <v>55.114486328336184</v>
      </c>
      <c r="F21" s="151">
        <v>59.862763012368212</v>
      </c>
    </row>
    <row r="22" spans="1:6" ht="15.75" customHeight="1" x14ac:dyDescent="0.3">
      <c r="A22" s="152"/>
      <c r="B22" s="86" t="s">
        <v>9</v>
      </c>
      <c r="C22" s="153">
        <v>45.681562898002944</v>
      </c>
      <c r="D22" s="154">
        <v>48.123518061827902</v>
      </c>
      <c r="E22" s="154">
        <v>57.860175394350058</v>
      </c>
      <c r="F22" s="155">
        <v>61.487085161010548</v>
      </c>
    </row>
    <row r="23" spans="1:6" ht="15.75" customHeight="1" x14ac:dyDescent="0.3">
      <c r="A23" s="152"/>
      <c r="B23" s="148" t="s">
        <v>10</v>
      </c>
      <c r="C23" s="149">
        <v>43.308597357777984</v>
      </c>
      <c r="D23" s="150">
        <v>47.21759099637017</v>
      </c>
      <c r="E23" s="150">
        <v>55.473608666688158</v>
      </c>
      <c r="F23" s="151">
        <v>60.020249809635473</v>
      </c>
    </row>
    <row r="24" spans="1:6" ht="15.75" customHeight="1" x14ac:dyDescent="0.3">
      <c r="A24" s="152"/>
      <c r="B24" s="130" t="s">
        <v>11</v>
      </c>
      <c r="C24" s="153">
        <v>42.184744067476039</v>
      </c>
      <c r="D24" s="154">
        <v>46.82089754847641</v>
      </c>
      <c r="E24" s="154">
        <v>56.212745292752651</v>
      </c>
      <c r="F24" s="155">
        <v>59.828950819825977</v>
      </c>
    </row>
    <row r="25" spans="1:6" ht="15.75" customHeight="1" x14ac:dyDescent="0.3">
      <c r="A25" s="152"/>
      <c r="B25" s="148" t="s">
        <v>12</v>
      </c>
      <c r="C25" s="149">
        <v>45.121987087036082</v>
      </c>
      <c r="D25" s="150">
        <v>48.694708522557022</v>
      </c>
      <c r="E25" s="150">
        <v>60.648977629347847</v>
      </c>
      <c r="F25" s="151">
        <v>66.167736443175684</v>
      </c>
    </row>
    <row r="26" spans="1:6" ht="15.75" customHeight="1" x14ac:dyDescent="0.3">
      <c r="A26" s="152"/>
      <c r="B26" s="130" t="s">
        <v>13</v>
      </c>
      <c r="C26" s="153">
        <v>44.237634490048158</v>
      </c>
      <c r="D26" s="154">
        <v>45.160936840603263</v>
      </c>
      <c r="E26" s="154">
        <v>54.142869270946335</v>
      </c>
      <c r="F26" s="155">
        <v>60.790497086949081</v>
      </c>
    </row>
    <row r="27" spans="1:6" ht="15.75" customHeight="1" x14ac:dyDescent="0.3">
      <c r="A27" s="147" t="s">
        <v>69</v>
      </c>
      <c r="B27" s="156" t="s">
        <v>54</v>
      </c>
      <c r="C27" s="149">
        <v>44.902583792036168</v>
      </c>
      <c r="D27" s="150">
        <v>44.937744879288978</v>
      </c>
      <c r="E27" s="150">
        <v>56.251683212861955</v>
      </c>
      <c r="F27" s="151">
        <v>60.768544913830034</v>
      </c>
    </row>
    <row r="28" spans="1:6" ht="15.75" customHeight="1" x14ac:dyDescent="0.3">
      <c r="A28" s="101"/>
      <c r="B28" s="100" t="s">
        <v>56</v>
      </c>
      <c r="C28" s="153">
        <v>43.721009071565788</v>
      </c>
      <c r="D28" s="154">
        <v>45.085052836355644</v>
      </c>
      <c r="E28" s="154">
        <v>57.314654993433301</v>
      </c>
      <c r="F28" s="155">
        <v>62.150085463533244</v>
      </c>
    </row>
    <row r="29" spans="1:6" ht="15.75" customHeight="1" x14ac:dyDescent="0.3">
      <c r="A29" s="101"/>
      <c r="B29" s="156" t="s">
        <v>65</v>
      </c>
      <c r="C29" s="149">
        <v>31.1691110008741</v>
      </c>
      <c r="D29" s="150">
        <v>31.745565786361098</v>
      </c>
      <c r="E29" s="150">
        <v>38.370909115165617</v>
      </c>
      <c r="F29" s="151">
        <v>33.348232596010583</v>
      </c>
    </row>
    <row r="30" spans="1:6" ht="15.75" customHeight="1" x14ac:dyDescent="0.3">
      <c r="A30" s="101"/>
      <c r="B30" s="100" t="s">
        <v>66</v>
      </c>
      <c r="C30" s="153">
        <v>12.879164513676205</v>
      </c>
      <c r="D30" s="154">
        <v>9.5182812634083973</v>
      </c>
      <c r="E30" s="154">
        <v>10.128516323276534</v>
      </c>
      <c r="F30" s="155">
        <v>3.356260896755229</v>
      </c>
    </row>
    <row r="31" spans="1:6" ht="15.75" customHeight="1" x14ac:dyDescent="0.3">
      <c r="A31" s="101"/>
      <c r="B31" s="156" t="s">
        <v>15</v>
      </c>
      <c r="C31" s="149">
        <v>15.390642152917527</v>
      </c>
      <c r="D31" s="150">
        <v>12.523617669581814</v>
      </c>
      <c r="E31" s="150">
        <v>10.608023671800511</v>
      </c>
      <c r="F31" s="151">
        <v>5.4621912131887722</v>
      </c>
    </row>
    <row r="32" spans="1:6" ht="15.75" customHeight="1" x14ac:dyDescent="0.3">
      <c r="A32" s="101"/>
      <c r="B32" s="109" t="s">
        <v>67</v>
      </c>
      <c r="C32" s="192">
        <v>17.142728129064349</v>
      </c>
      <c r="D32" s="198">
        <v>14.003690049864584</v>
      </c>
      <c r="E32" s="198">
        <v>11.708400935704475</v>
      </c>
      <c r="F32" s="199">
        <v>6.8745838449601955</v>
      </c>
    </row>
    <row r="33" spans="1:6" ht="15.75" customHeight="1" x14ac:dyDescent="0.3">
      <c r="A33" s="101"/>
      <c r="B33" s="156" t="s">
        <v>87</v>
      </c>
      <c r="C33" s="97">
        <v>18.336766285690452</v>
      </c>
      <c r="D33" s="98">
        <v>14.641025979855021</v>
      </c>
      <c r="E33" s="98">
        <v>12.012767840122605</v>
      </c>
      <c r="F33" s="99">
        <v>9.5264890402972409</v>
      </c>
    </row>
    <row r="34" spans="1:6" ht="15.75" customHeight="1" x14ac:dyDescent="0.3">
      <c r="A34" s="101"/>
      <c r="B34" s="109" t="s">
        <v>9</v>
      </c>
      <c r="C34" s="192">
        <v>17.420296747757344</v>
      </c>
      <c r="D34" s="198">
        <v>16.003779255151017</v>
      </c>
      <c r="E34" s="198">
        <v>12.243413366909401</v>
      </c>
      <c r="F34" s="199">
        <v>6.020883489487713</v>
      </c>
    </row>
    <row r="35" spans="1:6" ht="15.75" customHeight="1" x14ac:dyDescent="0.3">
      <c r="A35" s="101"/>
      <c r="B35" s="156" t="s">
        <v>10</v>
      </c>
      <c r="C35" s="97">
        <v>21.615686056171537</v>
      </c>
      <c r="D35" s="98">
        <v>19.513349879846711</v>
      </c>
      <c r="E35" s="98">
        <v>18.19368274344216</v>
      </c>
      <c r="F35" s="99">
        <v>10.524195597756753</v>
      </c>
    </row>
    <row r="36" spans="1:6" ht="15.75" customHeight="1" x14ac:dyDescent="0.3">
      <c r="A36" s="101"/>
      <c r="B36" s="109" t="s">
        <v>11</v>
      </c>
      <c r="C36" s="192">
        <v>28.192102036612482</v>
      </c>
      <c r="D36" s="198">
        <v>25.125310745839112</v>
      </c>
      <c r="E36" s="198">
        <v>26.152116192439934</v>
      </c>
      <c r="F36" s="199">
        <v>23.22779021136537</v>
      </c>
    </row>
    <row r="37" spans="1:6" ht="15.75" customHeight="1" x14ac:dyDescent="0.3">
      <c r="A37" s="101"/>
      <c r="B37" s="156" t="s">
        <v>12</v>
      </c>
      <c r="C37" s="97">
        <v>31.653135889262902</v>
      </c>
      <c r="D37" s="98">
        <v>30.690158859622425</v>
      </c>
      <c r="E37" s="98">
        <v>31.497478619403068</v>
      </c>
      <c r="F37" s="99">
        <v>28.658083439420594</v>
      </c>
    </row>
    <row r="38" spans="1:6" ht="15.75" customHeight="1" x14ac:dyDescent="0.3">
      <c r="A38" s="101"/>
      <c r="B38" s="109" t="s">
        <v>128</v>
      </c>
      <c r="C38" s="192">
        <v>31.97232112145953</v>
      </c>
      <c r="D38" s="198">
        <v>31.436788332423372</v>
      </c>
      <c r="E38" s="198">
        <v>35.37674631863041</v>
      </c>
      <c r="F38" s="199">
        <v>33.755111168559182</v>
      </c>
    </row>
    <row r="39" spans="1:6" ht="15.75" customHeight="1" x14ac:dyDescent="0.3">
      <c r="A39" s="147" t="s">
        <v>124</v>
      </c>
      <c r="B39" s="156" t="s">
        <v>54</v>
      </c>
      <c r="C39" s="97">
        <v>29.899709939752384</v>
      </c>
      <c r="D39" s="98">
        <v>29.461543647951594</v>
      </c>
      <c r="E39" s="98">
        <v>35.269853520459833</v>
      </c>
      <c r="F39" s="99">
        <v>35.31598148059264</v>
      </c>
    </row>
    <row r="40" spans="1:6" ht="15.75" customHeight="1" x14ac:dyDescent="0.3">
      <c r="A40" s="173"/>
      <c r="B40" s="109" t="s">
        <v>48</v>
      </c>
      <c r="C40" s="192">
        <v>30.641282089598832</v>
      </c>
      <c r="D40" s="198">
        <v>29.721669959336783</v>
      </c>
      <c r="E40" s="198">
        <v>33.609178933711974</v>
      </c>
      <c r="F40" s="199">
        <v>33.191998240700542</v>
      </c>
    </row>
    <row r="41" spans="1:6" ht="15.75" customHeight="1" x14ac:dyDescent="0.3">
      <c r="A41" s="173"/>
      <c r="B41" s="156" t="s">
        <v>49</v>
      </c>
      <c r="C41" s="97">
        <v>32.362696170128572</v>
      </c>
      <c r="D41" s="98">
        <v>34.140075937823042</v>
      </c>
      <c r="E41" s="98">
        <v>38.274058369234602</v>
      </c>
      <c r="F41" s="99">
        <v>38.709397632413705</v>
      </c>
    </row>
    <row r="42" spans="1:6" ht="15.75" customHeight="1" x14ac:dyDescent="0.3">
      <c r="A42" s="173"/>
      <c r="B42" s="109" t="s">
        <v>14</v>
      </c>
      <c r="C42" s="192">
        <v>28.011316750823628</v>
      </c>
      <c r="D42" s="198">
        <v>28.036855290566464</v>
      </c>
      <c r="E42" s="198">
        <v>29.409744617176997</v>
      </c>
      <c r="F42" s="199">
        <v>30.671272807792739</v>
      </c>
    </row>
    <row r="43" spans="1:6" ht="15.75" customHeight="1" x14ac:dyDescent="0.3">
      <c r="A43" s="173"/>
      <c r="B43" s="156" t="s">
        <v>15</v>
      </c>
      <c r="C43" s="97">
        <v>23.991827117807642</v>
      </c>
      <c r="D43" s="98">
        <v>24.727610989301564</v>
      </c>
      <c r="E43" s="98">
        <v>28.541995146323874</v>
      </c>
      <c r="F43" s="99">
        <v>27.056343145864432</v>
      </c>
    </row>
    <row r="44" spans="1:6" ht="15.75" customHeight="1" x14ac:dyDescent="0.3">
      <c r="A44" s="173"/>
      <c r="B44" s="109" t="s">
        <v>16</v>
      </c>
      <c r="C44" s="192">
        <v>32.189139881071881</v>
      </c>
      <c r="D44" s="198">
        <v>34.607168112311157</v>
      </c>
      <c r="E44" s="198">
        <v>39.664118959904151</v>
      </c>
      <c r="F44" s="199">
        <v>41.181240983498249</v>
      </c>
    </row>
    <row r="45" spans="1:6" ht="15.75" customHeight="1" x14ac:dyDescent="0.3">
      <c r="A45" s="173"/>
      <c r="B45" s="156" t="s">
        <v>8</v>
      </c>
      <c r="C45" s="97">
        <v>37.880242019117262</v>
      </c>
      <c r="D45" s="98">
        <v>40.883197272819146</v>
      </c>
      <c r="E45" s="98">
        <v>49.050692601491775</v>
      </c>
      <c r="F45" s="99">
        <v>50.241216731499172</v>
      </c>
    </row>
    <row r="46" spans="1:6" ht="15.75" customHeight="1" x14ac:dyDescent="0.3">
      <c r="A46" s="173"/>
      <c r="B46" s="109" t="s">
        <v>9</v>
      </c>
      <c r="C46" s="192">
        <v>38.896968363405833</v>
      </c>
      <c r="D46" s="198">
        <v>44.232833762512882</v>
      </c>
      <c r="E46" s="198">
        <v>51.45679754286229</v>
      </c>
      <c r="F46" s="199">
        <v>50.951204449219865</v>
      </c>
    </row>
    <row r="47" spans="1:6" ht="15.75" customHeight="1" x14ac:dyDescent="0.3">
      <c r="A47" s="173"/>
      <c r="B47" s="156" t="s">
        <v>10</v>
      </c>
      <c r="C47" s="97">
        <v>39.611667131631442</v>
      </c>
      <c r="D47" s="98">
        <v>46.383372829971179</v>
      </c>
      <c r="E47" s="98">
        <v>53.877488090980549</v>
      </c>
      <c r="F47" s="99">
        <v>53.53085808236716</v>
      </c>
    </row>
    <row r="48" spans="1:6" ht="15.75" customHeight="1" x14ac:dyDescent="0.3">
      <c r="A48" s="365"/>
      <c r="B48" s="406" t="s">
        <v>11</v>
      </c>
      <c r="C48" s="402">
        <v>43.42597135376878</v>
      </c>
      <c r="D48" s="403">
        <v>51.934189256743949</v>
      </c>
      <c r="E48" s="403">
        <v>59.125879305109194</v>
      </c>
      <c r="F48" s="404">
        <v>56.907753235817928</v>
      </c>
    </row>
    <row r="49" spans="1:6" s="109" customFormat="1" ht="15" customHeight="1" x14ac:dyDescent="0.3">
      <c r="A49" s="108"/>
      <c r="F49" s="157"/>
    </row>
    <row r="50" spans="1:6" s="109" customFormat="1" x14ac:dyDescent="0.3">
      <c r="A50" s="108"/>
      <c r="B50" s="109" t="s">
        <v>84</v>
      </c>
      <c r="C50" s="140"/>
      <c r="D50" s="140"/>
      <c r="E50" s="140"/>
      <c r="F50" s="158"/>
    </row>
    <row r="51" spans="1:6" s="114" customFormat="1" ht="14.25" customHeight="1" x14ac:dyDescent="0.3">
      <c r="A51" s="113"/>
      <c r="B51" s="140" t="s">
        <v>17</v>
      </c>
      <c r="C51" s="140"/>
      <c r="D51" s="140"/>
      <c r="E51" s="140"/>
      <c r="F51" s="158"/>
    </row>
    <row r="52" spans="1:6" s="117" customFormat="1" ht="66" customHeight="1" x14ac:dyDescent="0.3">
      <c r="A52" s="116"/>
      <c r="B52" s="419" t="s">
        <v>86</v>
      </c>
      <c r="C52" s="419"/>
      <c r="D52" s="419"/>
      <c r="E52" s="419"/>
      <c r="F52" s="433"/>
    </row>
    <row r="53" spans="1:6" s="117" customFormat="1" ht="41.25" customHeight="1" x14ac:dyDescent="0.3">
      <c r="A53" s="116"/>
      <c r="B53" s="419"/>
      <c r="C53" s="419"/>
      <c r="D53" s="419"/>
      <c r="E53" s="419"/>
      <c r="F53" s="433"/>
    </row>
    <row r="54" spans="1:6" ht="15" customHeight="1" x14ac:dyDescent="0.3">
      <c r="A54" s="123"/>
      <c r="B54" s="124" t="str">
        <f>'1.1 V.A Ing.real'!B45</f>
        <v>Actualizado el 15 de diciembre de 2021</v>
      </c>
      <c r="C54" s="124"/>
      <c r="D54" s="124"/>
      <c r="E54" s="124"/>
      <c r="F54" s="159"/>
    </row>
    <row r="55" spans="1:6" s="83" customFormat="1" ht="15" customHeight="1" x14ac:dyDescent="0.3">
      <c r="A55" s="92"/>
      <c r="B55" s="124"/>
      <c r="C55" s="124"/>
      <c r="D55" s="124"/>
      <c r="E55" s="124"/>
      <c r="F55" s="159"/>
    </row>
    <row r="56" spans="1:6" s="83" customFormat="1" x14ac:dyDescent="0.3">
      <c r="A56" s="125"/>
      <c r="B56" s="126"/>
      <c r="C56" s="126"/>
      <c r="D56" s="126"/>
      <c r="E56" s="126"/>
      <c r="F56" s="127"/>
    </row>
  </sheetData>
  <mergeCells count="2">
    <mergeCell ref="A7:F8"/>
    <mergeCell ref="B52:F53"/>
  </mergeCells>
  <hyperlinks>
    <hyperlink ref="G5" location="Contenido!A1" display="Inicio" xr:uid="{00000000-0004-0000-0B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57"/>
  <sheetViews>
    <sheetView showGridLines="0" zoomScale="80" zoomScaleNormal="80" workbookViewId="0">
      <pane ySplit="14" topLeftCell="A15" activePane="bottomLeft" state="frozen"/>
      <selection pane="bottomLeft" activeCell="A7" sqref="A7:J8"/>
    </sheetView>
  </sheetViews>
  <sheetFormatPr baseColWidth="10" defaultColWidth="11.42578125" defaultRowHeight="16.5" x14ac:dyDescent="0.3"/>
  <cols>
    <col min="1" max="1" width="9.7109375" style="100" customWidth="1"/>
    <col min="2" max="2" width="15" style="128" customWidth="1"/>
    <col min="3" max="3" width="17" style="128" customWidth="1"/>
    <col min="4" max="8" width="15" style="128" customWidth="1"/>
    <col min="9" max="9" width="15.28515625" style="128" customWidth="1"/>
    <col min="10" max="10" width="16.28515625" style="128" customWidth="1"/>
    <col min="11" max="11" width="14" style="128" customWidth="1"/>
    <col min="12" max="12" width="17.140625" style="128" customWidth="1"/>
    <col min="13" max="13" width="13.85546875" style="128" bestFit="1" customWidth="1"/>
    <col min="14" max="14" width="18.42578125" style="100" customWidth="1"/>
    <col min="15" max="15" width="14.7109375" style="100" customWidth="1"/>
    <col min="16" max="16384" width="11.42578125" style="100"/>
  </cols>
  <sheetData>
    <row r="1" spans="1:15" s="145" customFormat="1" ht="12" customHeight="1" x14ac:dyDescent="0.3">
      <c r="A1" s="160"/>
      <c r="B1" s="161"/>
      <c r="C1" s="161"/>
      <c r="D1" s="161"/>
      <c r="E1" s="161"/>
      <c r="F1" s="161"/>
      <c r="G1" s="161"/>
      <c r="H1" s="161"/>
      <c r="I1" s="161"/>
      <c r="J1" s="161"/>
      <c r="K1" s="161"/>
      <c r="L1" s="161"/>
      <c r="M1" s="161"/>
      <c r="N1" s="83"/>
      <c r="O1" s="83"/>
    </row>
    <row r="2" spans="1:15" s="86" customFormat="1" x14ac:dyDescent="0.3">
      <c r="A2" s="162"/>
      <c r="B2" s="163"/>
      <c r="C2" s="163"/>
      <c r="D2" s="163"/>
      <c r="E2" s="163"/>
      <c r="F2" s="163"/>
      <c r="G2" s="163"/>
      <c r="I2" s="163"/>
      <c r="K2" s="163"/>
      <c r="L2" s="88" t="s">
        <v>0</v>
      </c>
      <c r="M2" s="163"/>
      <c r="N2" s="87"/>
      <c r="O2" s="87"/>
    </row>
    <row r="3" spans="1:15" s="86" customFormat="1" x14ac:dyDescent="0.3">
      <c r="A3" s="162"/>
      <c r="B3" s="163"/>
      <c r="C3" s="163"/>
      <c r="D3" s="163"/>
      <c r="E3" s="163"/>
      <c r="F3" s="163"/>
      <c r="G3" s="163"/>
      <c r="H3" s="163"/>
      <c r="I3" s="163"/>
      <c r="J3" s="163"/>
      <c r="K3" s="163"/>
      <c r="L3" s="163"/>
      <c r="M3" s="163"/>
      <c r="N3" s="87"/>
      <c r="O3" s="87"/>
    </row>
    <row r="4" spans="1:15" s="86" customFormat="1" x14ac:dyDescent="0.3">
      <c r="A4" s="162"/>
      <c r="B4" s="163"/>
      <c r="C4" s="163"/>
      <c r="D4" s="163"/>
      <c r="E4" s="163"/>
      <c r="F4" s="163"/>
      <c r="G4" s="163"/>
      <c r="H4" s="163"/>
      <c r="I4" s="163"/>
      <c r="J4" s="163"/>
      <c r="K4" s="163"/>
      <c r="L4" s="163"/>
      <c r="M4" s="163"/>
      <c r="N4" s="87"/>
      <c r="O4" s="87"/>
    </row>
    <row r="5" spans="1:15" s="86" customFormat="1" x14ac:dyDescent="0.3">
      <c r="A5" s="162"/>
      <c r="B5" s="163"/>
      <c r="C5" s="163"/>
      <c r="D5" s="163"/>
      <c r="E5" s="163"/>
      <c r="F5" s="163"/>
      <c r="G5" s="163"/>
      <c r="H5" s="163"/>
      <c r="I5" s="163"/>
      <c r="J5" s="87"/>
      <c r="K5" s="163"/>
      <c r="L5" s="163"/>
      <c r="M5" s="163"/>
      <c r="N5" s="87"/>
      <c r="O5" s="87"/>
    </row>
    <row r="6" spans="1:15" s="86" customFormat="1" x14ac:dyDescent="0.3">
      <c r="A6" s="162"/>
      <c r="B6" s="163"/>
      <c r="C6" s="163"/>
      <c r="D6" s="163"/>
      <c r="E6" s="163"/>
      <c r="F6" s="163"/>
      <c r="G6" s="163"/>
      <c r="H6" s="163"/>
      <c r="I6" s="163"/>
      <c r="J6" s="163"/>
      <c r="K6" s="85"/>
      <c r="L6" s="85"/>
      <c r="M6" s="85"/>
      <c r="N6" s="89"/>
      <c r="O6" s="89"/>
    </row>
    <row r="7" spans="1:15" s="86" customFormat="1" ht="15" customHeight="1" x14ac:dyDescent="0.3">
      <c r="A7" s="421" t="s">
        <v>55</v>
      </c>
      <c r="B7" s="421"/>
      <c r="C7" s="421"/>
      <c r="D7" s="421"/>
      <c r="E7" s="421"/>
      <c r="F7" s="421"/>
      <c r="G7" s="421"/>
      <c r="H7" s="421"/>
      <c r="I7" s="421"/>
      <c r="J7" s="421"/>
      <c r="K7" s="197"/>
      <c r="L7" s="197"/>
      <c r="M7" s="197"/>
      <c r="N7" s="197"/>
      <c r="O7" s="197"/>
    </row>
    <row r="8" spans="1:15" s="86" customFormat="1" ht="15" customHeight="1" x14ac:dyDescent="0.3">
      <c r="A8" s="421"/>
      <c r="B8" s="421"/>
      <c r="C8" s="421"/>
      <c r="D8" s="421"/>
      <c r="E8" s="421"/>
      <c r="F8" s="421"/>
      <c r="G8" s="421"/>
      <c r="H8" s="421"/>
      <c r="I8" s="421"/>
      <c r="J8" s="421"/>
      <c r="K8" s="197"/>
      <c r="L8" s="197"/>
      <c r="M8" s="197"/>
      <c r="N8" s="197"/>
      <c r="O8" s="197"/>
    </row>
    <row r="9" spans="1:15" s="86" customFormat="1" ht="15" customHeight="1" x14ac:dyDescent="0.3">
      <c r="A9" s="235"/>
      <c r="B9" s="236"/>
      <c r="C9" s="236"/>
      <c r="D9" s="236"/>
      <c r="E9" s="236"/>
      <c r="F9" s="236"/>
      <c r="G9" s="236"/>
      <c r="H9" s="236"/>
      <c r="I9" s="236"/>
      <c r="J9" s="236"/>
      <c r="K9" s="144"/>
      <c r="L9" s="144"/>
      <c r="M9" s="144"/>
      <c r="N9" s="144"/>
      <c r="O9" s="144"/>
    </row>
    <row r="10" spans="1:15" s="86" customFormat="1" ht="15" customHeight="1" x14ac:dyDescent="0.3">
      <c r="A10" s="237" t="s">
        <v>139</v>
      </c>
      <c r="B10" s="238"/>
      <c r="C10" s="238"/>
      <c r="D10" s="238"/>
      <c r="E10" s="238"/>
      <c r="F10" s="238"/>
      <c r="G10" s="238"/>
      <c r="H10" s="238"/>
      <c r="I10" s="238"/>
      <c r="J10" s="238"/>
      <c r="K10" s="234"/>
      <c r="L10" s="234"/>
      <c r="M10" s="234"/>
      <c r="N10" s="234"/>
      <c r="O10" s="234"/>
    </row>
    <row r="11" spans="1:15" s="145" customFormat="1" ht="18" customHeight="1" x14ac:dyDescent="0.3">
      <c r="A11" s="90" t="s">
        <v>82</v>
      </c>
      <c r="B11" s="164"/>
      <c r="C11" s="164"/>
      <c r="D11" s="164"/>
      <c r="E11" s="164"/>
      <c r="F11" s="164"/>
      <c r="G11" s="164"/>
      <c r="H11" s="164"/>
      <c r="I11" s="164"/>
      <c r="J11" s="164"/>
      <c r="K11" s="137"/>
      <c r="L11" s="137"/>
      <c r="M11" s="137"/>
      <c r="N11" s="137"/>
      <c r="O11" s="137"/>
    </row>
    <row r="12" spans="1:15" s="145" customFormat="1" ht="18" customHeight="1" x14ac:dyDescent="0.3">
      <c r="A12" s="90" t="str">
        <f>'5.1 Porc Ocupación.escala.hab'!A12</f>
        <v>Enero 2019 - octubre 2021</v>
      </c>
      <c r="B12" s="91"/>
      <c r="C12" s="91"/>
      <c r="D12" s="91"/>
      <c r="E12" s="164"/>
      <c r="F12" s="164"/>
      <c r="G12" s="164"/>
      <c r="H12" s="164"/>
      <c r="I12" s="164"/>
      <c r="J12" s="164"/>
      <c r="K12" s="137"/>
      <c r="L12" s="137"/>
      <c r="M12" s="137"/>
      <c r="N12" s="137"/>
      <c r="O12" s="137"/>
    </row>
    <row r="13" spans="1:15" s="145" customFormat="1" ht="18" customHeight="1" x14ac:dyDescent="0.3">
      <c r="A13" s="165"/>
      <c r="B13" s="164"/>
      <c r="C13" s="164"/>
      <c r="D13" s="164"/>
      <c r="E13" s="164"/>
      <c r="F13" s="164"/>
      <c r="G13" s="164"/>
      <c r="H13" s="164"/>
      <c r="I13" s="164"/>
      <c r="J13" s="164"/>
      <c r="K13" s="137"/>
      <c r="L13" s="137"/>
      <c r="M13" s="137"/>
      <c r="N13" s="137"/>
      <c r="O13" s="137"/>
    </row>
    <row r="14" spans="1:15" s="145" customFormat="1" ht="51.75" customHeight="1" x14ac:dyDescent="0.3">
      <c r="A14" s="265" t="s">
        <v>25</v>
      </c>
      <c r="B14" s="266" t="s">
        <v>26</v>
      </c>
      <c r="C14" s="286" t="s">
        <v>24</v>
      </c>
      <c r="D14" s="286" t="s">
        <v>5</v>
      </c>
      <c r="E14" s="286" t="s">
        <v>6</v>
      </c>
      <c r="F14" s="286" t="s">
        <v>20</v>
      </c>
      <c r="G14" s="286" t="s">
        <v>21</v>
      </c>
      <c r="H14" s="286" t="s">
        <v>22</v>
      </c>
      <c r="I14" s="286" t="s">
        <v>3</v>
      </c>
      <c r="J14" s="286" t="s">
        <v>7</v>
      </c>
      <c r="K14" s="286" t="s">
        <v>41</v>
      </c>
      <c r="L14" s="286" t="s">
        <v>38</v>
      </c>
      <c r="M14" s="286" t="s">
        <v>42</v>
      </c>
      <c r="N14" s="286" t="s">
        <v>81</v>
      </c>
      <c r="O14" s="287" t="s">
        <v>40</v>
      </c>
    </row>
    <row r="15" spans="1:15" ht="15.75" customHeight="1" x14ac:dyDescent="0.3">
      <c r="A15" s="292" t="s">
        <v>51</v>
      </c>
      <c r="B15" s="293" t="s">
        <v>47</v>
      </c>
      <c r="C15" s="288">
        <v>47.077250909029352</v>
      </c>
      <c r="D15" s="288">
        <v>44.804504543464141</v>
      </c>
      <c r="E15" s="288">
        <v>67.211303725579583</v>
      </c>
      <c r="F15" s="288">
        <v>38.31422661008655</v>
      </c>
      <c r="G15" s="288">
        <v>51.075058718927203</v>
      </c>
      <c r="H15" s="288">
        <v>49.560509298446235</v>
      </c>
      <c r="I15" s="289">
        <v>46.662411250978472</v>
      </c>
      <c r="J15" s="288">
        <v>71.543295191273273</v>
      </c>
      <c r="K15" s="288">
        <v>35.020080618103954</v>
      </c>
      <c r="L15" s="288">
        <v>38.039892793935643</v>
      </c>
      <c r="M15" s="289">
        <v>37.988931811419882</v>
      </c>
      <c r="N15" s="289">
        <v>31.219587652341481</v>
      </c>
      <c r="O15" s="290">
        <v>39.585657999980249</v>
      </c>
    </row>
    <row r="16" spans="1:15" ht="15.75" customHeight="1" x14ac:dyDescent="0.3">
      <c r="A16" s="152"/>
      <c r="B16" s="294" t="s">
        <v>48</v>
      </c>
      <c r="C16" s="167">
        <v>48.052799877561156</v>
      </c>
      <c r="D16" s="167">
        <v>58.725595738313451</v>
      </c>
      <c r="E16" s="167">
        <v>65.323640636870337</v>
      </c>
      <c r="F16" s="167">
        <v>31.017232194990861</v>
      </c>
      <c r="G16" s="167">
        <v>45.726525420717053</v>
      </c>
      <c r="H16" s="167">
        <v>39.068687477867222</v>
      </c>
      <c r="I16" s="168">
        <v>45.553222274449965</v>
      </c>
      <c r="J16" s="167">
        <v>71.301658258776598</v>
      </c>
      <c r="K16" s="167">
        <v>38.917249086776792</v>
      </c>
      <c r="L16" s="167">
        <v>40.461185485225577</v>
      </c>
      <c r="M16" s="168">
        <v>33.181169293065302</v>
      </c>
      <c r="N16" s="168">
        <v>30.41750055955027</v>
      </c>
      <c r="O16" s="169">
        <v>46.867362081005588</v>
      </c>
    </row>
    <row r="17" spans="1:15" ht="15.75" customHeight="1" x14ac:dyDescent="0.3">
      <c r="A17" s="152"/>
      <c r="B17" s="295" t="s">
        <v>49</v>
      </c>
      <c r="C17" s="171">
        <v>47.271480820207785</v>
      </c>
      <c r="D17" s="171">
        <v>55.613888715011747</v>
      </c>
      <c r="E17" s="171">
        <v>65.873968736606997</v>
      </c>
      <c r="F17" s="171">
        <v>30.793353633015851</v>
      </c>
      <c r="G17" s="171">
        <v>49.468631733546417</v>
      </c>
      <c r="H17" s="171">
        <v>39.481411482506878</v>
      </c>
      <c r="I17" s="171">
        <v>44.618278125359844</v>
      </c>
      <c r="J17" s="171">
        <v>69.893681526402659</v>
      </c>
      <c r="K17" s="171">
        <v>35.765243156666827</v>
      </c>
      <c r="L17" s="171">
        <v>38.732789243319232</v>
      </c>
      <c r="M17" s="171">
        <v>33.602006819615035</v>
      </c>
      <c r="N17" s="171">
        <v>30.588667439412315</v>
      </c>
      <c r="O17" s="172">
        <v>45.014363959880313</v>
      </c>
    </row>
    <row r="18" spans="1:15" ht="15.75" customHeight="1" x14ac:dyDescent="0.3">
      <c r="A18" s="152"/>
      <c r="B18" s="294" t="s">
        <v>14</v>
      </c>
      <c r="C18" s="167">
        <v>45.680373064944682</v>
      </c>
      <c r="D18" s="167">
        <v>53.26245169504206</v>
      </c>
      <c r="E18" s="167">
        <v>56.89108541807488</v>
      </c>
      <c r="F18" s="167">
        <v>32.56868196396465</v>
      </c>
      <c r="G18" s="167">
        <v>44.551978475216231</v>
      </c>
      <c r="H18" s="167">
        <v>40.564176745227002</v>
      </c>
      <c r="I18" s="168">
        <v>43.593683111871869</v>
      </c>
      <c r="J18" s="167">
        <v>71.010904011822873</v>
      </c>
      <c r="K18" s="167">
        <v>36.246944696144794</v>
      </c>
      <c r="L18" s="167">
        <v>41.507003841748983</v>
      </c>
      <c r="M18" s="168">
        <v>38.111038066616572</v>
      </c>
      <c r="N18" s="168">
        <v>30.348440874041238</v>
      </c>
      <c r="O18" s="169">
        <v>44.912340323451211</v>
      </c>
    </row>
    <row r="19" spans="1:15" ht="15.75" customHeight="1" x14ac:dyDescent="0.3">
      <c r="A19" s="152"/>
      <c r="B19" s="295" t="s">
        <v>15</v>
      </c>
      <c r="C19" s="171">
        <v>45.553117774353083</v>
      </c>
      <c r="D19" s="171">
        <v>58.275362934172662</v>
      </c>
      <c r="E19" s="171">
        <v>51.678780177197645</v>
      </c>
      <c r="F19" s="171">
        <v>28.07387161205056</v>
      </c>
      <c r="G19" s="171">
        <v>41.651362488297266</v>
      </c>
      <c r="H19" s="171">
        <v>39.478226677293826</v>
      </c>
      <c r="I19" s="171">
        <v>44.689158300092998</v>
      </c>
      <c r="J19" s="171">
        <v>72.393930685606222</v>
      </c>
      <c r="K19" s="171">
        <v>38.488178025248658</v>
      </c>
      <c r="L19" s="171">
        <v>38.994370978203264</v>
      </c>
      <c r="M19" s="171">
        <v>34.848159987820893</v>
      </c>
      <c r="N19" s="171">
        <v>33.441110640018145</v>
      </c>
      <c r="O19" s="172">
        <v>49.865030912274932</v>
      </c>
    </row>
    <row r="20" spans="1:15" s="109" customFormat="1" ht="15.75" customHeight="1" x14ac:dyDescent="0.3">
      <c r="A20" s="173"/>
      <c r="B20" s="296" t="s">
        <v>16</v>
      </c>
      <c r="C20" s="167">
        <v>48.245083278904858</v>
      </c>
      <c r="D20" s="167">
        <v>57.035709775806588</v>
      </c>
      <c r="E20" s="167">
        <v>52.007795931373103</v>
      </c>
      <c r="F20" s="167">
        <v>39.430105680289088</v>
      </c>
      <c r="G20" s="167">
        <v>46.8249134939188</v>
      </c>
      <c r="H20" s="167">
        <v>44.290256362631204</v>
      </c>
      <c r="I20" s="168">
        <v>48.444631642117145</v>
      </c>
      <c r="J20" s="167">
        <v>72.345819342089385</v>
      </c>
      <c r="K20" s="167">
        <v>39.977721744332023</v>
      </c>
      <c r="L20" s="167">
        <v>43.55289185002237</v>
      </c>
      <c r="M20" s="168">
        <v>31.509214469490519</v>
      </c>
      <c r="N20" s="168">
        <v>35.549226847362206</v>
      </c>
      <c r="O20" s="169">
        <v>51.58587257617728</v>
      </c>
    </row>
    <row r="21" spans="1:15" ht="15.75" customHeight="1" x14ac:dyDescent="0.3">
      <c r="A21" s="152"/>
      <c r="B21" s="295" t="s">
        <v>8</v>
      </c>
      <c r="C21" s="171">
        <v>49.442265491421381</v>
      </c>
      <c r="D21" s="171">
        <v>59.187644280873698</v>
      </c>
      <c r="E21" s="171">
        <v>58.624364954852723</v>
      </c>
      <c r="F21" s="171">
        <v>36.797819092716495</v>
      </c>
      <c r="G21" s="171">
        <v>48.488851612770674</v>
      </c>
      <c r="H21" s="171">
        <v>43.731396438533544</v>
      </c>
      <c r="I21" s="171">
        <v>49.638359864245253</v>
      </c>
      <c r="J21" s="171">
        <v>73.334959078365543</v>
      </c>
      <c r="K21" s="171">
        <v>41.640077590748767</v>
      </c>
      <c r="L21" s="171">
        <v>40.850367565196493</v>
      </c>
      <c r="M21" s="171">
        <v>30.546865257220645</v>
      </c>
      <c r="N21" s="171">
        <v>32.322387724067866</v>
      </c>
      <c r="O21" s="172">
        <v>54.841540615694086</v>
      </c>
    </row>
    <row r="22" spans="1:15" ht="15.75" customHeight="1" x14ac:dyDescent="0.3">
      <c r="A22" s="152"/>
      <c r="B22" s="294" t="s">
        <v>9</v>
      </c>
      <c r="C22" s="175">
        <v>51.761378060540729</v>
      </c>
      <c r="D22" s="175">
        <v>59.711529144358963</v>
      </c>
      <c r="E22" s="175">
        <v>63.798309604190081</v>
      </c>
      <c r="F22" s="175">
        <v>37.359725506538403</v>
      </c>
      <c r="G22" s="175">
        <v>51.826227451745233</v>
      </c>
      <c r="H22" s="175">
        <v>47.678343261799142</v>
      </c>
      <c r="I22" s="176">
        <v>52.877619230308092</v>
      </c>
      <c r="J22" s="175">
        <v>76.559956396148038</v>
      </c>
      <c r="K22" s="175">
        <v>43.301814787167118</v>
      </c>
      <c r="L22" s="175">
        <v>44.961286152078138</v>
      </c>
      <c r="M22" s="176">
        <v>30.31856002349096</v>
      </c>
      <c r="N22" s="175">
        <v>32.423973540083217</v>
      </c>
      <c r="O22" s="177">
        <v>51.474653037077267</v>
      </c>
    </row>
    <row r="23" spans="1:15" ht="15.75" customHeight="1" x14ac:dyDescent="0.3">
      <c r="A23" s="152"/>
      <c r="B23" s="295" t="s">
        <v>10</v>
      </c>
      <c r="C23" s="171">
        <v>50.0411439672692</v>
      </c>
      <c r="D23" s="171">
        <v>61.857671570931814</v>
      </c>
      <c r="E23" s="171">
        <v>57.013854323763226</v>
      </c>
      <c r="F23" s="171">
        <v>34.568291379369121</v>
      </c>
      <c r="G23" s="171">
        <v>48.199832218136009</v>
      </c>
      <c r="H23" s="171">
        <v>44.791189861029331</v>
      </c>
      <c r="I23" s="171">
        <v>48.262520909091734</v>
      </c>
      <c r="J23" s="171">
        <v>76.419761143762855</v>
      </c>
      <c r="K23" s="171">
        <v>43.857181044563539</v>
      </c>
      <c r="L23" s="171">
        <v>44.608531875799613</v>
      </c>
      <c r="M23" s="171">
        <v>33.453136799709114</v>
      </c>
      <c r="N23" s="171">
        <v>32.461600232713444</v>
      </c>
      <c r="O23" s="172">
        <v>52.587161040398456</v>
      </c>
    </row>
    <row r="24" spans="1:15" ht="15.75" customHeight="1" x14ac:dyDescent="0.3">
      <c r="A24" s="152"/>
      <c r="B24" s="296" t="s">
        <v>11</v>
      </c>
      <c r="C24" s="175">
        <v>49.616036164479297</v>
      </c>
      <c r="D24" s="175">
        <v>60.823348846080748</v>
      </c>
      <c r="E24" s="175">
        <v>55.550844953299908</v>
      </c>
      <c r="F24" s="175">
        <v>37.106404108631772</v>
      </c>
      <c r="G24" s="175">
        <v>47.334795653176982</v>
      </c>
      <c r="H24" s="175">
        <v>43.978189213879375</v>
      </c>
      <c r="I24" s="176">
        <v>47.127152743506464</v>
      </c>
      <c r="J24" s="175">
        <v>74.420635525991599</v>
      </c>
      <c r="K24" s="175">
        <v>42.962661609260586</v>
      </c>
      <c r="L24" s="175">
        <v>44.730647467748277</v>
      </c>
      <c r="M24" s="176">
        <v>35.477294769056272</v>
      </c>
      <c r="N24" s="175">
        <v>36.651452485976172</v>
      </c>
      <c r="O24" s="177">
        <v>54.863190951120934</v>
      </c>
    </row>
    <row r="25" spans="1:15" ht="15.75" customHeight="1" x14ac:dyDescent="0.3">
      <c r="A25" s="152"/>
      <c r="B25" s="295" t="s">
        <v>12</v>
      </c>
      <c r="C25" s="171">
        <v>53.280748896897201</v>
      </c>
      <c r="D25" s="171">
        <v>64.886564962096585</v>
      </c>
      <c r="E25" s="171">
        <v>66.527276176662639</v>
      </c>
      <c r="F25" s="171">
        <v>37.600931577482704</v>
      </c>
      <c r="G25" s="171">
        <v>53.12472749971635</v>
      </c>
      <c r="H25" s="171">
        <v>44.408284757825776</v>
      </c>
      <c r="I25" s="171">
        <v>50.800296952878846</v>
      </c>
      <c r="J25" s="171">
        <v>75.587634551429943</v>
      </c>
      <c r="K25" s="171">
        <v>43.766116091201816</v>
      </c>
      <c r="L25" s="171">
        <v>45.70889920283367</v>
      </c>
      <c r="M25" s="171">
        <v>36.97408082791727</v>
      </c>
      <c r="N25" s="171">
        <v>34.337166818477819</v>
      </c>
      <c r="O25" s="172">
        <v>57.785575968466475</v>
      </c>
    </row>
    <row r="26" spans="1:15" ht="15.75" customHeight="1" x14ac:dyDescent="0.3">
      <c r="A26" s="152"/>
      <c r="B26" s="296" t="s">
        <v>13</v>
      </c>
      <c r="C26" s="175">
        <v>49.775091738759237</v>
      </c>
      <c r="D26" s="175">
        <v>48.834048754923067</v>
      </c>
      <c r="E26" s="175">
        <v>65.432769837755529</v>
      </c>
      <c r="F26" s="175">
        <v>39.115594590507087</v>
      </c>
      <c r="G26" s="175">
        <v>53.446668908278873</v>
      </c>
      <c r="H26" s="175">
        <v>44.322453748540916</v>
      </c>
      <c r="I26" s="176">
        <v>52.848952202908571</v>
      </c>
      <c r="J26" s="175">
        <v>74.089583408210686</v>
      </c>
      <c r="K26" s="175">
        <v>40.258227824699034</v>
      </c>
      <c r="L26" s="175">
        <v>42.097558749584664</v>
      </c>
      <c r="M26" s="176">
        <v>39.71954648341498</v>
      </c>
      <c r="N26" s="175">
        <v>33.316550457969079</v>
      </c>
      <c r="O26" s="177">
        <v>49.568884630959317</v>
      </c>
    </row>
    <row r="27" spans="1:15" ht="15.75" customHeight="1" x14ac:dyDescent="0.3">
      <c r="A27" s="147" t="s">
        <v>52</v>
      </c>
      <c r="B27" s="96" t="s">
        <v>54</v>
      </c>
      <c r="C27" s="171">
        <v>50.256674881142715</v>
      </c>
      <c r="D27" s="171">
        <v>47.248005434660229</v>
      </c>
      <c r="E27" s="171">
        <v>72.19029220067074</v>
      </c>
      <c r="F27" s="171">
        <v>39.837978485712604</v>
      </c>
      <c r="G27" s="171">
        <v>55.117835575800186</v>
      </c>
      <c r="H27" s="171">
        <v>55.227662235267118</v>
      </c>
      <c r="I27" s="171">
        <v>50.705839036220368</v>
      </c>
      <c r="J27" s="171">
        <v>71.810149736665636</v>
      </c>
      <c r="K27" s="171">
        <v>36.93924882162132</v>
      </c>
      <c r="L27" s="171">
        <v>41.423289857941604</v>
      </c>
      <c r="M27" s="171">
        <v>37.738240492642525</v>
      </c>
      <c r="N27" s="171">
        <v>35.62805065155576</v>
      </c>
      <c r="O27" s="172">
        <v>44.084203448821391</v>
      </c>
    </row>
    <row r="28" spans="1:15" ht="15.75" customHeight="1" x14ac:dyDescent="0.3">
      <c r="A28" s="101"/>
      <c r="B28" s="102" t="s">
        <v>56</v>
      </c>
      <c r="C28" s="175">
        <v>50.683893909273834</v>
      </c>
      <c r="D28" s="175">
        <v>61.136734681829175</v>
      </c>
      <c r="E28" s="175">
        <v>69.24776480215391</v>
      </c>
      <c r="F28" s="175">
        <v>31.334139895639851</v>
      </c>
      <c r="G28" s="175">
        <v>51.358084822165381</v>
      </c>
      <c r="H28" s="175">
        <v>39.927160754698498</v>
      </c>
      <c r="I28" s="176">
        <v>49.493723105452567</v>
      </c>
      <c r="J28" s="175">
        <v>75.634759058806708</v>
      </c>
      <c r="K28" s="175">
        <v>39.545602035780441</v>
      </c>
      <c r="L28" s="175">
        <v>39.374845999507208</v>
      </c>
      <c r="M28" s="176">
        <v>37.608739286311305</v>
      </c>
      <c r="N28" s="175">
        <v>30.369334091656913</v>
      </c>
      <c r="O28" s="177">
        <v>47.172209277695401</v>
      </c>
    </row>
    <row r="29" spans="1:15" ht="15.75" customHeight="1" x14ac:dyDescent="0.3">
      <c r="A29" s="101"/>
      <c r="B29" s="96" t="s">
        <v>65</v>
      </c>
      <c r="C29" s="171">
        <v>32.761552946872982</v>
      </c>
      <c r="D29" s="171">
        <v>37.545358358154026</v>
      </c>
      <c r="E29" s="171">
        <v>36.920561155002659</v>
      </c>
      <c r="F29" s="171">
        <v>20.521753445875206</v>
      </c>
      <c r="G29" s="171">
        <v>31.260175191123381</v>
      </c>
      <c r="H29" s="171">
        <v>29.816606381924494</v>
      </c>
      <c r="I29" s="171">
        <v>30.581262514287587</v>
      </c>
      <c r="J29" s="171">
        <v>62.666414922753546</v>
      </c>
      <c r="K29" s="171">
        <v>28.704412667329027</v>
      </c>
      <c r="L29" s="171">
        <v>28.40767285854011</v>
      </c>
      <c r="M29" s="171">
        <v>31.647756796745103</v>
      </c>
      <c r="N29" s="171">
        <v>25.119243436662281</v>
      </c>
      <c r="O29" s="172">
        <v>35.572029077496076</v>
      </c>
    </row>
    <row r="30" spans="1:15" ht="15.75" customHeight="1" x14ac:dyDescent="0.3">
      <c r="A30" s="101"/>
      <c r="B30" s="102" t="s">
        <v>66</v>
      </c>
      <c r="C30" s="175">
        <v>8.8571185143468405</v>
      </c>
      <c r="D30" s="175">
        <v>8.7766727179664201</v>
      </c>
      <c r="E30" s="175">
        <v>5.6035864034853651</v>
      </c>
      <c r="F30" s="175">
        <v>7.0003918668277603</v>
      </c>
      <c r="G30" s="175">
        <v>9.3129093866628345</v>
      </c>
      <c r="H30" s="175">
        <v>11.840151883494247</v>
      </c>
      <c r="I30" s="176">
        <v>9.6944658247333937</v>
      </c>
      <c r="J30" s="175" t="s">
        <v>108</v>
      </c>
      <c r="K30" s="175">
        <v>7.7367627522994811</v>
      </c>
      <c r="L30" s="175">
        <v>12.225020930936816</v>
      </c>
      <c r="M30" s="176">
        <v>9.4956641368237165</v>
      </c>
      <c r="N30" s="175">
        <v>8.4601867153876693</v>
      </c>
      <c r="O30" s="177">
        <v>24.34056007226739</v>
      </c>
    </row>
    <row r="31" spans="1:15" ht="15.75" customHeight="1" x14ac:dyDescent="0.3">
      <c r="A31" s="101"/>
      <c r="B31" s="96" t="s">
        <v>15</v>
      </c>
      <c r="C31" s="171">
        <v>11.26021568418645</v>
      </c>
      <c r="D31" s="171">
        <v>10.055220477633593</v>
      </c>
      <c r="E31" s="171">
        <v>13.478204031831972</v>
      </c>
      <c r="F31" s="171">
        <v>12.028620295265958</v>
      </c>
      <c r="G31" s="171">
        <v>9.0772606599814818</v>
      </c>
      <c r="H31" s="171">
        <v>11.484788416899015</v>
      </c>
      <c r="I31" s="171">
        <v>13.849316590092755</v>
      </c>
      <c r="J31" s="171" t="s">
        <v>108</v>
      </c>
      <c r="K31" s="171">
        <v>10.447960631241287</v>
      </c>
      <c r="L31" s="171">
        <v>11.489354423992953</v>
      </c>
      <c r="M31" s="171">
        <v>8.105863717138325</v>
      </c>
      <c r="N31" s="171">
        <v>17.121447429725116</v>
      </c>
      <c r="O31" s="172">
        <v>29.603399433427764</v>
      </c>
    </row>
    <row r="32" spans="1:15" ht="15.75" customHeight="1" x14ac:dyDescent="0.3">
      <c r="A32" s="101"/>
      <c r="B32" s="111" t="s">
        <v>67</v>
      </c>
      <c r="C32" s="198">
        <v>12.713057476078857</v>
      </c>
      <c r="D32" s="198">
        <v>11.801438545907683</v>
      </c>
      <c r="E32" s="198">
        <v>15.75258038167372</v>
      </c>
      <c r="F32" s="198">
        <v>9.1694963799099973</v>
      </c>
      <c r="G32" s="198">
        <v>10.786248506250194</v>
      </c>
      <c r="H32" s="198">
        <v>9.2255834532972649</v>
      </c>
      <c r="I32" s="198">
        <v>15.369311430594054</v>
      </c>
      <c r="J32" s="198" t="s">
        <v>108</v>
      </c>
      <c r="K32" s="198">
        <v>12.115263441795365</v>
      </c>
      <c r="L32" s="198">
        <v>13.155807426685096</v>
      </c>
      <c r="M32" s="198">
        <v>12.909865675170087</v>
      </c>
      <c r="N32" s="198">
        <v>17.973150159494313</v>
      </c>
      <c r="O32" s="199">
        <v>25.949468085106382</v>
      </c>
    </row>
    <row r="33" spans="1:15" ht="15.75" customHeight="1" x14ac:dyDescent="0.3">
      <c r="A33" s="101"/>
      <c r="B33" s="96" t="s">
        <v>87</v>
      </c>
      <c r="C33" s="98">
        <v>14.053146075945838</v>
      </c>
      <c r="D33" s="98">
        <v>10.048759518753075</v>
      </c>
      <c r="E33" s="98">
        <v>17.758599465015269</v>
      </c>
      <c r="F33" s="98">
        <v>10.716128087637278</v>
      </c>
      <c r="G33" s="98">
        <v>14.014140877435796</v>
      </c>
      <c r="H33" s="98">
        <v>10.141390533812324</v>
      </c>
      <c r="I33" s="98">
        <v>20.197584807123491</v>
      </c>
      <c r="J33" s="98" t="s">
        <v>108</v>
      </c>
      <c r="K33" s="98">
        <v>14.089959509779312</v>
      </c>
      <c r="L33" s="98">
        <v>12.672523191319659</v>
      </c>
      <c r="M33" s="98">
        <v>16.051902889256471</v>
      </c>
      <c r="N33" s="98">
        <v>19.0171994615641</v>
      </c>
      <c r="O33" s="99">
        <v>31.511088189788548</v>
      </c>
    </row>
    <row r="34" spans="1:15" ht="15.75" customHeight="1" x14ac:dyDescent="0.3">
      <c r="A34" s="101"/>
      <c r="B34" s="111" t="s">
        <v>9</v>
      </c>
      <c r="C34" s="198">
        <v>13.576261248089491</v>
      </c>
      <c r="D34" s="198">
        <v>10.034896524393803</v>
      </c>
      <c r="E34" s="198">
        <v>9.2816506731811081</v>
      </c>
      <c r="F34" s="198">
        <v>13.533000291237185</v>
      </c>
      <c r="G34" s="198">
        <v>13.684508933183023</v>
      </c>
      <c r="H34" s="198">
        <v>12.101859699348285</v>
      </c>
      <c r="I34" s="198">
        <v>17.80013738203359</v>
      </c>
      <c r="J34" s="198" t="s">
        <v>108</v>
      </c>
      <c r="K34" s="198">
        <v>13.638375892817312</v>
      </c>
      <c r="L34" s="198">
        <v>13.566934119197741</v>
      </c>
      <c r="M34" s="198">
        <v>17.637568087865962</v>
      </c>
      <c r="N34" s="198">
        <v>16.591447881491327</v>
      </c>
      <c r="O34" s="199">
        <v>35.520059092378006</v>
      </c>
    </row>
    <row r="35" spans="1:15" ht="15.75" customHeight="1" x14ac:dyDescent="0.3">
      <c r="A35" s="101"/>
      <c r="B35" s="96" t="s">
        <v>10</v>
      </c>
      <c r="C35" s="97">
        <v>17.934149914027291</v>
      </c>
      <c r="D35" s="98">
        <v>13.019532422967691</v>
      </c>
      <c r="E35" s="98">
        <v>8.8357661603450435</v>
      </c>
      <c r="F35" s="98">
        <v>19.286774132891161</v>
      </c>
      <c r="G35" s="98">
        <v>19.352166618159782</v>
      </c>
      <c r="H35" s="98">
        <v>21.460317324258764</v>
      </c>
      <c r="I35" s="98">
        <v>22.238407816792265</v>
      </c>
      <c r="J35" s="98">
        <v>0.83333333333333337</v>
      </c>
      <c r="K35" s="98">
        <v>18.519748484649913</v>
      </c>
      <c r="L35" s="98">
        <v>20.766260246215055</v>
      </c>
      <c r="M35" s="98">
        <v>25.194424771665187</v>
      </c>
      <c r="N35" s="98">
        <v>23.638328003911365</v>
      </c>
      <c r="O35" s="99">
        <v>29.141202959150853</v>
      </c>
    </row>
    <row r="36" spans="1:15" ht="15.75" customHeight="1" x14ac:dyDescent="0.3">
      <c r="A36" s="101"/>
      <c r="B36" s="111" t="s">
        <v>11</v>
      </c>
      <c r="C36" s="192">
        <v>25.809958389253968</v>
      </c>
      <c r="D36" s="198">
        <v>19.349052749970632</v>
      </c>
      <c r="E36" s="198">
        <v>23.10935300839677</v>
      </c>
      <c r="F36" s="198">
        <v>28.843595217143818</v>
      </c>
      <c r="G36" s="198">
        <v>28.150604427494113</v>
      </c>
      <c r="H36" s="198">
        <v>33.274457115697807</v>
      </c>
      <c r="I36" s="198">
        <v>27.107908692849591</v>
      </c>
      <c r="J36" s="198">
        <v>20.393188801928595</v>
      </c>
      <c r="K36" s="198">
        <v>26.177644838249375</v>
      </c>
      <c r="L36" s="198">
        <v>28.318166664424194</v>
      </c>
      <c r="M36" s="198">
        <v>34.800554158324751</v>
      </c>
      <c r="N36" s="198">
        <v>26.503510356697273</v>
      </c>
      <c r="O36" s="199">
        <v>25.960295475530931</v>
      </c>
    </row>
    <row r="37" spans="1:15" ht="15.75" customHeight="1" x14ac:dyDescent="0.3">
      <c r="A37" s="101"/>
      <c r="B37" s="96" t="s">
        <v>12</v>
      </c>
      <c r="C37" s="97">
        <v>30.657788240865308</v>
      </c>
      <c r="D37" s="98">
        <v>25.87087614978855</v>
      </c>
      <c r="E37" s="98">
        <v>29.76083260255545</v>
      </c>
      <c r="F37" s="98">
        <v>29.777266612987415</v>
      </c>
      <c r="G37" s="98">
        <v>33.240682360773789</v>
      </c>
      <c r="H37" s="98">
        <v>34.134990302493158</v>
      </c>
      <c r="I37" s="98">
        <v>31.981303686315627</v>
      </c>
      <c r="J37" s="98">
        <v>34.127774788690843</v>
      </c>
      <c r="K37" s="98">
        <v>30.422750152637619</v>
      </c>
      <c r="L37" s="98">
        <v>33.013667013284824</v>
      </c>
      <c r="M37" s="98">
        <v>34.642936697670919</v>
      </c>
      <c r="N37" s="98">
        <v>33.536076140493378</v>
      </c>
      <c r="O37" s="99">
        <v>32.2858495030762</v>
      </c>
    </row>
    <row r="38" spans="1:15" ht="15.75" customHeight="1" x14ac:dyDescent="0.3">
      <c r="A38" s="101"/>
      <c r="B38" s="111" t="s">
        <v>13</v>
      </c>
      <c r="C38" s="192">
        <v>32.783766700285462</v>
      </c>
      <c r="D38" s="198">
        <v>26.027208192684938</v>
      </c>
      <c r="E38" s="198">
        <v>35.220978629187741</v>
      </c>
      <c r="F38" s="198">
        <v>30.352045085429374</v>
      </c>
      <c r="G38" s="198">
        <v>37.496187832178791</v>
      </c>
      <c r="H38" s="198">
        <v>35.750727288681297</v>
      </c>
      <c r="I38" s="198">
        <v>36.693032298924614</v>
      </c>
      <c r="J38" s="198">
        <v>39.044602722976975</v>
      </c>
      <c r="K38" s="198">
        <v>30.802796174203184</v>
      </c>
      <c r="L38" s="198">
        <v>31.467240707309081</v>
      </c>
      <c r="M38" s="198">
        <v>34.451300001936723</v>
      </c>
      <c r="N38" s="198">
        <v>34.975531418370217</v>
      </c>
      <c r="O38" s="199">
        <v>26.122719641068333</v>
      </c>
    </row>
    <row r="39" spans="1:15" ht="15.75" customHeight="1" x14ac:dyDescent="0.3">
      <c r="A39" s="156" t="s">
        <v>124</v>
      </c>
      <c r="B39" s="156" t="s">
        <v>54</v>
      </c>
      <c r="C39" s="97">
        <v>31.921742035155258</v>
      </c>
      <c r="D39" s="98">
        <v>20.633424796034312</v>
      </c>
      <c r="E39" s="98">
        <v>43.148346945237471</v>
      </c>
      <c r="F39" s="98">
        <v>28.415236086295714</v>
      </c>
      <c r="G39" s="98">
        <v>42.441536945602678</v>
      </c>
      <c r="H39" s="98">
        <v>36.470090413416841</v>
      </c>
      <c r="I39" s="98">
        <v>33.807589300438998</v>
      </c>
      <c r="J39" s="98">
        <v>45.033653120582393</v>
      </c>
      <c r="K39" s="98">
        <v>23.004982318650683</v>
      </c>
      <c r="L39" s="98">
        <v>29.223806483717645</v>
      </c>
      <c r="M39" s="98">
        <v>31.830373285610321</v>
      </c>
      <c r="N39" s="98">
        <v>30.730472499389517</v>
      </c>
      <c r="O39" s="99">
        <v>25.00252691160863</v>
      </c>
    </row>
    <row r="40" spans="1:15" ht="15.75" customHeight="1" x14ac:dyDescent="0.3">
      <c r="A40" s="109"/>
      <c r="B40" s="109" t="s">
        <v>48</v>
      </c>
      <c r="C40" s="192">
        <v>31.49943746622564</v>
      </c>
      <c r="D40" s="198">
        <v>24.071176928523997</v>
      </c>
      <c r="E40" s="198">
        <v>34.848467186804058</v>
      </c>
      <c r="F40" s="198">
        <v>26.311059340794085</v>
      </c>
      <c r="G40" s="198">
        <v>35.779491309087639</v>
      </c>
      <c r="H40" s="198">
        <v>30.54155817807403</v>
      </c>
      <c r="I40" s="198">
        <v>35.991555156657952</v>
      </c>
      <c r="J40" s="198">
        <v>49.715612723183412</v>
      </c>
      <c r="K40" s="198">
        <v>27.96537212665411</v>
      </c>
      <c r="L40" s="198">
        <v>32.347373919049275</v>
      </c>
      <c r="M40" s="198">
        <v>30.240651037720887</v>
      </c>
      <c r="N40" s="198">
        <v>31.23762426923038</v>
      </c>
      <c r="O40" s="199">
        <v>28.871649706177436</v>
      </c>
    </row>
    <row r="41" spans="1:15" ht="15.75" customHeight="1" x14ac:dyDescent="0.3">
      <c r="A41" s="109"/>
      <c r="B41" s="156" t="s">
        <v>49</v>
      </c>
      <c r="C41" s="97">
        <v>35.318372100804943</v>
      </c>
      <c r="D41" s="98">
        <v>25.956022939786795</v>
      </c>
      <c r="E41" s="98">
        <v>45.561538252541126</v>
      </c>
      <c r="F41" s="98">
        <v>30.792195251133681</v>
      </c>
      <c r="G41" s="98">
        <v>38.917066934865368</v>
      </c>
      <c r="H41" s="98">
        <v>33.985958058864405</v>
      </c>
      <c r="I41" s="98">
        <v>37.933731489166803</v>
      </c>
      <c r="J41" s="98">
        <v>52.814266084130388</v>
      </c>
      <c r="K41" s="98">
        <v>33.425270728759997</v>
      </c>
      <c r="L41" s="98">
        <v>34.995957027283723</v>
      </c>
      <c r="M41" s="98">
        <v>34.859721570724453</v>
      </c>
      <c r="N41" s="98">
        <v>31.543332326775225</v>
      </c>
      <c r="O41" s="99">
        <v>24.42321066795682</v>
      </c>
    </row>
    <row r="42" spans="1:15" ht="15.75" customHeight="1" x14ac:dyDescent="0.3">
      <c r="A42" s="109"/>
      <c r="B42" s="109" t="s">
        <v>14</v>
      </c>
      <c r="C42" s="192">
        <v>28.891680334035502</v>
      </c>
      <c r="D42" s="198">
        <v>22.508868806864875</v>
      </c>
      <c r="E42" s="198">
        <v>35.976540496990083</v>
      </c>
      <c r="F42" s="198">
        <v>24.406464564498137</v>
      </c>
      <c r="G42" s="198">
        <v>25.590364564367185</v>
      </c>
      <c r="H42" s="198">
        <v>31.262200981070819</v>
      </c>
      <c r="I42" s="198">
        <v>28.045257865385796</v>
      </c>
      <c r="J42" s="198">
        <v>53.716977475162011</v>
      </c>
      <c r="K42" s="198">
        <v>29.014690782645168</v>
      </c>
      <c r="L42" s="198">
        <v>32.545237331942872</v>
      </c>
      <c r="M42" s="198">
        <v>30.699263183046625</v>
      </c>
      <c r="N42" s="198">
        <v>25.40850448928613</v>
      </c>
      <c r="O42" s="199">
        <v>26.652661064425772</v>
      </c>
    </row>
    <row r="43" spans="1:15" ht="15.75" customHeight="1" x14ac:dyDescent="0.3">
      <c r="A43" s="109"/>
      <c r="B43" s="156" t="s">
        <v>15</v>
      </c>
      <c r="C43" s="97">
        <v>25.678645430976104</v>
      </c>
      <c r="D43" s="98">
        <v>22.789914811134622</v>
      </c>
      <c r="E43" s="98">
        <v>27.854991397139798</v>
      </c>
      <c r="F43" s="98">
        <v>18.529061248340792</v>
      </c>
      <c r="G43" s="98">
        <v>28.291550986598814</v>
      </c>
      <c r="H43" s="98">
        <v>19.003850312640054</v>
      </c>
      <c r="I43" s="98">
        <v>29.180140476786686</v>
      </c>
      <c r="J43" s="98">
        <v>51.602974609703708</v>
      </c>
      <c r="K43" s="98">
        <v>17.794850620815765</v>
      </c>
      <c r="L43" s="98">
        <v>27.909792861552514</v>
      </c>
      <c r="M43" s="98">
        <v>25.716354515989799</v>
      </c>
      <c r="N43" s="98">
        <v>23.154836042961794</v>
      </c>
      <c r="O43" s="99">
        <v>19.906026926899791</v>
      </c>
    </row>
    <row r="44" spans="1:15" ht="15.75" customHeight="1" x14ac:dyDescent="0.3">
      <c r="A44" s="109"/>
      <c r="B44" s="109" t="s">
        <v>16</v>
      </c>
      <c r="C44" s="192">
        <v>36.253891649537159</v>
      </c>
      <c r="D44" s="198">
        <v>28.975599853918954</v>
      </c>
      <c r="E44" s="198">
        <v>45.477611530087088</v>
      </c>
      <c r="F44" s="198">
        <v>31.162796415356436</v>
      </c>
      <c r="G44" s="198">
        <v>44.059506138722277</v>
      </c>
      <c r="H44" s="198">
        <v>32.200327010403385</v>
      </c>
      <c r="I44" s="198">
        <v>37.104074394831628</v>
      </c>
      <c r="J44" s="198">
        <v>65.387927765465278</v>
      </c>
      <c r="K44" s="198">
        <v>25.805829551887559</v>
      </c>
      <c r="L44" s="198">
        <v>32.861181670034014</v>
      </c>
      <c r="M44" s="198">
        <v>36.554703294265778</v>
      </c>
      <c r="N44" s="198">
        <v>31.443652006565912</v>
      </c>
      <c r="O44" s="199">
        <v>29.999390504053146</v>
      </c>
    </row>
    <row r="45" spans="1:15" ht="15.75" customHeight="1" x14ac:dyDescent="0.3">
      <c r="A45" s="109"/>
      <c r="B45" s="156" t="s">
        <v>8</v>
      </c>
      <c r="C45" s="97">
        <v>43.421884553133175</v>
      </c>
      <c r="D45" s="98">
        <v>33.854047227061599</v>
      </c>
      <c r="E45" s="98">
        <v>56.146160880441577</v>
      </c>
      <c r="F45" s="98">
        <v>35.563659508040082</v>
      </c>
      <c r="G45" s="98">
        <v>52.076942856784278</v>
      </c>
      <c r="H45" s="98">
        <v>41.133115221146241</v>
      </c>
      <c r="I45" s="98">
        <v>48.487104936425204</v>
      </c>
      <c r="J45" s="98">
        <v>70.320652754791041</v>
      </c>
      <c r="K45" s="98">
        <v>33.763189595852211</v>
      </c>
      <c r="L45" s="98">
        <v>37.809899743863298</v>
      </c>
      <c r="M45" s="98">
        <v>36.94507953217191</v>
      </c>
      <c r="N45" s="98">
        <v>35.49277667438583</v>
      </c>
      <c r="O45" s="99">
        <v>38.500816464062623</v>
      </c>
    </row>
    <row r="46" spans="1:15" ht="15.75" customHeight="1" x14ac:dyDescent="0.3">
      <c r="A46" s="109"/>
      <c r="B46" s="109" t="s">
        <v>9</v>
      </c>
      <c r="C46" s="192">
        <v>45.284723335080258</v>
      </c>
      <c r="D46" s="198">
        <v>38.426952004139054</v>
      </c>
      <c r="E46" s="198">
        <v>57.499572448764411</v>
      </c>
      <c r="F46" s="198">
        <v>34.196107511729188</v>
      </c>
      <c r="G46" s="198">
        <v>52.661708349100408</v>
      </c>
      <c r="H46" s="198">
        <v>41.314565366042842</v>
      </c>
      <c r="I46" s="198">
        <v>50.236673486892279</v>
      </c>
      <c r="J46" s="198">
        <v>70.954870425288476</v>
      </c>
      <c r="K46" s="198">
        <v>36.467676598383576</v>
      </c>
      <c r="L46" s="198">
        <v>41.870345951591695</v>
      </c>
      <c r="M46" s="198">
        <v>38.222434552095834</v>
      </c>
      <c r="N46" s="198">
        <v>36.318567389255421</v>
      </c>
      <c r="O46" s="199">
        <v>42.853703831075038</v>
      </c>
    </row>
    <row r="47" spans="1:15" ht="15.75" customHeight="1" x14ac:dyDescent="0.3">
      <c r="A47" s="109"/>
      <c r="B47" s="156" t="s">
        <v>10</v>
      </c>
      <c r="C47" s="97">
        <v>47.0936850945657</v>
      </c>
      <c r="D47" s="98">
        <v>42.587706175805991</v>
      </c>
      <c r="E47" s="98">
        <v>57.753606907038979</v>
      </c>
      <c r="F47" s="98">
        <v>37.347838445282775</v>
      </c>
      <c r="G47" s="98">
        <v>52.439489070164655</v>
      </c>
      <c r="H47" s="98">
        <v>40.451308483396062</v>
      </c>
      <c r="I47" s="98">
        <v>51.95623463522692</v>
      </c>
      <c r="J47" s="98">
        <v>71.326981739166769</v>
      </c>
      <c r="K47" s="98">
        <v>39.375005547346987</v>
      </c>
      <c r="L47" s="98">
        <v>42.926434158070862</v>
      </c>
      <c r="M47" s="98">
        <v>42.082264228440543</v>
      </c>
      <c r="N47" s="98">
        <v>36.942264018259266</v>
      </c>
      <c r="O47" s="99">
        <v>40.957433773617268</v>
      </c>
    </row>
    <row r="48" spans="1:15" ht="15.75" customHeight="1" x14ac:dyDescent="0.3">
      <c r="A48" s="360"/>
      <c r="B48" s="406" t="s">
        <v>11</v>
      </c>
      <c r="C48" s="402">
        <v>51.569682460681655</v>
      </c>
      <c r="D48" s="403">
        <v>47.166607702793037</v>
      </c>
      <c r="E48" s="403">
        <v>65.110207906182595</v>
      </c>
      <c r="F48" s="403">
        <v>45.210110249938346</v>
      </c>
      <c r="G48" s="403">
        <v>60.884009566140087</v>
      </c>
      <c r="H48" s="403">
        <v>48.355970315080732</v>
      </c>
      <c r="I48" s="403">
        <v>52.816084117057194</v>
      </c>
      <c r="J48" s="403">
        <v>72.26213224032557</v>
      </c>
      <c r="K48" s="403">
        <v>39.63929504852041</v>
      </c>
      <c r="L48" s="403">
        <v>47.874993202774824</v>
      </c>
      <c r="M48" s="403">
        <v>40.887367209871996</v>
      </c>
      <c r="N48" s="403">
        <v>40.128881899106567</v>
      </c>
      <c r="O48" s="404">
        <v>40.317065589058124</v>
      </c>
    </row>
    <row r="49" spans="1:15" s="178" customFormat="1" ht="19.5" customHeight="1" x14ac:dyDescent="0.3">
      <c r="A49" s="291"/>
      <c r="B49" s="109" t="s">
        <v>84</v>
      </c>
      <c r="E49" s="59"/>
      <c r="F49" s="59"/>
      <c r="G49" s="59"/>
      <c r="H49" s="59"/>
      <c r="I49" s="59"/>
      <c r="J49" s="59"/>
      <c r="K49" s="59"/>
      <c r="L49" s="59"/>
      <c r="M49" s="59"/>
      <c r="N49" s="59"/>
      <c r="O49" s="60"/>
    </row>
    <row r="50" spans="1:15" s="180" customFormat="1" ht="14.25" customHeight="1" x14ac:dyDescent="0.3">
      <c r="A50" s="179"/>
      <c r="B50" s="178" t="s">
        <v>17</v>
      </c>
      <c r="C50" s="178"/>
      <c r="D50" s="178"/>
      <c r="E50" s="59"/>
      <c r="F50" s="59"/>
      <c r="G50" s="59"/>
      <c r="H50" s="59"/>
      <c r="I50" s="59"/>
      <c r="J50" s="59"/>
      <c r="K50" s="59"/>
      <c r="L50" s="59"/>
      <c r="M50" s="59"/>
      <c r="N50" s="59"/>
      <c r="O50" s="60"/>
    </row>
    <row r="51" spans="1:15" s="180" customFormat="1" ht="11.25" customHeight="1" x14ac:dyDescent="0.25">
      <c r="A51" s="179"/>
      <c r="B51" s="434" t="s">
        <v>88</v>
      </c>
      <c r="C51" s="434"/>
      <c r="D51" s="434"/>
      <c r="E51" s="434"/>
      <c r="F51" s="434"/>
      <c r="G51" s="434"/>
      <c r="H51" s="434"/>
      <c r="I51" s="434"/>
      <c r="J51" s="434"/>
      <c r="K51" s="434"/>
      <c r="L51" s="434"/>
      <c r="M51" s="434"/>
      <c r="N51" s="434"/>
      <c r="O51" s="435"/>
    </row>
    <row r="52" spans="1:15" s="180" customFormat="1" ht="11.25" customHeight="1" x14ac:dyDescent="0.25">
      <c r="A52" s="179"/>
      <c r="B52" s="434"/>
      <c r="C52" s="434"/>
      <c r="D52" s="434"/>
      <c r="E52" s="434"/>
      <c r="F52" s="434"/>
      <c r="G52" s="434"/>
      <c r="H52" s="434"/>
      <c r="I52" s="434"/>
      <c r="J52" s="434"/>
      <c r="K52" s="434"/>
      <c r="L52" s="434"/>
      <c r="M52" s="434"/>
      <c r="N52" s="434"/>
      <c r="O52" s="435"/>
    </row>
    <row r="53" spans="1:15" s="182" customFormat="1" ht="11.25" customHeight="1" x14ac:dyDescent="0.3">
      <c r="A53" s="181"/>
      <c r="B53" s="434"/>
      <c r="C53" s="434"/>
      <c r="D53" s="434"/>
      <c r="E53" s="434"/>
      <c r="F53" s="434"/>
      <c r="G53" s="434"/>
      <c r="H53" s="434"/>
      <c r="I53" s="434"/>
      <c r="J53" s="434"/>
      <c r="K53" s="434"/>
      <c r="L53" s="434"/>
      <c r="M53" s="434"/>
      <c r="N53" s="434"/>
      <c r="O53" s="435"/>
    </row>
    <row r="54" spans="1:15" s="182" customFormat="1" ht="11.25" customHeight="1" x14ac:dyDescent="0.3">
      <c r="A54" s="181"/>
      <c r="B54" s="434"/>
      <c r="C54" s="434"/>
      <c r="D54" s="434"/>
      <c r="E54" s="434"/>
      <c r="F54" s="434"/>
      <c r="G54" s="434"/>
      <c r="H54" s="434"/>
      <c r="I54" s="434"/>
      <c r="J54" s="434"/>
      <c r="K54" s="434"/>
      <c r="L54" s="434"/>
      <c r="M54" s="434"/>
      <c r="N54" s="434"/>
      <c r="O54" s="435"/>
    </row>
    <row r="55" spans="1:15" s="182" customFormat="1" ht="11.25" customHeight="1" x14ac:dyDescent="0.3">
      <c r="A55" s="181"/>
      <c r="B55" s="424" t="s">
        <v>115</v>
      </c>
      <c r="C55" s="424"/>
      <c r="D55" s="424"/>
      <c r="E55" s="424"/>
      <c r="F55" s="424"/>
      <c r="G55" s="424"/>
      <c r="H55" s="424"/>
      <c r="I55" s="424"/>
      <c r="J55" s="424"/>
      <c r="K55" s="424"/>
      <c r="L55" s="424"/>
      <c r="M55" s="424"/>
      <c r="N55" s="424"/>
      <c r="O55" s="264"/>
    </row>
    <row r="56" spans="1:15" s="182" customFormat="1" ht="11.25" customHeight="1" x14ac:dyDescent="0.3">
      <c r="A56" s="181"/>
      <c r="B56" s="424"/>
      <c r="C56" s="424"/>
      <c r="D56" s="424"/>
      <c r="E56" s="424"/>
      <c r="F56" s="424"/>
      <c r="G56" s="424"/>
      <c r="H56" s="424"/>
      <c r="I56" s="424"/>
      <c r="J56" s="424"/>
      <c r="K56" s="424"/>
      <c r="L56" s="424"/>
      <c r="M56" s="424"/>
      <c r="N56" s="424"/>
      <c r="O56" s="264"/>
    </row>
    <row r="57" spans="1:15" s="178" customFormat="1" ht="15" customHeight="1" x14ac:dyDescent="0.3">
      <c r="A57" s="183"/>
      <c r="B57" s="184" t="str">
        <f>'1.1 V.A Ing.real'!B45</f>
        <v>Actualizado el 15 de diciembre de 2021</v>
      </c>
      <c r="C57" s="184"/>
      <c r="D57" s="184"/>
      <c r="E57" s="61"/>
      <c r="F57" s="61"/>
      <c r="G57" s="61"/>
      <c r="H57" s="61"/>
      <c r="I57" s="61"/>
      <c r="J57" s="61"/>
      <c r="K57" s="61"/>
      <c r="L57" s="61"/>
      <c r="M57" s="61"/>
      <c r="N57" s="61"/>
      <c r="O57" s="62"/>
    </row>
  </sheetData>
  <mergeCells count="3">
    <mergeCell ref="B51:O54"/>
    <mergeCell ref="A7:J8"/>
    <mergeCell ref="B55:N56"/>
  </mergeCells>
  <hyperlinks>
    <hyperlink ref="L2" location="Contenido!A1" display="Inicio" xr:uid="{00000000-0004-0000-0C00-000000000000}"/>
    <hyperlink ref="A10:O10" location="'Ocupación mensual Nacional'!A1" display="3.2  Ocupación  Mensual por escala de habitación" xr:uid="{00000000-0004-0000-0C00-000001000000}"/>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6"/>
  <sheetViews>
    <sheetView showGridLines="0" zoomScale="80" zoomScaleNormal="80" workbookViewId="0">
      <pane ySplit="14" topLeftCell="A15" activePane="bottomLeft" state="frozen"/>
      <selection pane="bottomLeft" activeCell="A7" sqref="A7:J8"/>
    </sheetView>
  </sheetViews>
  <sheetFormatPr baseColWidth="10" defaultColWidth="11.42578125" defaultRowHeight="16.5" x14ac:dyDescent="0.3"/>
  <cols>
    <col min="1" max="1" width="11.42578125" style="100" customWidth="1"/>
    <col min="2" max="2" width="15" style="128" customWidth="1"/>
    <col min="3" max="3" width="17" style="128" customWidth="1"/>
    <col min="4" max="8" width="15" style="128" customWidth="1"/>
    <col min="9" max="9" width="15.28515625" style="128" customWidth="1"/>
    <col min="10" max="10" width="17.7109375" style="128" customWidth="1"/>
    <col min="11" max="11" width="14" style="128" customWidth="1"/>
    <col min="12" max="12" width="17.140625" style="128" customWidth="1"/>
    <col min="13" max="13" width="13.85546875" style="128" bestFit="1" customWidth="1"/>
    <col min="14" max="14" width="17.85546875" style="100" customWidth="1"/>
    <col min="15" max="15" width="14.7109375" style="100" customWidth="1"/>
    <col min="16" max="16384" width="11.42578125" style="100"/>
  </cols>
  <sheetData>
    <row r="1" spans="1:15" s="145" customFormat="1" ht="12" customHeight="1" x14ac:dyDescent="0.3">
      <c r="A1" s="160"/>
      <c r="B1" s="161"/>
      <c r="C1" s="161"/>
      <c r="D1" s="161"/>
      <c r="E1" s="161"/>
      <c r="F1" s="161"/>
      <c r="G1" s="161"/>
      <c r="H1" s="161"/>
      <c r="I1" s="161"/>
      <c r="J1" s="161"/>
      <c r="K1" s="161"/>
      <c r="L1" s="161"/>
      <c r="M1" s="161"/>
      <c r="N1" s="83"/>
      <c r="O1" s="83"/>
    </row>
    <row r="2" spans="1:15" s="86" customFormat="1" x14ac:dyDescent="0.3">
      <c r="A2" s="162"/>
      <c r="B2" s="163"/>
      <c r="C2" s="163"/>
      <c r="D2" s="163"/>
      <c r="E2" s="163"/>
      <c r="F2" s="163"/>
      <c r="G2" s="163"/>
      <c r="I2" s="163"/>
      <c r="J2" s="163"/>
      <c r="K2" s="163"/>
      <c r="L2" s="88" t="s">
        <v>0</v>
      </c>
      <c r="M2" s="163"/>
      <c r="N2" s="87"/>
      <c r="O2" s="87"/>
    </row>
    <row r="3" spans="1:15" s="86" customFormat="1" x14ac:dyDescent="0.3">
      <c r="A3" s="162"/>
      <c r="B3" s="163"/>
      <c r="C3" s="163"/>
      <c r="D3" s="163"/>
      <c r="E3" s="163"/>
      <c r="F3" s="163"/>
      <c r="G3" s="163"/>
      <c r="H3" s="163"/>
      <c r="I3" s="163"/>
      <c r="J3" s="163"/>
      <c r="K3" s="163"/>
      <c r="L3" s="163"/>
      <c r="M3" s="163"/>
      <c r="N3" s="87"/>
      <c r="O3" s="87"/>
    </row>
    <row r="4" spans="1:15" s="86" customFormat="1" x14ac:dyDescent="0.3">
      <c r="A4" s="162"/>
      <c r="B4" s="163"/>
      <c r="C4" s="163"/>
      <c r="D4" s="163"/>
      <c r="E4" s="163"/>
      <c r="F4" s="163"/>
      <c r="G4" s="163"/>
      <c r="H4" s="163"/>
      <c r="I4" s="163"/>
      <c r="J4" s="163"/>
      <c r="K4" s="163"/>
      <c r="L4" s="163"/>
      <c r="M4" s="163"/>
      <c r="N4" s="87"/>
      <c r="O4" s="87"/>
    </row>
    <row r="5" spans="1:15" s="86" customFormat="1" x14ac:dyDescent="0.3">
      <c r="A5" s="162"/>
      <c r="B5" s="163"/>
      <c r="C5" s="163"/>
      <c r="D5" s="163"/>
      <c r="E5" s="163"/>
      <c r="F5" s="163"/>
      <c r="G5" s="163"/>
      <c r="H5" s="163"/>
      <c r="I5" s="163"/>
      <c r="J5" s="87"/>
      <c r="K5" s="163"/>
      <c r="L5" s="163"/>
      <c r="M5" s="163"/>
      <c r="N5" s="87"/>
      <c r="O5" s="87"/>
    </row>
    <row r="6" spans="1:15" s="86" customFormat="1" x14ac:dyDescent="0.3">
      <c r="A6" s="162"/>
      <c r="B6" s="163"/>
      <c r="C6" s="163"/>
      <c r="D6" s="163"/>
      <c r="E6" s="163"/>
      <c r="F6" s="163"/>
      <c r="G6" s="163"/>
      <c r="H6" s="163"/>
      <c r="I6" s="163"/>
      <c r="J6" s="163"/>
      <c r="K6" s="85"/>
      <c r="L6" s="85"/>
      <c r="M6" s="85"/>
      <c r="N6" s="89"/>
      <c r="O6" s="89"/>
    </row>
    <row r="7" spans="1:15" s="86" customFormat="1" ht="15" customHeight="1" x14ac:dyDescent="0.3">
      <c r="A7" s="421" t="s">
        <v>55</v>
      </c>
      <c r="B7" s="421"/>
      <c r="C7" s="421"/>
      <c r="D7" s="421"/>
      <c r="E7" s="421"/>
      <c r="F7" s="421"/>
      <c r="G7" s="421"/>
      <c r="H7" s="421"/>
      <c r="I7" s="421"/>
      <c r="J7" s="421"/>
      <c r="K7" s="197"/>
      <c r="L7" s="197"/>
      <c r="M7" s="197"/>
      <c r="N7" s="197"/>
      <c r="O7" s="197"/>
    </row>
    <row r="8" spans="1:15" s="86" customFormat="1" ht="15" customHeight="1" x14ac:dyDescent="0.3">
      <c r="A8" s="421"/>
      <c r="B8" s="421"/>
      <c r="C8" s="421"/>
      <c r="D8" s="421"/>
      <c r="E8" s="421"/>
      <c r="F8" s="421"/>
      <c r="G8" s="421"/>
      <c r="H8" s="421"/>
      <c r="I8" s="421"/>
      <c r="J8" s="421"/>
      <c r="K8" s="197"/>
      <c r="L8" s="197"/>
      <c r="M8" s="197"/>
      <c r="N8" s="197"/>
      <c r="O8" s="197"/>
    </row>
    <row r="9" spans="1:15" s="86" customFormat="1" ht="15" customHeight="1" x14ac:dyDescent="0.3">
      <c r="A9" s="240"/>
      <c r="B9" s="236"/>
      <c r="C9" s="236"/>
      <c r="D9" s="236"/>
      <c r="E9" s="236"/>
      <c r="F9" s="236"/>
      <c r="G9" s="236"/>
      <c r="H9" s="236"/>
      <c r="I9" s="236"/>
      <c r="J9" s="236"/>
      <c r="K9" s="144"/>
      <c r="L9" s="144"/>
      <c r="M9" s="144"/>
      <c r="N9" s="144"/>
      <c r="O9" s="144"/>
    </row>
    <row r="10" spans="1:15" s="86" customFormat="1" ht="15" customHeight="1" x14ac:dyDescent="0.3">
      <c r="A10" s="238" t="s">
        <v>140</v>
      </c>
      <c r="B10" s="238"/>
      <c r="C10" s="238"/>
      <c r="D10" s="238"/>
      <c r="E10" s="238"/>
      <c r="F10" s="238"/>
      <c r="G10" s="238"/>
      <c r="H10" s="238"/>
      <c r="I10" s="238"/>
      <c r="J10" s="238"/>
      <c r="K10" s="234"/>
      <c r="L10" s="234"/>
      <c r="M10" s="234"/>
      <c r="N10" s="234"/>
      <c r="O10" s="234"/>
    </row>
    <row r="11" spans="1:15" s="145" customFormat="1" ht="18" customHeight="1" x14ac:dyDescent="0.3">
      <c r="A11" s="223" t="s">
        <v>77</v>
      </c>
      <c r="B11" s="164"/>
      <c r="C11" s="164"/>
      <c r="D11" s="164"/>
      <c r="E11" s="164"/>
      <c r="F11" s="164"/>
      <c r="G11" s="164"/>
      <c r="H11" s="164"/>
      <c r="I11" s="164"/>
      <c r="J11" s="164"/>
      <c r="K11" s="137"/>
      <c r="L11" s="137"/>
      <c r="M11" s="137"/>
      <c r="N11" s="137"/>
      <c r="O11" s="137"/>
    </row>
    <row r="12" spans="1:15" s="145" customFormat="1" ht="18" customHeight="1" x14ac:dyDescent="0.3">
      <c r="A12" s="223" t="str">
        <f>'5.1 Porc Ocupación.escala.hab'!A12</f>
        <v>Enero 2019 - octubre 2021</v>
      </c>
      <c r="B12" s="91"/>
      <c r="C12" s="91"/>
      <c r="D12" s="91"/>
      <c r="E12" s="164"/>
      <c r="F12" s="164"/>
      <c r="G12" s="164"/>
      <c r="H12" s="164"/>
      <c r="I12" s="164"/>
      <c r="J12" s="164"/>
      <c r="K12" s="137"/>
      <c r="L12" s="137"/>
      <c r="M12" s="137"/>
      <c r="N12" s="137"/>
      <c r="O12" s="137"/>
    </row>
    <row r="13" spans="1:15" s="145" customFormat="1" ht="18" customHeight="1" x14ac:dyDescent="0.3">
      <c r="A13" s="239"/>
      <c r="B13" s="239"/>
      <c r="C13" s="239"/>
      <c r="D13" s="239"/>
      <c r="E13" s="239"/>
      <c r="F13" s="239"/>
      <c r="G13" s="239"/>
      <c r="H13" s="239"/>
      <c r="I13" s="239"/>
      <c r="J13" s="239"/>
      <c r="K13" s="241"/>
      <c r="L13" s="241"/>
      <c r="M13" s="241"/>
      <c r="N13" s="241"/>
      <c r="O13" s="241"/>
    </row>
    <row r="14" spans="1:15" s="145" customFormat="1" ht="49.5" x14ac:dyDescent="0.3">
      <c r="A14" s="265" t="s">
        <v>25</v>
      </c>
      <c r="B14" s="266" t="s">
        <v>26</v>
      </c>
      <c r="C14" s="286" t="s">
        <v>24</v>
      </c>
      <c r="D14" s="286" t="s">
        <v>5</v>
      </c>
      <c r="E14" s="286" t="s">
        <v>6</v>
      </c>
      <c r="F14" s="286" t="s">
        <v>20</v>
      </c>
      <c r="G14" s="286" t="s">
        <v>21</v>
      </c>
      <c r="H14" s="286" t="s">
        <v>22</v>
      </c>
      <c r="I14" s="286" t="s">
        <v>3</v>
      </c>
      <c r="J14" s="286" t="s">
        <v>7</v>
      </c>
      <c r="K14" s="286" t="s">
        <v>41</v>
      </c>
      <c r="L14" s="286" t="s">
        <v>38</v>
      </c>
      <c r="M14" s="286" t="s">
        <v>42</v>
      </c>
      <c r="N14" s="286" t="s">
        <v>23</v>
      </c>
      <c r="O14" s="287" t="s">
        <v>40</v>
      </c>
    </row>
    <row r="15" spans="1:15" ht="15.75" customHeight="1" x14ac:dyDescent="0.3">
      <c r="A15" s="292" t="s">
        <v>51</v>
      </c>
      <c r="B15" s="313" t="s">
        <v>47</v>
      </c>
      <c r="C15" s="315">
        <v>47.077250909029352</v>
      </c>
      <c r="D15" s="288">
        <v>44.804504543464141</v>
      </c>
      <c r="E15" s="288">
        <v>67.211303725579583</v>
      </c>
      <c r="F15" s="288">
        <v>38.31422661008655</v>
      </c>
      <c r="G15" s="288">
        <v>51.075058718927203</v>
      </c>
      <c r="H15" s="288">
        <v>49.560509298446235</v>
      </c>
      <c r="I15" s="289">
        <v>46.662411250978472</v>
      </c>
      <c r="J15" s="288">
        <v>71.543295191273273</v>
      </c>
      <c r="K15" s="288">
        <v>35.020080618103954</v>
      </c>
      <c r="L15" s="288">
        <v>38.039892793935643</v>
      </c>
      <c r="M15" s="289">
        <v>37.988931811419882</v>
      </c>
      <c r="N15" s="289">
        <v>31.219587652341481</v>
      </c>
      <c r="O15" s="290">
        <v>39.585657999980249</v>
      </c>
    </row>
    <row r="16" spans="1:15" ht="15.75" customHeight="1" x14ac:dyDescent="0.3">
      <c r="A16" s="152"/>
      <c r="B16" s="86" t="s">
        <v>48</v>
      </c>
      <c r="C16" s="166">
        <v>47.542134122720284</v>
      </c>
      <c r="D16" s="167">
        <v>51.451337761257875</v>
      </c>
      <c r="E16" s="167">
        <v>66.311073287057965</v>
      </c>
      <c r="F16" s="167">
        <v>34.866330290037887</v>
      </c>
      <c r="G16" s="167">
        <v>48.532108037885877</v>
      </c>
      <c r="H16" s="167">
        <v>44.594046309414423</v>
      </c>
      <c r="I16" s="168">
        <v>46.134314475324047</v>
      </c>
      <c r="J16" s="167">
        <v>71.427654032872596</v>
      </c>
      <c r="K16" s="167">
        <v>36.875818907059269</v>
      </c>
      <c r="L16" s="167">
        <v>39.188059180532953</v>
      </c>
      <c r="M16" s="168">
        <v>35.612382667374966</v>
      </c>
      <c r="N16" s="168">
        <v>30.838903810187606</v>
      </c>
      <c r="O16" s="169">
        <v>43.044936423435985</v>
      </c>
    </row>
    <row r="17" spans="1:15" ht="15.75" customHeight="1" x14ac:dyDescent="0.3">
      <c r="A17" s="152"/>
      <c r="B17" s="148" t="s">
        <v>49</v>
      </c>
      <c r="C17" s="170">
        <v>47.448784941431136</v>
      </c>
      <c r="D17" s="171">
        <v>52.886152369947645</v>
      </c>
      <c r="E17" s="171">
        <v>66.161221645756186</v>
      </c>
      <c r="F17" s="171">
        <v>33.466806541976645</v>
      </c>
      <c r="G17" s="171">
        <v>48.854060180761337</v>
      </c>
      <c r="H17" s="171">
        <v>42.821216261211816</v>
      </c>
      <c r="I17" s="171">
        <v>45.607309175229531</v>
      </c>
      <c r="J17" s="171">
        <v>70.903019492585969</v>
      </c>
      <c r="K17" s="171">
        <v>36.493524991805785</v>
      </c>
      <c r="L17" s="171">
        <v>39.03101822745937</v>
      </c>
      <c r="M17" s="171">
        <v>34.903986557990294</v>
      </c>
      <c r="N17" s="171">
        <v>30.752933326220099</v>
      </c>
      <c r="O17" s="172">
        <v>43.719933495959332</v>
      </c>
    </row>
    <row r="18" spans="1:15" ht="15.75" customHeight="1" x14ac:dyDescent="0.3">
      <c r="A18" s="152"/>
      <c r="B18" s="86" t="s">
        <v>14</v>
      </c>
      <c r="C18" s="166">
        <v>47.005929138034382</v>
      </c>
      <c r="D18" s="167">
        <v>52.980667689021708</v>
      </c>
      <c r="E18" s="167">
        <v>63.853473223333758</v>
      </c>
      <c r="F18" s="167">
        <v>33.241278890693486</v>
      </c>
      <c r="G18" s="167">
        <v>47.776894738304613</v>
      </c>
      <c r="H18" s="167">
        <v>42.255658348141495</v>
      </c>
      <c r="I18" s="168">
        <v>45.096944938247027</v>
      </c>
      <c r="J18" s="167">
        <v>70.929622809528752</v>
      </c>
      <c r="K18" s="167">
        <v>36.431868281073903</v>
      </c>
      <c r="L18" s="167">
        <v>39.65606913870274</v>
      </c>
      <c r="M18" s="168">
        <v>35.670517025076798</v>
      </c>
      <c r="N18" s="168">
        <v>30.652180278903906</v>
      </c>
      <c r="O18" s="169">
        <v>44.023051005940616</v>
      </c>
    </row>
    <row r="19" spans="1:15" ht="15.75" customHeight="1" x14ac:dyDescent="0.3">
      <c r="A19" s="152"/>
      <c r="B19" s="148" t="s">
        <v>15</v>
      </c>
      <c r="C19" s="170">
        <v>46.707285447303867</v>
      </c>
      <c r="D19" s="171">
        <v>54.071903872330211</v>
      </c>
      <c r="E19" s="171">
        <v>61.366574150671106</v>
      </c>
      <c r="F19" s="171">
        <v>32.171886708001402</v>
      </c>
      <c r="G19" s="171">
        <v>46.51745314227361</v>
      </c>
      <c r="H19" s="171">
        <v>41.683774541640091</v>
      </c>
      <c r="I19" s="171">
        <v>45.012429728175682</v>
      </c>
      <c r="J19" s="171">
        <v>71.227684318796619</v>
      </c>
      <c r="K19" s="171">
        <v>36.853513108054912</v>
      </c>
      <c r="L19" s="171">
        <v>39.519574987027447</v>
      </c>
      <c r="M19" s="171">
        <v>35.507773991598071</v>
      </c>
      <c r="N19" s="171">
        <v>31.223801178719107</v>
      </c>
      <c r="O19" s="172">
        <v>45.238157526679402</v>
      </c>
    </row>
    <row r="20" spans="1:15" ht="15.75" customHeight="1" x14ac:dyDescent="0.3">
      <c r="A20" s="152"/>
      <c r="B20" s="86" t="s">
        <v>16</v>
      </c>
      <c r="C20" s="185">
        <v>46.963377195677673</v>
      </c>
      <c r="D20" s="186">
        <v>54.565498057748542</v>
      </c>
      <c r="E20" s="186">
        <v>59.80119365018296</v>
      </c>
      <c r="F20" s="186">
        <v>33.386700392336913</v>
      </c>
      <c r="G20" s="186">
        <v>46.5689403143219</v>
      </c>
      <c r="H20" s="186">
        <v>42.117449865804275</v>
      </c>
      <c r="I20" s="187">
        <v>45.587525874569337</v>
      </c>
      <c r="J20" s="186">
        <v>71.413329761486878</v>
      </c>
      <c r="K20" s="186">
        <v>37.370084392293407</v>
      </c>
      <c r="L20" s="186">
        <v>40.191791785491894</v>
      </c>
      <c r="M20" s="187">
        <v>34.871807398738511</v>
      </c>
      <c r="N20" s="187">
        <v>31.937352732338059</v>
      </c>
      <c r="O20" s="188">
        <v>46.311114232632491</v>
      </c>
    </row>
    <row r="21" spans="1:15" ht="15.75" customHeight="1" x14ac:dyDescent="0.3">
      <c r="A21" s="152"/>
      <c r="B21" s="148" t="s">
        <v>8</v>
      </c>
      <c r="C21" s="170">
        <v>47.327538727135142</v>
      </c>
      <c r="D21" s="171">
        <v>55.240858451467886</v>
      </c>
      <c r="E21" s="171">
        <v>59.627873737902362</v>
      </c>
      <c r="F21" s="171">
        <v>33.889350979642693</v>
      </c>
      <c r="G21" s="171">
        <v>46.853327698464156</v>
      </c>
      <c r="H21" s="171">
        <v>42.354446040002308</v>
      </c>
      <c r="I21" s="171">
        <v>46.187525848401293</v>
      </c>
      <c r="J21" s="171">
        <v>71.692672021602874</v>
      </c>
      <c r="K21" s="171">
        <v>37.996408089506353</v>
      </c>
      <c r="L21" s="171">
        <v>40.288507734471033</v>
      </c>
      <c r="M21" s="171">
        <v>34.249873398368912</v>
      </c>
      <c r="N21" s="171">
        <v>31.993438402702612</v>
      </c>
      <c r="O21" s="172">
        <v>47.548015264228717</v>
      </c>
    </row>
    <row r="22" spans="1:15" ht="15.75" customHeight="1" x14ac:dyDescent="0.3">
      <c r="A22" s="152"/>
      <c r="B22" s="86" t="s">
        <v>9</v>
      </c>
      <c r="C22" s="174">
        <v>47.894094835978755</v>
      </c>
      <c r="D22" s="175">
        <v>55.808528681429159</v>
      </c>
      <c r="E22" s="175">
        <v>60.158635589925524</v>
      </c>
      <c r="F22" s="175">
        <v>34.333482875760701</v>
      </c>
      <c r="G22" s="175">
        <v>47.494295594213234</v>
      </c>
      <c r="H22" s="175">
        <v>43.032712350161411</v>
      </c>
      <c r="I22" s="176">
        <v>47.050286638912844</v>
      </c>
      <c r="J22" s="175">
        <v>72.305726319418795</v>
      </c>
      <c r="K22" s="175">
        <v>38.677675386633823</v>
      </c>
      <c r="L22" s="175">
        <v>40.885200397638968</v>
      </c>
      <c r="M22" s="176">
        <v>33.756131940068435</v>
      </c>
      <c r="N22" s="175">
        <v>32.048513997070302</v>
      </c>
      <c r="O22" s="177">
        <v>48.052514448202047</v>
      </c>
    </row>
    <row r="23" spans="1:15" ht="15.75" customHeight="1" x14ac:dyDescent="0.3">
      <c r="A23" s="152"/>
      <c r="B23" s="148" t="s">
        <v>10</v>
      </c>
      <c r="C23" s="170">
        <v>48.13081412357235</v>
      </c>
      <c r="D23" s="171">
        <v>56.473721866299698</v>
      </c>
      <c r="E23" s="171">
        <v>59.813042162217556</v>
      </c>
      <c r="F23" s="171">
        <v>34.35949741107666</v>
      </c>
      <c r="G23" s="171">
        <v>47.572600278600305</v>
      </c>
      <c r="H23" s="171">
        <v>43.226152785036589</v>
      </c>
      <c r="I23" s="171">
        <v>47.185172192946062</v>
      </c>
      <c r="J23" s="171">
        <v>72.756576787249173</v>
      </c>
      <c r="K23" s="171">
        <v>39.245667874349053</v>
      </c>
      <c r="L23" s="171">
        <v>41.294760927495702</v>
      </c>
      <c r="M23" s="171">
        <v>33.723286009754574</v>
      </c>
      <c r="N23" s="171">
        <v>32.093676948844205</v>
      </c>
      <c r="O23" s="172">
        <v>48.560274600150052</v>
      </c>
    </row>
    <row r="24" spans="1:15" ht="15.75" customHeight="1" x14ac:dyDescent="0.3">
      <c r="A24" s="152"/>
      <c r="B24" s="130" t="s">
        <v>11</v>
      </c>
      <c r="C24" s="174">
        <v>48.282538532069154</v>
      </c>
      <c r="D24" s="175">
        <v>56.916377987284264</v>
      </c>
      <c r="E24" s="175">
        <v>59.379020337222634</v>
      </c>
      <c r="F24" s="175">
        <v>34.642301147210119</v>
      </c>
      <c r="G24" s="175">
        <v>47.548323968049743</v>
      </c>
      <c r="H24" s="175">
        <v>43.303105653571336</v>
      </c>
      <c r="I24" s="176">
        <v>47.179159118908991</v>
      </c>
      <c r="J24" s="175">
        <v>72.923287979857406</v>
      </c>
      <c r="K24" s="175">
        <v>39.623712694318932</v>
      </c>
      <c r="L24" s="175">
        <v>41.64530007409008</v>
      </c>
      <c r="M24" s="176">
        <v>33.89949364923541</v>
      </c>
      <c r="N24" s="175">
        <v>32.560052781210828</v>
      </c>
      <c r="O24" s="177">
        <v>49.206117468991053</v>
      </c>
    </row>
    <row r="25" spans="1:15" ht="15.75" customHeight="1" x14ac:dyDescent="0.3">
      <c r="A25" s="152"/>
      <c r="B25" s="148" t="s">
        <v>12</v>
      </c>
      <c r="C25" s="170">
        <v>48.733868898042701</v>
      </c>
      <c r="D25" s="171">
        <v>57.638124261858614</v>
      </c>
      <c r="E25" s="171">
        <v>60.027540183949057</v>
      </c>
      <c r="F25" s="171">
        <v>34.908868683596801</v>
      </c>
      <c r="G25" s="171">
        <v>48.050689264171268</v>
      </c>
      <c r="H25" s="171">
        <v>43.402125586847667</v>
      </c>
      <c r="I25" s="171">
        <v>47.509682828397295</v>
      </c>
      <c r="J25" s="171">
        <v>73.162711191283066</v>
      </c>
      <c r="K25" s="171">
        <v>39.993969383852573</v>
      </c>
      <c r="L25" s="171">
        <v>42.011454375804099</v>
      </c>
      <c r="M25" s="171">
        <v>34.171917988238668</v>
      </c>
      <c r="N25" s="171">
        <v>32.720292911344835</v>
      </c>
      <c r="O25" s="172">
        <v>49.993415236961269</v>
      </c>
    </row>
    <row r="26" spans="1:15" ht="15.75" customHeight="1" x14ac:dyDescent="0.3">
      <c r="A26" s="152"/>
      <c r="B26" s="130" t="s">
        <v>13</v>
      </c>
      <c r="C26" s="174">
        <v>48.82212531375437</v>
      </c>
      <c r="D26" s="175">
        <v>56.891725402766994</v>
      </c>
      <c r="E26" s="175">
        <v>60.489714215859337</v>
      </c>
      <c r="F26" s="175">
        <v>35.260526693560934</v>
      </c>
      <c r="G26" s="175">
        <v>48.503769592556658</v>
      </c>
      <c r="H26" s="175">
        <v>43.480575090841349</v>
      </c>
      <c r="I26" s="176">
        <v>47.966955391576157</v>
      </c>
      <c r="J26" s="175">
        <v>73.240502344451414</v>
      </c>
      <c r="K26" s="175">
        <v>40.016351023119213</v>
      </c>
      <c r="L26" s="175">
        <v>42.018819612022725</v>
      </c>
      <c r="M26" s="176">
        <v>34.632678649272968</v>
      </c>
      <c r="N26" s="175">
        <v>32.771283999052805</v>
      </c>
      <c r="O26" s="177">
        <v>49.957888002750714</v>
      </c>
    </row>
    <row r="27" spans="1:15" ht="15.75" customHeight="1" x14ac:dyDescent="0.3">
      <c r="A27" s="147" t="s">
        <v>52</v>
      </c>
      <c r="B27" s="156" t="s">
        <v>54</v>
      </c>
      <c r="C27" s="170">
        <v>50.256674881142715</v>
      </c>
      <c r="D27" s="171">
        <v>47.248005434660229</v>
      </c>
      <c r="E27" s="171">
        <v>72.19029220067074</v>
      </c>
      <c r="F27" s="171">
        <v>39.837978485712604</v>
      </c>
      <c r="G27" s="171">
        <v>55.117835575800186</v>
      </c>
      <c r="H27" s="171">
        <v>55.227662235267118</v>
      </c>
      <c r="I27" s="171">
        <v>50.705839036220368</v>
      </c>
      <c r="J27" s="171">
        <v>71.810149736665636</v>
      </c>
      <c r="K27" s="171">
        <v>36.93924882162132</v>
      </c>
      <c r="L27" s="171">
        <v>41.423289857941604</v>
      </c>
      <c r="M27" s="171">
        <v>37.738240492642525</v>
      </c>
      <c r="N27" s="171">
        <v>35.62805065155576</v>
      </c>
      <c r="O27" s="172">
        <v>44.084203448821391</v>
      </c>
    </row>
    <row r="28" spans="1:15" ht="15.75" customHeight="1" x14ac:dyDescent="0.3">
      <c r="A28" s="101"/>
      <c r="B28" s="100" t="s">
        <v>56</v>
      </c>
      <c r="C28" s="174">
        <v>50.463213420488671</v>
      </c>
      <c r="D28" s="175">
        <v>53.98759213432178</v>
      </c>
      <c r="E28" s="175">
        <v>70.768106433531003</v>
      </c>
      <c r="F28" s="175">
        <v>35.752563801323582</v>
      </c>
      <c r="G28" s="175">
        <v>53.305673143877442</v>
      </c>
      <c r="H28" s="175">
        <v>47.895534250949787</v>
      </c>
      <c r="I28" s="176">
        <v>50.12043218807478</v>
      </c>
      <c r="J28" s="175">
        <v>73.656802593890873</v>
      </c>
      <c r="K28" s="175">
        <v>38.204158412992435</v>
      </c>
      <c r="L28" s="175">
        <v>40.430355547826018</v>
      </c>
      <c r="M28" s="176">
        <v>37.675124503074372</v>
      </c>
      <c r="N28" s="175">
        <v>33.081709377179536</v>
      </c>
      <c r="O28" s="177">
        <v>45.575180510953381</v>
      </c>
    </row>
    <row r="29" spans="1:15" ht="15.75" customHeight="1" x14ac:dyDescent="0.3">
      <c r="A29" s="101"/>
      <c r="B29" s="156" t="s">
        <v>65</v>
      </c>
      <c r="C29" s="170">
        <v>45.184138674886889</v>
      </c>
      <c r="D29" s="171">
        <v>48.973777709429399</v>
      </c>
      <c r="E29" s="171">
        <v>59.975228683745954</v>
      </c>
      <c r="F29" s="171">
        <v>31.555641242944922</v>
      </c>
      <c r="G29" s="171">
        <v>46.805669450425633</v>
      </c>
      <c r="H29" s="171">
        <v>43.154932819518713</v>
      </c>
      <c r="I29" s="171">
        <v>43.990898306361053</v>
      </c>
      <c r="J29" s="171">
        <v>70.701302493811397</v>
      </c>
      <c r="K29" s="171">
        <v>35.500947441589219</v>
      </c>
      <c r="L29" s="171">
        <v>36.751780990994206</v>
      </c>
      <c r="M29" s="171">
        <v>35.835258293363665</v>
      </c>
      <c r="N29" s="171">
        <v>30.851265198777018</v>
      </c>
      <c r="O29" s="172">
        <v>42.581981458985076</v>
      </c>
    </row>
    <row r="30" spans="1:15" ht="15.75" customHeight="1" x14ac:dyDescent="0.3">
      <c r="A30" s="101"/>
      <c r="B30" s="100" t="s">
        <v>66</v>
      </c>
      <c r="C30" s="174">
        <v>41.580594074867015</v>
      </c>
      <c r="D30" s="175">
        <v>42.679515350835608</v>
      </c>
      <c r="E30" s="175">
        <v>54.654025045957241</v>
      </c>
      <c r="F30" s="175">
        <v>30.335989380869794</v>
      </c>
      <c r="G30" s="175">
        <v>44.114045511432124</v>
      </c>
      <c r="H30" s="175">
        <v>41.425531665692077</v>
      </c>
      <c r="I30" s="176">
        <v>40.25564180416518</v>
      </c>
      <c r="J30" s="175">
        <v>70.701302493811397</v>
      </c>
      <c r="K30" s="175">
        <v>33.000340413922217</v>
      </c>
      <c r="L30" s="175">
        <v>34.149203730010086</v>
      </c>
      <c r="M30" s="176">
        <v>32.957571559304512</v>
      </c>
      <c r="N30" s="175">
        <v>29.392717334434654</v>
      </c>
      <c r="O30" s="177">
        <v>41.241114619335519</v>
      </c>
    </row>
    <row r="31" spans="1:15" ht="15.75" customHeight="1" x14ac:dyDescent="0.3">
      <c r="A31" s="101"/>
      <c r="B31" s="156" t="s">
        <v>15</v>
      </c>
      <c r="C31" s="170">
        <v>38.720314617191683</v>
      </c>
      <c r="D31" s="171">
        <v>38.388032350442302</v>
      </c>
      <c r="E31" s="171">
        <v>52.137904578250193</v>
      </c>
      <c r="F31" s="171">
        <v>29.052848035778815</v>
      </c>
      <c r="G31" s="171">
        <v>41.469678277433452</v>
      </c>
      <c r="H31" s="171">
        <v>39.208701338581506</v>
      </c>
      <c r="I31" s="171">
        <v>37.431003117804003</v>
      </c>
      <c r="J31" s="171">
        <v>70.701302493811397</v>
      </c>
      <c r="K31" s="171">
        <v>30.472174747917759</v>
      </c>
      <c r="L31" s="171">
        <v>31.975692604507945</v>
      </c>
      <c r="M31" s="171">
        <v>29.769799935594733</v>
      </c>
      <c r="N31" s="171">
        <v>28.959690514696334</v>
      </c>
      <c r="O31" s="172">
        <v>40.62129684636686</v>
      </c>
    </row>
    <row r="32" spans="1:15" ht="15.75" customHeight="1" x14ac:dyDescent="0.3">
      <c r="A32" s="101"/>
      <c r="B32" s="111" t="s">
        <v>67</v>
      </c>
      <c r="C32" s="192">
        <v>36.105103462624612</v>
      </c>
      <c r="D32" s="198">
        <v>35.250006421924773</v>
      </c>
      <c r="E32" s="198">
        <v>50.085946480076274</v>
      </c>
      <c r="F32" s="198">
        <v>27.248079616400013</v>
      </c>
      <c r="G32" s="198">
        <v>38.757126353684491</v>
      </c>
      <c r="H32" s="198">
        <v>36.634345123907373</v>
      </c>
      <c r="I32" s="198">
        <v>34.931589253098984</v>
      </c>
      <c r="J32" s="198">
        <v>70.701302493811397</v>
      </c>
      <c r="K32" s="198">
        <v>28.27760588315325</v>
      </c>
      <c r="L32" s="198">
        <v>29.495852975827919</v>
      </c>
      <c r="M32" s="198">
        <v>27.543956481535453</v>
      </c>
      <c r="N32" s="198">
        <v>28.240850170900273</v>
      </c>
      <c r="O32" s="199">
        <v>39.070559761174565</v>
      </c>
    </row>
    <row r="33" spans="1:15" ht="15.75" customHeight="1" x14ac:dyDescent="0.3">
      <c r="A33" s="101"/>
      <c r="B33" s="96" t="s">
        <v>87</v>
      </c>
      <c r="C33" s="97">
        <v>33.738580594601117</v>
      </c>
      <c r="D33" s="98">
        <v>32.370523530930498</v>
      </c>
      <c r="E33" s="98">
        <v>48.576331418513369</v>
      </c>
      <c r="F33" s="98">
        <v>25.458919986659513</v>
      </c>
      <c r="G33" s="98">
        <v>36.3214103019424</v>
      </c>
      <c r="H33" s="98">
        <v>33.538153541862947</v>
      </c>
      <c r="I33" s="98">
        <v>33.166876736573329</v>
      </c>
      <c r="J33" s="98">
        <v>70.701302493811397</v>
      </c>
      <c r="K33" s="98">
        <v>26.483763779306607</v>
      </c>
      <c r="L33" s="98">
        <v>26.91703663040515</v>
      </c>
      <c r="M33" s="98">
        <v>25.990668974453651</v>
      </c>
      <c r="N33" s="98">
        <v>27.409064771400271</v>
      </c>
      <c r="O33" s="99">
        <v>38.327490805305672</v>
      </c>
    </row>
    <row r="34" spans="1:15" ht="15.75" customHeight="1" x14ac:dyDescent="0.3">
      <c r="A34" s="101"/>
      <c r="B34" s="111" t="s">
        <v>9</v>
      </c>
      <c r="C34" s="192">
        <v>31.586471975737538</v>
      </c>
      <c r="D34" s="198">
        <v>29.863807525624868</v>
      </c>
      <c r="E34" s="198">
        <v>46.224312779165466</v>
      </c>
      <c r="F34" s="198">
        <v>24.150962700158313</v>
      </c>
      <c r="G34" s="198">
        <v>34.241022945861332</v>
      </c>
      <c r="H34" s="198">
        <v>30.920829268448237</v>
      </c>
      <c r="I34" s="198">
        <v>31.342043146281195</v>
      </c>
      <c r="J34" s="198">
        <v>70.701302493811397</v>
      </c>
      <c r="K34" s="198">
        <v>24.967117681175026</v>
      </c>
      <c r="L34" s="198">
        <v>24.97021834642576</v>
      </c>
      <c r="M34" s="198">
        <v>25.008541131045085</v>
      </c>
      <c r="N34" s="198">
        <v>26.250442733322409</v>
      </c>
      <c r="O34" s="199">
        <v>38.049711883026568</v>
      </c>
    </row>
    <row r="35" spans="1:15" ht="15.75" customHeight="1" x14ac:dyDescent="0.3">
      <c r="A35" s="101"/>
      <c r="B35" s="96" t="s">
        <v>10</v>
      </c>
      <c r="C35" s="97">
        <v>29.95416372294974</v>
      </c>
      <c r="D35" s="98">
        <v>27.968811135324888</v>
      </c>
      <c r="E35" s="98">
        <v>41.618782685289226</v>
      </c>
      <c r="F35" s="98">
        <v>23.581969837537088</v>
      </c>
      <c r="G35" s="98">
        <v>32.522594747909295</v>
      </c>
      <c r="H35" s="98">
        <v>29.639674764000475</v>
      </c>
      <c r="I35" s="98">
        <v>30.211284961232121</v>
      </c>
      <c r="J35" s="98">
        <v>70.52542337580141</v>
      </c>
      <c r="K35" s="98">
        <v>24.140940430230263</v>
      </c>
      <c r="L35" s="98">
        <v>24.381719307769703</v>
      </c>
      <c r="M35" s="98">
        <v>25.031542252508839</v>
      </c>
      <c r="N35" s="98">
        <v>25.913537762889032</v>
      </c>
      <c r="O35" s="99">
        <v>37.040127175707013</v>
      </c>
    </row>
    <row r="36" spans="1:15" ht="15.75" customHeight="1" x14ac:dyDescent="0.3">
      <c r="A36" s="101"/>
      <c r="B36" s="111" t="s">
        <v>11</v>
      </c>
      <c r="C36" s="192">
        <v>29.421484444987051</v>
      </c>
      <c r="D36" s="198">
        <v>26.983358557499944</v>
      </c>
      <c r="E36" s="198">
        <v>38.933567577505421</v>
      </c>
      <c r="F36" s="198">
        <v>24.321397645944636</v>
      </c>
      <c r="G36" s="198">
        <v>31.889926485284274</v>
      </c>
      <c r="H36" s="198">
        <v>30.1301846091512</v>
      </c>
      <c r="I36" s="198">
        <v>29.825674502239348</v>
      </c>
      <c r="J36" s="198">
        <v>64.664358271900824</v>
      </c>
      <c r="K36" s="198">
        <v>24.391372067259969</v>
      </c>
      <c r="L36" s="198">
        <v>24.889669188095827</v>
      </c>
      <c r="M36" s="198">
        <v>26.227447551862511</v>
      </c>
      <c r="N36" s="198">
        <v>25.996744732487176</v>
      </c>
      <c r="O36" s="199">
        <v>35.75167551025887</v>
      </c>
    </row>
    <row r="37" spans="1:15" ht="15.75" customHeight="1" x14ac:dyDescent="0.3">
      <c r="A37" s="101"/>
      <c r="B37" s="96" t="s">
        <v>12</v>
      </c>
      <c r="C37" s="97">
        <v>29.564930773390635</v>
      </c>
      <c r="D37" s="98">
        <v>26.865958628530816</v>
      </c>
      <c r="E37" s="98">
        <v>37.814114814639673</v>
      </c>
      <c r="F37" s="98">
        <v>25.027154963961078</v>
      </c>
      <c r="G37" s="98">
        <v>32.069072932455768</v>
      </c>
      <c r="H37" s="98">
        <v>30.620710198148434</v>
      </c>
      <c r="I37" s="98">
        <v>30.062837043914353</v>
      </c>
      <c r="J37" s="98">
        <v>60.624197158014006</v>
      </c>
      <c r="K37" s="98">
        <v>25.048237217312618</v>
      </c>
      <c r="L37" s="98">
        <v>25.821438221765224</v>
      </c>
      <c r="M37" s="98">
        <v>27.144329066418145</v>
      </c>
      <c r="N37" s="98">
        <v>26.977144463489072</v>
      </c>
      <c r="O37" s="99">
        <v>35.398561497970825</v>
      </c>
    </row>
    <row r="38" spans="1:15" ht="15.75" customHeight="1" x14ac:dyDescent="0.3">
      <c r="A38" s="101"/>
      <c r="B38" s="111" t="s">
        <v>13</v>
      </c>
      <c r="C38" s="192">
        <v>29.918458021846781</v>
      </c>
      <c r="D38" s="198">
        <v>26.782764073901795</v>
      </c>
      <c r="E38" s="198">
        <v>37.512316879795847</v>
      </c>
      <c r="F38" s="198">
        <v>25.680469973705939</v>
      </c>
      <c r="G38" s="198">
        <v>32.738822690325101</v>
      </c>
      <c r="H38" s="198">
        <v>31.213078426217017</v>
      </c>
      <c r="I38" s="198">
        <v>30.727266805437548</v>
      </c>
      <c r="J38" s="198">
        <v>56.742079275044631</v>
      </c>
      <c r="K38" s="198">
        <v>25.639290278324101</v>
      </c>
      <c r="L38" s="198">
        <v>26.414759204564049</v>
      </c>
      <c r="M38" s="198">
        <v>27.883142559803652</v>
      </c>
      <c r="N38" s="198">
        <v>27.964659140955078</v>
      </c>
      <c r="O38" s="199">
        <v>34.449940264222597</v>
      </c>
    </row>
    <row r="39" spans="1:15" ht="15.75" customHeight="1" x14ac:dyDescent="0.3">
      <c r="A39" s="156" t="s">
        <v>124</v>
      </c>
      <c r="B39" s="156" t="s">
        <v>54</v>
      </c>
      <c r="C39" s="97">
        <v>31.921742035155258</v>
      </c>
      <c r="D39" s="98">
        <v>20.633424796034312</v>
      </c>
      <c r="E39" s="98">
        <v>43.148346945237471</v>
      </c>
      <c r="F39" s="98">
        <v>28.415236086295714</v>
      </c>
      <c r="G39" s="98">
        <v>42.441536945602678</v>
      </c>
      <c r="H39" s="98">
        <v>36.470090413416841</v>
      </c>
      <c r="I39" s="98">
        <v>33.807589300438998</v>
      </c>
      <c r="J39" s="98">
        <v>45.033653120582393</v>
      </c>
      <c r="K39" s="98">
        <v>23.004982318650683</v>
      </c>
      <c r="L39" s="98">
        <v>29.223806483717645</v>
      </c>
      <c r="M39" s="98">
        <v>31.830373285610321</v>
      </c>
      <c r="N39" s="98">
        <v>30.730472499389517</v>
      </c>
      <c r="O39" s="99">
        <v>25.00252691160863</v>
      </c>
    </row>
    <row r="40" spans="1:15" ht="15.75" customHeight="1" x14ac:dyDescent="0.3">
      <c r="A40" s="109"/>
      <c r="B40" s="109" t="s">
        <v>48</v>
      </c>
      <c r="C40" s="192">
        <v>31.719248030209247</v>
      </c>
      <c r="D40" s="198">
        <v>22.299660871265541</v>
      </c>
      <c r="E40" s="198">
        <v>39.12629088750915</v>
      </c>
      <c r="F40" s="198">
        <v>27.407476349454001</v>
      </c>
      <c r="G40" s="198">
        <v>39.280915402569796</v>
      </c>
      <c r="H40" s="198">
        <v>33.64730855856741</v>
      </c>
      <c r="I40" s="198">
        <v>34.854739715335405</v>
      </c>
      <c r="J40" s="198">
        <v>47.317461969218591</v>
      </c>
      <c r="K40" s="198">
        <v>25.362788494821064</v>
      </c>
      <c r="L40" s="198">
        <v>30.701730460499384</v>
      </c>
      <c r="M40" s="198">
        <v>31.066603270213633</v>
      </c>
      <c r="N40" s="198">
        <v>30.976820636260666</v>
      </c>
      <c r="O40" s="199">
        <v>26.602649595447676</v>
      </c>
    </row>
    <row r="41" spans="1:15" ht="15.75" customHeight="1" x14ac:dyDescent="0.3">
      <c r="A41" s="109"/>
      <c r="B41" s="156" t="s">
        <v>49</v>
      </c>
      <c r="C41" s="97">
        <v>32.968092054528455</v>
      </c>
      <c r="D41" s="98">
        <v>23.573658456701118</v>
      </c>
      <c r="E41" s="98">
        <v>41.3824214322781</v>
      </c>
      <c r="F41" s="98">
        <v>28.593332969352591</v>
      </c>
      <c r="G41" s="98">
        <v>39.157374774932073</v>
      </c>
      <c r="H41" s="98">
        <v>33.763745496493023</v>
      </c>
      <c r="I41" s="98">
        <v>35.930869281706315</v>
      </c>
      <c r="J41" s="98">
        <v>49.248211443851247</v>
      </c>
      <c r="K41" s="98">
        <v>28.151265042031611</v>
      </c>
      <c r="L41" s="98">
        <v>32.164347158495687</v>
      </c>
      <c r="M41" s="98">
        <v>32.396771757851511</v>
      </c>
      <c r="N41" s="98">
        <v>31.174333071753146</v>
      </c>
      <c r="O41" s="99">
        <v>25.885851242628267</v>
      </c>
    </row>
    <row r="42" spans="1:15" ht="15.75" customHeight="1" x14ac:dyDescent="0.3">
      <c r="A42" s="109"/>
      <c r="B42" s="109" t="s">
        <v>14</v>
      </c>
      <c r="C42" s="192">
        <v>31.937509037400964</v>
      </c>
      <c r="D42" s="198">
        <v>23.306802476231837</v>
      </c>
      <c r="E42" s="198">
        <v>39.976092264073266</v>
      </c>
      <c r="F42" s="198">
        <v>27.529128511933145</v>
      </c>
      <c r="G42" s="198">
        <v>35.776262582946288</v>
      </c>
      <c r="H42" s="198">
        <v>33.137333417362754</v>
      </c>
      <c r="I42" s="198">
        <v>33.940760210952973</v>
      </c>
      <c r="J42" s="198">
        <v>50.41202988113691</v>
      </c>
      <c r="K42" s="198">
        <v>28.369259076289062</v>
      </c>
      <c r="L42" s="198">
        <v>32.259428511464513</v>
      </c>
      <c r="M42" s="198">
        <v>31.966016464074325</v>
      </c>
      <c r="N42" s="198">
        <v>29.702142482207091</v>
      </c>
      <c r="O42" s="199">
        <v>26.071538931136619</v>
      </c>
    </row>
    <row r="43" spans="1:15" ht="15.75" customHeight="1" x14ac:dyDescent="0.3">
      <c r="A43" s="109"/>
      <c r="B43" s="156" t="s">
        <v>15</v>
      </c>
      <c r="C43" s="97">
        <v>30.648953144386716</v>
      </c>
      <c r="D43" s="98">
        <v>23.201229180827387</v>
      </c>
      <c r="E43" s="98">
        <v>37.394523629594161</v>
      </c>
      <c r="F43" s="98">
        <v>25.697353445818184</v>
      </c>
      <c r="G43" s="98">
        <v>34.234568337140594</v>
      </c>
      <c r="H43" s="98">
        <v>30.240076809606219</v>
      </c>
      <c r="I43" s="98">
        <v>32.962152810001363</v>
      </c>
      <c r="J43" s="98">
        <v>50.66468876541078</v>
      </c>
      <c r="K43" s="98">
        <v>26.22307303662615</v>
      </c>
      <c r="L43" s="98">
        <v>31.376569570361053</v>
      </c>
      <c r="M43" s="98">
        <v>30.681346342509592</v>
      </c>
      <c r="N43" s="98">
        <v>28.337926979454732</v>
      </c>
      <c r="O43" s="99">
        <v>24.837537074099973</v>
      </c>
    </row>
    <row r="44" spans="1:15" ht="15.75" customHeight="1" x14ac:dyDescent="0.3">
      <c r="A44" s="109"/>
      <c r="B44" s="109" t="s">
        <v>16</v>
      </c>
      <c r="C44" s="192">
        <v>31.589762431553879</v>
      </c>
      <c r="D44" s="198">
        <v>24.157637796951644</v>
      </c>
      <c r="E44" s="198">
        <v>38.773676096214302</v>
      </c>
      <c r="F44" s="198">
        <v>26.624701822608266</v>
      </c>
      <c r="G44" s="198">
        <v>35.899591718557851</v>
      </c>
      <c r="H44" s="198">
        <v>30.56670677700372</v>
      </c>
      <c r="I44" s="198">
        <v>33.65283101605494</v>
      </c>
      <c r="J44" s="198">
        <v>53.171326499012984</v>
      </c>
      <c r="K44" s="198">
        <v>26.152966457881455</v>
      </c>
      <c r="L44" s="198">
        <v>31.623610826371046</v>
      </c>
      <c r="M44" s="198">
        <v>31.657837400704956</v>
      </c>
      <c r="N44" s="198">
        <v>28.860769484996744</v>
      </c>
      <c r="O44" s="199">
        <v>25.689991846923473</v>
      </c>
    </row>
    <row r="45" spans="1:15" ht="15.75" customHeight="1" x14ac:dyDescent="0.3">
      <c r="A45" s="109"/>
      <c r="B45" s="156" t="s">
        <v>8</v>
      </c>
      <c r="C45" s="97">
        <v>33.340852703603623</v>
      </c>
      <c r="D45" s="98">
        <v>25.57802397163017</v>
      </c>
      <c r="E45" s="98">
        <v>41.390066820364943</v>
      </c>
      <c r="F45" s="98">
        <v>27.956308179439038</v>
      </c>
      <c r="G45" s="98">
        <v>38.314876409255142</v>
      </c>
      <c r="H45" s="98">
        <v>32.119824249738812</v>
      </c>
      <c r="I45" s="98">
        <v>35.811573505043107</v>
      </c>
      <c r="J45" s="98">
        <v>55.752547431843681</v>
      </c>
      <c r="K45" s="98">
        <v>27.291664940727529</v>
      </c>
      <c r="L45" s="98">
        <v>32.525031615020161</v>
      </c>
      <c r="M45" s="98">
        <v>32.435152619765176</v>
      </c>
      <c r="N45" s="98">
        <v>29.841015076018905</v>
      </c>
      <c r="O45" s="99">
        <v>27.773001403411175</v>
      </c>
    </row>
    <row r="46" spans="1:15" ht="15.75" customHeight="1" x14ac:dyDescent="0.3">
      <c r="A46" s="109"/>
      <c r="B46" s="109" t="s">
        <v>9</v>
      </c>
      <c r="C46" s="192">
        <v>34.893430919989534</v>
      </c>
      <c r="D46" s="198">
        <v>27.241016756878739</v>
      </c>
      <c r="E46" s="198">
        <v>43.519418794681997</v>
      </c>
      <c r="F46" s="198">
        <v>28.770304801566581</v>
      </c>
      <c r="G46" s="198">
        <v>40.176314893746422</v>
      </c>
      <c r="H46" s="198">
        <v>33.314288520881178</v>
      </c>
      <c r="I46" s="198">
        <v>37.666624121136721</v>
      </c>
      <c r="J46" s="198">
        <v>57.733330012205151</v>
      </c>
      <c r="K46" s="198">
        <v>28.485439395066908</v>
      </c>
      <c r="L46" s="198">
        <v>33.721895304801279</v>
      </c>
      <c r="M46" s="198">
        <v>33.194951098609856</v>
      </c>
      <c r="N46" s="198">
        <v>30.67210557356216</v>
      </c>
      <c r="O46" s="199">
        <v>30.114704374572799</v>
      </c>
    </row>
    <row r="47" spans="1:15" ht="15.75" customHeight="1" x14ac:dyDescent="0.3">
      <c r="A47" s="109"/>
      <c r="B47" s="156" t="s">
        <v>10</v>
      </c>
      <c r="C47" s="97">
        <v>36.2545369815603</v>
      </c>
      <c r="D47" s="98">
        <v>28.933628133657884</v>
      </c>
      <c r="E47" s="98">
        <v>45.148672507645372</v>
      </c>
      <c r="F47" s="98">
        <v>29.736589697102055</v>
      </c>
      <c r="G47" s="98">
        <v>41.550464174180654</v>
      </c>
      <c r="H47" s="98">
        <v>34.115906325343396</v>
      </c>
      <c r="I47" s="98">
        <v>39.196902333394732</v>
      </c>
      <c r="J47" s="98">
        <v>59.263321417031833</v>
      </c>
      <c r="K47" s="98">
        <v>29.713522138223791</v>
      </c>
      <c r="L47" s="98">
        <v>34.746841420001665</v>
      </c>
      <c r="M47" s="98">
        <v>34.222208277567177</v>
      </c>
      <c r="N47" s="98">
        <v>31.367055072383192</v>
      </c>
      <c r="O47" s="99">
        <v>31.490070033540253</v>
      </c>
    </row>
    <row r="48" spans="1:15" ht="15.75" customHeight="1" x14ac:dyDescent="0.3">
      <c r="A48" s="360"/>
      <c r="B48" s="406" t="s">
        <v>11</v>
      </c>
      <c r="C48" s="402">
        <v>37.848053439933182</v>
      </c>
      <c r="D48" s="403">
        <v>30.788563594829711</v>
      </c>
      <c r="E48" s="403">
        <v>47.266743732313962</v>
      </c>
      <c r="F48" s="403">
        <v>31.362289776972673</v>
      </c>
      <c r="G48" s="403">
        <v>43.549213999248984</v>
      </c>
      <c r="H48" s="403">
        <v>35.580051214981708</v>
      </c>
      <c r="I48" s="403">
        <v>40.595272240458428</v>
      </c>
      <c r="J48" s="403">
        <v>60.615256262451958</v>
      </c>
      <c r="K48" s="403">
        <v>30.804007545514743</v>
      </c>
      <c r="L48" s="403">
        <v>36.092915174162322</v>
      </c>
      <c r="M48" s="403">
        <v>34.902254894886447</v>
      </c>
      <c r="N48" s="403">
        <v>32.277737862531261</v>
      </c>
      <c r="O48" s="404">
        <v>32.539968367647361</v>
      </c>
    </row>
    <row r="49" spans="1:15" s="178" customFormat="1" ht="19.5" customHeight="1" x14ac:dyDescent="0.3">
      <c r="A49" s="291"/>
      <c r="B49" s="109" t="s">
        <v>84</v>
      </c>
      <c r="E49" s="59"/>
      <c r="F49" s="59"/>
      <c r="G49" s="59"/>
      <c r="H49" s="59"/>
      <c r="I49" s="59"/>
      <c r="J49" s="59"/>
      <c r="K49" s="59"/>
      <c r="L49" s="59"/>
      <c r="M49" s="59"/>
      <c r="N49" s="59"/>
      <c r="O49" s="60"/>
    </row>
    <row r="50" spans="1:15" s="180" customFormat="1" ht="14.25" customHeight="1" x14ac:dyDescent="0.3">
      <c r="A50" s="179"/>
      <c r="B50" s="178" t="s">
        <v>17</v>
      </c>
      <c r="C50" s="178"/>
      <c r="D50" s="178"/>
      <c r="E50" s="59"/>
      <c r="F50" s="59"/>
      <c r="G50" s="59"/>
      <c r="H50" s="59"/>
      <c r="I50" s="59"/>
      <c r="J50" s="59"/>
      <c r="K50" s="59"/>
      <c r="L50" s="59"/>
      <c r="M50" s="59"/>
      <c r="N50" s="59"/>
      <c r="O50" s="60"/>
    </row>
    <row r="51" spans="1:15" s="180" customFormat="1" ht="14.25" customHeight="1" x14ac:dyDescent="0.25">
      <c r="A51" s="179"/>
      <c r="B51" s="436" t="s">
        <v>89</v>
      </c>
      <c r="C51" s="436"/>
      <c r="D51" s="436"/>
      <c r="E51" s="436"/>
      <c r="F51" s="436"/>
      <c r="G51" s="436"/>
      <c r="H51" s="436"/>
      <c r="I51" s="436"/>
      <c r="J51" s="436"/>
      <c r="K51" s="436"/>
      <c r="L51" s="436"/>
      <c r="M51" s="436"/>
      <c r="N51" s="436"/>
      <c r="O51" s="264"/>
    </row>
    <row r="52" spans="1:15" s="180" customFormat="1" ht="14.25" customHeight="1" x14ac:dyDescent="0.25">
      <c r="A52" s="179"/>
      <c r="B52" s="436"/>
      <c r="C52" s="436"/>
      <c r="D52" s="436"/>
      <c r="E52" s="436"/>
      <c r="F52" s="436"/>
      <c r="G52" s="436"/>
      <c r="H52" s="436"/>
      <c r="I52" s="436"/>
      <c r="J52" s="436"/>
      <c r="K52" s="436"/>
      <c r="L52" s="436"/>
      <c r="M52" s="436"/>
      <c r="N52" s="436"/>
      <c r="O52" s="264"/>
    </row>
    <row r="53" spans="1:15" s="180" customFormat="1" ht="14.25" customHeight="1" x14ac:dyDescent="0.25">
      <c r="A53" s="179"/>
      <c r="B53" s="436"/>
      <c r="C53" s="436"/>
      <c r="D53" s="436"/>
      <c r="E53" s="436"/>
      <c r="F53" s="436"/>
      <c r="G53" s="436"/>
      <c r="H53" s="436"/>
      <c r="I53" s="436"/>
      <c r="J53" s="436"/>
      <c r="K53" s="436"/>
      <c r="L53" s="436"/>
      <c r="M53" s="436"/>
      <c r="N53" s="436"/>
      <c r="O53" s="264"/>
    </row>
    <row r="54" spans="1:15" s="180" customFormat="1" ht="14.25" customHeight="1" x14ac:dyDescent="0.25">
      <c r="A54" s="179"/>
      <c r="B54" s="436"/>
      <c r="C54" s="436"/>
      <c r="D54" s="436"/>
      <c r="E54" s="436"/>
      <c r="F54" s="436"/>
      <c r="G54" s="436"/>
      <c r="H54" s="436"/>
      <c r="I54" s="436"/>
      <c r="J54" s="436"/>
      <c r="K54" s="436"/>
      <c r="L54" s="436"/>
      <c r="M54" s="436"/>
      <c r="N54" s="436"/>
      <c r="O54" s="264"/>
    </row>
    <row r="55" spans="1:15" s="180" customFormat="1" ht="34.5" customHeight="1" x14ac:dyDescent="0.25">
      <c r="A55" s="179"/>
      <c r="B55" s="434" t="s">
        <v>123</v>
      </c>
      <c r="C55" s="434"/>
      <c r="D55" s="434"/>
      <c r="E55" s="434"/>
      <c r="F55" s="434"/>
      <c r="G55" s="434"/>
      <c r="H55" s="434"/>
      <c r="I55" s="434"/>
      <c r="J55" s="434"/>
      <c r="K55" s="434"/>
      <c r="L55" s="434"/>
      <c r="M55" s="434"/>
      <c r="N55" s="434"/>
      <c r="O55" s="264"/>
    </row>
    <row r="56" spans="1:15" s="178" customFormat="1" ht="15" customHeight="1" x14ac:dyDescent="0.3">
      <c r="A56" s="183"/>
      <c r="B56" s="184" t="str">
        <f>'1.1 V.A Ing.real'!B45</f>
        <v>Actualizado el 15 de diciembre de 2021</v>
      </c>
      <c r="C56" s="184"/>
      <c r="D56" s="184"/>
      <c r="E56" s="61"/>
      <c r="F56" s="61"/>
      <c r="G56" s="61"/>
      <c r="H56" s="61"/>
      <c r="I56" s="61"/>
      <c r="J56" s="61"/>
      <c r="K56" s="61"/>
      <c r="L56" s="61"/>
      <c r="M56" s="61"/>
      <c r="N56" s="61"/>
      <c r="O56" s="62"/>
    </row>
  </sheetData>
  <mergeCells count="3">
    <mergeCell ref="A7:J8"/>
    <mergeCell ref="B51:N54"/>
    <mergeCell ref="B55:N55"/>
  </mergeCells>
  <hyperlinks>
    <hyperlink ref="L2" location="Contenido!A1" display="Inicio" xr:uid="{00000000-0004-0000-0D00-000000000000}"/>
    <hyperlink ref="A10:O10" location="'Ocupación mensual Nacional'!A1" display="3.2  Ocupación  Mensual por escala de habitación" xr:uid="{00000000-0004-0000-0D00-000001000000}"/>
  </hyperlink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44"/>
  <sheetViews>
    <sheetView showGridLines="0" zoomScale="80" zoomScaleNormal="80" workbookViewId="0">
      <pane ySplit="14" topLeftCell="A15" activePane="bottomLeft" state="frozen"/>
      <selection activeCell="C15" sqref="C15"/>
      <selection pane="bottomLeft" activeCell="A7" sqref="A7:J8"/>
    </sheetView>
  </sheetViews>
  <sheetFormatPr baseColWidth="10" defaultColWidth="11.42578125" defaultRowHeight="16.5" x14ac:dyDescent="0.3"/>
  <cols>
    <col min="1" max="1" width="9.7109375" style="100" customWidth="1"/>
    <col min="2" max="2" width="15" style="128" customWidth="1"/>
    <col min="3" max="3" width="17" style="128" customWidth="1"/>
    <col min="4" max="8" width="15" style="128" customWidth="1"/>
    <col min="9" max="10" width="15.28515625" style="128" customWidth="1"/>
    <col min="11" max="11" width="14" style="128" customWidth="1"/>
    <col min="12" max="13" width="13.85546875" style="128" bestFit="1" customWidth="1"/>
    <col min="14" max="15" width="14.7109375" style="100" customWidth="1"/>
    <col min="16" max="16384" width="11.42578125" style="100"/>
  </cols>
  <sheetData>
    <row r="1" spans="1:15" s="145" customFormat="1" ht="12" customHeight="1" x14ac:dyDescent="0.3">
      <c r="A1" s="160"/>
      <c r="B1" s="161"/>
      <c r="C1" s="161"/>
      <c r="D1" s="161"/>
      <c r="E1" s="161"/>
      <c r="F1" s="161"/>
      <c r="G1" s="161"/>
      <c r="H1" s="161"/>
      <c r="I1" s="161"/>
      <c r="J1" s="161"/>
      <c r="K1" s="85"/>
      <c r="L1" s="85"/>
      <c r="M1" s="85"/>
      <c r="N1" s="83"/>
      <c r="O1" s="83"/>
    </row>
    <row r="2" spans="1:15" s="86" customFormat="1" x14ac:dyDescent="0.3">
      <c r="A2" s="162"/>
      <c r="B2" s="163"/>
      <c r="C2" s="163"/>
      <c r="D2" s="163"/>
      <c r="E2" s="163"/>
      <c r="F2" s="163"/>
      <c r="G2" s="163"/>
      <c r="I2" s="163"/>
      <c r="J2" s="163"/>
      <c r="K2" s="85"/>
      <c r="L2" s="224" t="s">
        <v>0</v>
      </c>
      <c r="M2" s="85"/>
      <c r="N2" s="130"/>
      <c r="O2" s="130"/>
    </row>
    <row r="3" spans="1:15" s="86" customFormat="1" x14ac:dyDescent="0.3">
      <c r="A3" s="162"/>
      <c r="B3" s="163"/>
      <c r="C3" s="163"/>
      <c r="D3" s="163"/>
      <c r="E3" s="163"/>
      <c r="F3" s="163"/>
      <c r="G3" s="163"/>
      <c r="H3" s="163"/>
      <c r="I3" s="163"/>
      <c r="J3" s="163"/>
      <c r="K3" s="85"/>
      <c r="L3" s="85"/>
      <c r="M3" s="85"/>
      <c r="N3" s="130"/>
      <c r="O3" s="130"/>
    </row>
    <row r="4" spans="1:15" s="86" customFormat="1" x14ac:dyDescent="0.3">
      <c r="A4" s="162"/>
      <c r="B4" s="163"/>
      <c r="C4" s="163"/>
      <c r="D4" s="163"/>
      <c r="E4" s="163"/>
      <c r="F4" s="163"/>
      <c r="G4" s="163"/>
      <c r="H4" s="163"/>
      <c r="I4" s="163"/>
      <c r="J4" s="163"/>
      <c r="K4" s="85"/>
      <c r="L4" s="85"/>
      <c r="M4" s="85"/>
      <c r="N4" s="130"/>
      <c r="O4" s="130"/>
    </row>
    <row r="5" spans="1:15" s="86" customFormat="1" x14ac:dyDescent="0.3">
      <c r="A5" s="162"/>
      <c r="B5" s="163"/>
      <c r="C5" s="163"/>
      <c r="D5" s="163"/>
      <c r="E5" s="163"/>
      <c r="F5" s="163"/>
      <c r="G5" s="163"/>
      <c r="H5" s="163"/>
      <c r="I5" s="163"/>
      <c r="J5" s="87"/>
      <c r="K5" s="85"/>
      <c r="L5" s="85"/>
      <c r="M5" s="85"/>
      <c r="N5" s="130"/>
      <c r="O5" s="130"/>
    </row>
    <row r="6" spans="1:15" s="86" customFormat="1" x14ac:dyDescent="0.3">
      <c r="A6" s="162"/>
      <c r="B6" s="163"/>
      <c r="C6" s="163"/>
      <c r="D6" s="163"/>
      <c r="E6" s="163"/>
      <c r="F6" s="163"/>
      <c r="G6" s="163"/>
      <c r="H6" s="163"/>
      <c r="I6" s="163"/>
      <c r="J6" s="163"/>
      <c r="K6" s="85"/>
      <c r="L6" s="85"/>
      <c r="M6" s="85"/>
      <c r="N6" s="130"/>
      <c r="O6" s="130"/>
    </row>
    <row r="7" spans="1:15" s="86" customFormat="1" ht="15" customHeight="1" x14ac:dyDescent="0.3">
      <c r="A7" s="421" t="s">
        <v>55</v>
      </c>
      <c r="B7" s="421"/>
      <c r="C7" s="421"/>
      <c r="D7" s="421"/>
      <c r="E7" s="421"/>
      <c r="F7" s="421"/>
      <c r="G7" s="421"/>
      <c r="H7" s="421"/>
      <c r="I7" s="421"/>
      <c r="J7" s="421"/>
      <c r="K7" s="197"/>
      <c r="L7" s="197"/>
      <c r="M7" s="197"/>
      <c r="N7" s="197"/>
      <c r="O7" s="197"/>
    </row>
    <row r="8" spans="1:15" s="86" customFormat="1" ht="15" customHeight="1" x14ac:dyDescent="0.3">
      <c r="A8" s="421"/>
      <c r="B8" s="421"/>
      <c r="C8" s="421"/>
      <c r="D8" s="421"/>
      <c r="E8" s="421"/>
      <c r="F8" s="421"/>
      <c r="G8" s="421"/>
      <c r="H8" s="421"/>
      <c r="I8" s="421"/>
      <c r="J8" s="421"/>
      <c r="K8" s="197"/>
      <c r="L8" s="197"/>
      <c r="M8" s="197"/>
      <c r="N8" s="197"/>
      <c r="O8" s="197"/>
    </row>
    <row r="9" spans="1:15" s="86" customFormat="1" ht="15" customHeight="1" x14ac:dyDescent="0.3">
      <c r="A9" s="235"/>
      <c r="B9" s="236"/>
      <c r="C9" s="236"/>
      <c r="D9" s="236"/>
      <c r="E9" s="236"/>
      <c r="F9" s="236"/>
      <c r="G9" s="236"/>
      <c r="H9" s="236"/>
      <c r="I9" s="236"/>
      <c r="J9" s="236"/>
      <c r="K9" s="144"/>
      <c r="L9" s="144"/>
      <c r="M9" s="144"/>
      <c r="N9" s="144"/>
      <c r="O9" s="144"/>
    </row>
    <row r="10" spans="1:15" s="86" customFormat="1" ht="15" customHeight="1" x14ac:dyDescent="0.3">
      <c r="A10" s="90" t="s">
        <v>141</v>
      </c>
      <c r="B10" s="164"/>
      <c r="C10" s="164"/>
      <c r="D10" s="164"/>
      <c r="E10" s="164"/>
      <c r="F10" s="91"/>
      <c r="G10" s="91"/>
      <c r="H10" s="91"/>
      <c r="I10" s="91"/>
      <c r="J10" s="91"/>
      <c r="K10" s="226"/>
      <c r="L10" s="226"/>
      <c r="M10" s="226"/>
      <c r="N10" s="226"/>
      <c r="O10" s="226"/>
    </row>
    <row r="11" spans="1:15" s="145" customFormat="1" ht="18" customHeight="1" x14ac:dyDescent="0.3">
      <c r="A11" s="90" t="s">
        <v>77</v>
      </c>
      <c r="B11" s="164"/>
      <c r="C11" s="164"/>
      <c r="D11" s="164"/>
      <c r="E11" s="164"/>
      <c r="F11" s="164"/>
      <c r="G11" s="164"/>
      <c r="H11" s="164"/>
      <c r="I11" s="164"/>
      <c r="J11" s="164"/>
      <c r="K11" s="137"/>
      <c r="L11" s="137"/>
      <c r="M11" s="137"/>
      <c r="N11" s="137"/>
      <c r="O11" s="137"/>
    </row>
    <row r="12" spans="1:15" s="145" customFormat="1" ht="18" customHeight="1" x14ac:dyDescent="0.3">
      <c r="A12" s="90" t="s">
        <v>179</v>
      </c>
      <c r="B12" s="91"/>
      <c r="C12" s="91"/>
      <c r="D12" s="91"/>
      <c r="E12" s="164"/>
      <c r="F12" s="164"/>
      <c r="G12" s="164"/>
      <c r="H12" s="164"/>
      <c r="I12" s="164"/>
      <c r="J12" s="164"/>
      <c r="K12" s="137"/>
      <c r="L12" s="137"/>
      <c r="M12" s="137"/>
      <c r="N12" s="137"/>
      <c r="O12" s="137"/>
    </row>
    <row r="13" spans="1:15" s="145" customFormat="1" ht="18" customHeight="1" x14ac:dyDescent="0.3">
      <c r="A13" s="189"/>
      <c r="B13" s="91"/>
      <c r="C13" s="91"/>
      <c r="D13" s="91"/>
      <c r="E13" s="91"/>
      <c r="F13" s="91"/>
      <c r="G13" s="91"/>
      <c r="H13" s="91"/>
      <c r="I13" s="91"/>
      <c r="J13" s="91"/>
      <c r="K13" s="226"/>
      <c r="L13" s="226"/>
      <c r="M13" s="226"/>
      <c r="N13" s="226"/>
      <c r="O13" s="226"/>
    </row>
    <row r="14" spans="1:15" s="145" customFormat="1" ht="46.5" customHeight="1" x14ac:dyDescent="0.3">
      <c r="A14" s="265" t="s">
        <v>25</v>
      </c>
      <c r="B14" s="266" t="s">
        <v>26</v>
      </c>
      <c r="C14" s="286" t="s">
        <v>59</v>
      </c>
      <c r="D14" s="286" t="s">
        <v>5</v>
      </c>
      <c r="E14" s="286" t="s">
        <v>6</v>
      </c>
      <c r="F14" s="286" t="s">
        <v>20</v>
      </c>
      <c r="G14" s="286" t="s">
        <v>21</v>
      </c>
      <c r="H14" s="286" t="s">
        <v>22</v>
      </c>
      <c r="I14" s="286" t="s">
        <v>3</v>
      </c>
      <c r="J14" s="286" t="s">
        <v>7</v>
      </c>
      <c r="K14" s="286" t="s">
        <v>41</v>
      </c>
      <c r="L14" s="286" t="s">
        <v>38</v>
      </c>
      <c r="M14" s="286" t="s">
        <v>42</v>
      </c>
      <c r="N14" s="286" t="s">
        <v>23</v>
      </c>
      <c r="O14" s="287" t="s">
        <v>40</v>
      </c>
    </row>
    <row r="15" spans="1:15" ht="15.75" customHeight="1" x14ac:dyDescent="0.3">
      <c r="A15" s="316" t="s">
        <v>51</v>
      </c>
      <c r="B15" s="317" t="s">
        <v>13</v>
      </c>
      <c r="C15" s="318">
        <v>48.82212531375437</v>
      </c>
      <c r="D15" s="319">
        <v>56.891725402766994</v>
      </c>
      <c r="E15" s="319">
        <v>60.489714215859337</v>
      </c>
      <c r="F15" s="319">
        <v>35.260526693560934</v>
      </c>
      <c r="G15" s="319">
        <v>48.503769592556658</v>
      </c>
      <c r="H15" s="319">
        <v>43.480575090841349</v>
      </c>
      <c r="I15" s="320">
        <v>47.966955391576157</v>
      </c>
      <c r="J15" s="320">
        <v>73.240502344451414</v>
      </c>
      <c r="K15" s="320">
        <v>40.016351023119213</v>
      </c>
      <c r="L15" s="320">
        <v>42.018819612022725</v>
      </c>
      <c r="M15" s="320">
        <v>34.632678649272968</v>
      </c>
      <c r="N15" s="319">
        <v>32.771283999052805</v>
      </c>
      <c r="O15" s="321">
        <v>49.957888002750714</v>
      </c>
    </row>
    <row r="16" spans="1:15" ht="15.75" customHeight="1" x14ac:dyDescent="0.3">
      <c r="A16" s="147" t="s">
        <v>52</v>
      </c>
      <c r="B16" s="156" t="s">
        <v>54</v>
      </c>
      <c r="C16" s="170">
        <v>49.090924817987798</v>
      </c>
      <c r="D16" s="171">
        <v>57.090652789404082</v>
      </c>
      <c r="E16" s="171">
        <v>60.922403964555357</v>
      </c>
      <c r="F16" s="171">
        <v>35.388320297657685</v>
      </c>
      <c r="G16" s="171">
        <v>48.858208613652117</v>
      </c>
      <c r="H16" s="171">
        <v>43.969521554120817</v>
      </c>
      <c r="I16" s="171">
        <v>48.30829302206174</v>
      </c>
      <c r="J16" s="171">
        <v>73.265400794410297</v>
      </c>
      <c r="K16" s="171">
        <v>40.179837456278491</v>
      </c>
      <c r="L16" s="171">
        <v>42.302510954361729</v>
      </c>
      <c r="M16" s="171">
        <v>34.607830581795774</v>
      </c>
      <c r="N16" s="171">
        <v>33.138373904074996</v>
      </c>
      <c r="O16" s="172">
        <v>50.335114438191475</v>
      </c>
    </row>
    <row r="17" spans="1:15" ht="15.75" customHeight="1" x14ac:dyDescent="0.3">
      <c r="A17" s="101"/>
      <c r="B17" s="100" t="s">
        <v>56</v>
      </c>
      <c r="C17" s="174">
        <v>49.296593910535655</v>
      </c>
      <c r="D17" s="175">
        <v>57.287801710818599</v>
      </c>
      <c r="E17" s="175">
        <v>61.248447389456054</v>
      </c>
      <c r="F17" s="175">
        <v>35.403452463407099</v>
      </c>
      <c r="G17" s="175">
        <v>49.29575607879427</v>
      </c>
      <c r="H17" s="175">
        <v>44.024023816588162</v>
      </c>
      <c r="I17" s="176">
        <v>48.607832907641559</v>
      </c>
      <c r="J17" s="176">
        <v>73.606696511215119</v>
      </c>
      <c r="K17" s="176">
        <v>40.226467001700364</v>
      </c>
      <c r="L17" s="176">
        <v>42.206369281836267</v>
      </c>
      <c r="M17" s="176">
        <v>34.964399933940129</v>
      </c>
      <c r="N17" s="175">
        <v>33.135249370957439</v>
      </c>
      <c r="O17" s="177">
        <v>50.350925519666681</v>
      </c>
    </row>
    <row r="18" spans="1:15" ht="15.75" customHeight="1" x14ac:dyDescent="0.3">
      <c r="A18" s="101"/>
      <c r="B18" s="156" t="s">
        <v>65</v>
      </c>
      <c r="C18" s="170">
        <v>48.299909399848225</v>
      </c>
      <c r="D18" s="171">
        <v>55.990774846177693</v>
      </c>
      <c r="E18" s="171">
        <v>58.963736039501534</v>
      </c>
      <c r="F18" s="171">
        <v>34.860344837671171</v>
      </c>
      <c r="G18" s="171">
        <v>48.012099047811887</v>
      </c>
      <c r="H18" s="171">
        <v>43.572361911616746</v>
      </c>
      <c r="I18" s="171">
        <v>47.578489851501814</v>
      </c>
      <c r="J18" s="171">
        <v>73.258708821751057</v>
      </c>
      <c r="K18" s="171">
        <v>39.846522315994797</v>
      </c>
      <c r="L18" s="171">
        <v>41.481640008744257</v>
      </c>
      <c r="M18" s="171">
        <v>34.848839462959873</v>
      </c>
      <c r="N18" s="171">
        <v>32.849235025019922</v>
      </c>
      <c r="O18" s="172">
        <v>49.767694765812564</v>
      </c>
    </row>
    <row r="19" spans="1:15" ht="15.75" customHeight="1" x14ac:dyDescent="0.3">
      <c r="A19" s="101"/>
      <c r="B19" s="100" t="s">
        <v>66</v>
      </c>
      <c r="C19" s="174">
        <v>47.437544084017524</v>
      </c>
      <c r="D19" s="175">
        <v>54.045475098817086</v>
      </c>
      <c r="E19" s="175">
        <v>57.647790936817302</v>
      </c>
      <c r="F19" s="175">
        <v>34.707965617449148</v>
      </c>
      <c r="G19" s="175">
        <v>47.553722044039802</v>
      </c>
      <c r="H19" s="175">
        <v>43.390328203638063</v>
      </c>
      <c r="I19" s="176">
        <v>46.744334905587444</v>
      </c>
      <c r="J19" s="176">
        <v>73.464790021358553</v>
      </c>
      <c r="K19" s="176">
        <v>39.377364652103743</v>
      </c>
      <c r="L19" s="176">
        <v>40.592845555194629</v>
      </c>
      <c r="M19" s="176">
        <v>33.776925705391584</v>
      </c>
      <c r="N19" s="175">
        <v>32.662493042462955</v>
      </c>
      <c r="O19" s="177">
        <v>49.698614054177881</v>
      </c>
    </row>
    <row r="20" spans="1:15" ht="15.75" customHeight="1" x14ac:dyDescent="0.3">
      <c r="A20" s="101"/>
      <c r="B20" s="156" t="s">
        <v>15</v>
      </c>
      <c r="C20" s="170">
        <v>46.498289167756326</v>
      </c>
      <c r="D20" s="171">
        <v>51.591539518194452</v>
      </c>
      <c r="E20" s="171">
        <v>57.335760261778013</v>
      </c>
      <c r="F20" s="171">
        <v>34.900393869794847</v>
      </c>
      <c r="G20" s="171">
        <v>47.204303474073683</v>
      </c>
      <c r="H20" s="171">
        <v>43.0721337933238</v>
      </c>
      <c r="I20" s="171">
        <v>45.746313786314722</v>
      </c>
      <c r="J20" s="171">
        <v>73.577227874523331</v>
      </c>
      <c r="K20" s="171">
        <v>38.405696131103255</v>
      </c>
      <c r="L20" s="171">
        <v>39.80836463049971</v>
      </c>
      <c r="M20" s="171">
        <v>32.548142541275837</v>
      </c>
      <c r="N20" s="171">
        <v>32.421668926598159</v>
      </c>
      <c r="O20" s="172">
        <v>49.351706105474683</v>
      </c>
    </row>
    <row r="21" spans="1:15" ht="15.75" customHeight="1" x14ac:dyDescent="0.3">
      <c r="A21" s="101"/>
      <c r="B21" s="111" t="s">
        <v>67</v>
      </c>
      <c r="C21" s="192">
        <v>45.006540695178202</v>
      </c>
      <c r="D21" s="198">
        <v>49.095960551297026</v>
      </c>
      <c r="E21" s="198">
        <v>56.998460312289808</v>
      </c>
      <c r="F21" s="198">
        <v>33.591745124304879</v>
      </c>
      <c r="G21" s="198">
        <v>46.038675974200295</v>
      </c>
      <c r="H21" s="198">
        <v>41.911718916184086</v>
      </c>
      <c r="I21" s="198">
        <v>44.102286623880858</v>
      </c>
      <c r="J21" s="198">
        <v>73.718159585094583</v>
      </c>
      <c r="K21" s="198">
        <v>37.023631116678196</v>
      </c>
      <c r="L21" s="198">
        <v>38.024806349989667</v>
      </c>
      <c r="M21" s="198">
        <v>31.582784799467724</v>
      </c>
      <c r="N21" s="198">
        <v>31.765081765691317</v>
      </c>
      <c r="O21" s="199">
        <v>48.208939336158849</v>
      </c>
    </row>
    <row r="22" spans="1:15" ht="15.75" customHeight="1" x14ac:dyDescent="0.3">
      <c r="A22" s="101"/>
      <c r="B22" s="96" t="s">
        <v>87</v>
      </c>
      <c r="C22" s="97">
        <v>42.991257145510367</v>
      </c>
      <c r="D22" s="98">
        <v>45.849897793687262</v>
      </c>
      <c r="E22" s="98">
        <v>56.018802570167246</v>
      </c>
      <c r="F22" s="98">
        <v>32.160890271484952</v>
      </c>
      <c r="G22" s="98">
        <v>44.360938760671871</v>
      </c>
      <c r="H22" s="98">
        <v>40.108599655518098</v>
      </c>
      <c r="I22" s="98">
        <v>42.150219441424483</v>
      </c>
      <c r="J22" s="98">
        <v>73.769056479243815</v>
      </c>
      <c r="K22" s="98">
        <v>35.16618805622489</v>
      </c>
      <c r="L22" s="98">
        <v>35.825973749165769</v>
      </c>
      <c r="M22" s="98">
        <v>30.657465005804056</v>
      </c>
      <c r="N22" s="98">
        <v>31.231545088137846</v>
      </c>
      <c r="O22" s="99">
        <v>46.750138401307431</v>
      </c>
    </row>
    <row r="23" spans="1:15" ht="15.75" customHeight="1" x14ac:dyDescent="0.3">
      <c r="A23" s="101"/>
      <c r="B23" s="111" t="s">
        <v>9</v>
      </c>
      <c r="C23" s="192">
        <v>40.267381013510153</v>
      </c>
      <c r="D23" s="198">
        <v>42.047046360057521</v>
      </c>
      <c r="E23" s="198">
        <v>53.635561152623559</v>
      </c>
      <c r="F23" s="198">
        <v>30.469948737703707</v>
      </c>
      <c r="G23" s="198">
        <v>41.972268151752331</v>
      </c>
      <c r="H23" s="198">
        <v>37.414270201537043</v>
      </c>
      <c r="I23" s="198">
        <v>39.338105309674198</v>
      </c>
      <c r="J23" s="198">
        <v>73.345867855849036</v>
      </c>
      <c r="K23" s="198">
        <v>32.825177084446686</v>
      </c>
      <c r="L23" s="198">
        <v>32.965467261010687</v>
      </c>
      <c r="M23" s="198">
        <v>29.807063775366728</v>
      </c>
      <c r="N23" s="198">
        <v>30.308636368779545</v>
      </c>
      <c r="O23" s="199">
        <v>45.59814952850838</v>
      </c>
    </row>
    <row r="24" spans="1:15" ht="15.75" customHeight="1" x14ac:dyDescent="0.3">
      <c r="A24" s="101"/>
      <c r="B24" s="96" t="s">
        <v>10</v>
      </c>
      <c r="C24" s="97">
        <v>37.411561551542007</v>
      </c>
      <c r="D24" s="98">
        <v>37.747748443952837</v>
      </c>
      <c r="E24" s="98">
        <v>49.865030067108997</v>
      </c>
      <c r="F24" s="98">
        <v>29.146457003927466</v>
      </c>
      <c r="G24" s="98">
        <v>39.569950384438364</v>
      </c>
      <c r="H24" s="98">
        <v>35.161858847765416</v>
      </c>
      <c r="I24" s="98">
        <v>36.953729324221463</v>
      </c>
      <c r="J24" s="98">
        <v>72.725641786915375</v>
      </c>
      <c r="K24" s="98">
        <v>30.383462865885207</v>
      </c>
      <c r="L24" s="98">
        <v>30.604194734786518</v>
      </c>
      <c r="M24" s="98">
        <v>29.03349695844889</v>
      </c>
      <c r="N24" s="98">
        <v>29.515723369161002</v>
      </c>
      <c r="O24" s="99">
        <v>43.562803140157008</v>
      </c>
    </row>
    <row r="25" spans="1:15" ht="15.75" customHeight="1" x14ac:dyDescent="0.3">
      <c r="A25" s="101"/>
      <c r="B25" s="111" t="s">
        <v>11</v>
      </c>
      <c r="C25" s="192">
        <v>34.778042706142664</v>
      </c>
      <c r="D25" s="198">
        <v>33.540744390784852</v>
      </c>
      <c r="E25" s="198">
        <v>46.260958755444733</v>
      </c>
      <c r="F25" s="198">
        <v>28.029193803822938</v>
      </c>
      <c r="G25" s="198">
        <v>37.328782805288739</v>
      </c>
      <c r="H25" s="198">
        <v>33.811057200172037</v>
      </c>
      <c r="I25" s="198">
        <v>34.830566751429124</v>
      </c>
      <c r="J25" s="198">
        <v>68.695594702821822</v>
      </c>
      <c r="K25" s="198">
        <v>28.493440632170099</v>
      </c>
      <c r="L25" s="198">
        <v>28.872621390221799</v>
      </c>
      <c r="M25" s="198">
        <v>28.869022980229818</v>
      </c>
      <c r="N25" s="198">
        <v>28.194104259663717</v>
      </c>
      <c r="O25" s="199">
        <v>40.530765969121788</v>
      </c>
    </row>
    <row r="26" spans="1:15" ht="15.75" customHeight="1" x14ac:dyDescent="0.3">
      <c r="A26" s="101"/>
      <c r="B26" s="96" t="s">
        <v>12</v>
      </c>
      <c r="C26" s="97">
        <v>32.098414132417844</v>
      </c>
      <c r="D26" s="98">
        <v>29.353344095280185</v>
      </c>
      <c r="E26" s="98">
        <v>41.738923388930012</v>
      </c>
      <c r="F26" s="98">
        <v>26.940592813189213</v>
      </c>
      <c r="G26" s="98">
        <v>34.842710574068413</v>
      </c>
      <c r="H26" s="98">
        <v>32.47009369455219</v>
      </c>
      <c r="I26" s="98">
        <v>32.731298768410468</v>
      </c>
      <c r="J26" s="98">
        <v>63.633456119288368</v>
      </c>
      <c r="K26" s="98">
        <v>26.89087691547849</v>
      </c>
      <c r="L26" s="98">
        <v>27.562202647353185</v>
      </c>
      <c r="M26" s="98">
        <v>28.544958115961599</v>
      </c>
      <c r="N26" s="98">
        <v>27.912414547593201</v>
      </c>
      <c r="O26" s="99">
        <v>37.381812049365244</v>
      </c>
    </row>
    <row r="27" spans="1:15" ht="15.75" customHeight="1" x14ac:dyDescent="0.3">
      <c r="A27" s="101"/>
      <c r="B27" s="111" t="s">
        <v>13</v>
      </c>
      <c r="C27" s="192">
        <v>29.918458021846781</v>
      </c>
      <c r="D27" s="198">
        <v>26.782764073901795</v>
      </c>
      <c r="E27" s="198">
        <v>37.512316879795847</v>
      </c>
      <c r="F27" s="198">
        <v>25.680469973705939</v>
      </c>
      <c r="G27" s="198">
        <v>32.738822690325101</v>
      </c>
      <c r="H27" s="198">
        <v>31.213078426217017</v>
      </c>
      <c r="I27" s="198">
        <v>30.727266805437548</v>
      </c>
      <c r="J27" s="198">
        <v>56.742079275044631</v>
      </c>
      <c r="K27" s="198">
        <v>25.639290278324101</v>
      </c>
      <c r="L27" s="198">
        <v>26.414759204564049</v>
      </c>
      <c r="M27" s="198">
        <v>27.883142559803652</v>
      </c>
      <c r="N27" s="198">
        <v>27.964659140955078</v>
      </c>
      <c r="O27" s="199">
        <v>34.449940264222597</v>
      </c>
    </row>
    <row r="28" spans="1:15" ht="15.75" customHeight="1" x14ac:dyDescent="0.3">
      <c r="A28" s="156" t="s">
        <v>124</v>
      </c>
      <c r="B28" s="156" t="s">
        <v>54</v>
      </c>
      <c r="C28" s="97">
        <v>27.494707949747593</v>
      </c>
      <c r="D28" s="98">
        <v>23.781548589048807</v>
      </c>
      <c r="E28" s="98">
        <v>32.968670324351308</v>
      </c>
      <c r="F28" s="98">
        <v>24.021252235863969</v>
      </c>
      <c r="G28" s="98">
        <v>30.939967342568785</v>
      </c>
      <c r="H28" s="98">
        <v>28.447074103091374</v>
      </c>
      <c r="I28" s="98">
        <v>28.621213587919613</v>
      </c>
      <c r="J28" s="98">
        <v>50.539954840527344</v>
      </c>
      <c r="K28" s="98">
        <v>23.938025090629925</v>
      </c>
      <c r="L28" s="98">
        <v>25.090993864034377</v>
      </c>
      <c r="M28" s="98">
        <v>27.178779619340453</v>
      </c>
      <c r="N28" s="98">
        <v>27.174904970200259</v>
      </c>
      <c r="O28" s="99">
        <v>31.883695146811629</v>
      </c>
    </row>
    <row r="29" spans="1:15" ht="15.75" customHeight="1" x14ac:dyDescent="0.3">
      <c r="A29" s="109"/>
      <c r="B29" s="109" t="s">
        <v>48</v>
      </c>
      <c r="C29" s="192">
        <v>25.039347680799512</v>
      </c>
      <c r="D29" s="198">
        <v>19.591820857732039</v>
      </c>
      <c r="E29" s="198">
        <v>27.931825126147935</v>
      </c>
      <c r="F29" s="198">
        <v>23.318085994691909</v>
      </c>
      <c r="G29" s="198">
        <v>28.896781297707907</v>
      </c>
      <c r="H29" s="198">
        <v>27.153757599292227</v>
      </c>
      <c r="I29" s="198">
        <v>26.927833382220768</v>
      </c>
      <c r="J29" s="198">
        <v>44.54267363825214</v>
      </c>
      <c r="K29" s="198">
        <v>22.440576377059678</v>
      </c>
      <c r="L29" s="198">
        <v>24.32303732806642</v>
      </c>
      <c r="M29" s="198">
        <v>26.340832829318739</v>
      </c>
      <c r="N29" s="198">
        <v>27.212496275535319</v>
      </c>
      <c r="O29" s="199">
        <v>29.335452044398064</v>
      </c>
    </row>
    <row r="30" spans="1:15" ht="15.75" customHeight="1" x14ac:dyDescent="0.3">
      <c r="A30" s="109"/>
      <c r="B30" s="156" t="s">
        <v>49</v>
      </c>
      <c r="C30" s="97">
        <v>25.399689033194189</v>
      </c>
      <c r="D30" s="98">
        <v>18.415252394018573</v>
      </c>
      <c r="E30" s="98">
        <v>28.992281530708873</v>
      </c>
      <c r="F30" s="98">
        <v>24.564490995155193</v>
      </c>
      <c r="G30" s="98">
        <v>29.883864299212025</v>
      </c>
      <c r="H30" s="98">
        <v>27.712240879206945</v>
      </c>
      <c r="I30" s="98">
        <v>27.728126982155132</v>
      </c>
      <c r="J30" s="98">
        <v>43.340865464795726</v>
      </c>
      <c r="K30" s="98">
        <v>23.014454182521231</v>
      </c>
      <c r="L30" s="98">
        <v>25.047065706092621</v>
      </c>
      <c r="M30" s="98">
        <v>26.757463092859247</v>
      </c>
      <c r="N30" s="98">
        <v>28.014239782642118</v>
      </c>
      <c r="O30" s="99">
        <v>27.960611346754437</v>
      </c>
    </row>
    <row r="31" spans="1:15" ht="15.75" customHeight="1" x14ac:dyDescent="0.3">
      <c r="A31" s="109"/>
      <c r="B31" s="109" t="s">
        <v>66</v>
      </c>
      <c r="C31" s="192">
        <v>26.384881319351365</v>
      </c>
      <c r="D31" s="198">
        <v>19.382172634317659</v>
      </c>
      <c r="E31" s="198">
        <v>30.886901966609763</v>
      </c>
      <c r="F31" s="198">
        <v>24.855292299881015</v>
      </c>
      <c r="G31" s="198">
        <v>29.945238115648298</v>
      </c>
      <c r="H31" s="198">
        <v>28.399485487283993</v>
      </c>
      <c r="I31" s="198">
        <v>28.482311953157762</v>
      </c>
      <c r="J31" s="198">
        <v>45.224138267254446</v>
      </c>
      <c r="K31" s="198">
        <v>24.095357122061419</v>
      </c>
      <c r="L31" s="198">
        <v>26.185210721038032</v>
      </c>
      <c r="M31" s="198">
        <v>27.782459176269942</v>
      </c>
      <c r="N31" s="198">
        <v>28.204991500869586</v>
      </c>
      <c r="O31" s="199">
        <v>27.954675824418267</v>
      </c>
    </row>
    <row r="32" spans="1:15" ht="15.75" customHeight="1" x14ac:dyDescent="0.3">
      <c r="A32" s="109"/>
      <c r="B32" s="156" t="s">
        <v>15</v>
      </c>
      <c r="C32" s="97">
        <v>26.866343427247806</v>
      </c>
      <c r="D32" s="98">
        <v>20.221531965658432</v>
      </c>
      <c r="E32" s="98">
        <v>31.003889752394027</v>
      </c>
      <c r="F32" s="98">
        <v>24.508690892482171</v>
      </c>
      <c r="G32" s="98">
        <v>30.341145774567813</v>
      </c>
      <c r="H32" s="98">
        <v>27.896011760124452</v>
      </c>
      <c r="I32" s="98">
        <v>29.159277993961378</v>
      </c>
      <c r="J32" s="98">
        <v>46.232063547173077</v>
      </c>
      <c r="K32" s="98">
        <v>24.079943134613888</v>
      </c>
      <c r="L32" s="98">
        <v>26.804781045077398</v>
      </c>
      <c r="M32" s="98">
        <v>28.506273606135814</v>
      </c>
      <c r="N32" s="98">
        <v>27.797202910698736</v>
      </c>
      <c r="O32" s="99">
        <v>27.158865623571664</v>
      </c>
    </row>
    <row r="33" spans="1:15" ht="15.75" customHeight="1" x14ac:dyDescent="0.3">
      <c r="A33" s="109"/>
      <c r="B33" s="109" t="s">
        <v>67</v>
      </c>
      <c r="C33" s="192">
        <v>28.330226760618704</v>
      </c>
      <c r="D33" s="198">
        <v>21.454310265600597</v>
      </c>
      <c r="E33" s="198">
        <v>32.867630425074047</v>
      </c>
      <c r="F33" s="198">
        <v>25.662293054216583</v>
      </c>
      <c r="G33" s="198">
        <v>32.337331866395949</v>
      </c>
      <c r="H33" s="198">
        <v>28.878169909460986</v>
      </c>
      <c r="I33" s="198">
        <v>30.528872309718498</v>
      </c>
      <c r="J33" s="198">
        <v>48.771425941494762</v>
      </c>
      <c r="K33" s="198">
        <v>24.825904463386735</v>
      </c>
      <c r="L33" s="198">
        <v>27.979408279220902</v>
      </c>
      <c r="M33" s="198">
        <v>30.067821822073455</v>
      </c>
      <c r="N33" s="198">
        <v>28.386586819372191</v>
      </c>
      <c r="O33" s="199">
        <v>27.474489830639971</v>
      </c>
    </row>
    <row r="34" spans="1:15" ht="15.75" customHeight="1" x14ac:dyDescent="0.3">
      <c r="A34" s="109"/>
      <c r="B34" s="156" t="s">
        <v>87</v>
      </c>
      <c r="C34" s="97">
        <v>30.399841367324832</v>
      </c>
      <c r="D34" s="98">
        <v>23.214327260203756</v>
      </c>
      <c r="E34" s="98">
        <v>35.459305470646257</v>
      </c>
      <c r="F34" s="98">
        <v>27.226790163161663</v>
      </c>
      <c r="G34" s="98">
        <v>34.937914363928542</v>
      </c>
      <c r="H34" s="98">
        <v>30.859436377577531</v>
      </c>
      <c r="I34" s="98">
        <v>32.69004886310011</v>
      </c>
      <c r="J34" s="98">
        <v>51.383954716717383</v>
      </c>
      <c r="K34" s="98">
        <v>26.26117971954034</v>
      </c>
      <c r="L34" s="98">
        <v>29.812784443809342</v>
      </c>
      <c r="M34" s="98">
        <v>31.555236541282905</v>
      </c>
      <c r="N34" s="98">
        <v>29.374872932612245</v>
      </c>
      <c r="O34" s="99">
        <v>28.372541841883663</v>
      </c>
    </row>
    <row r="35" spans="1:15" ht="15.75" customHeight="1" x14ac:dyDescent="0.3">
      <c r="A35" s="109"/>
      <c r="B35" s="109" t="s">
        <v>9</v>
      </c>
      <c r="C35" s="192">
        <v>32.581197672811193</v>
      </c>
      <c r="D35" s="198">
        <v>25.372679518603729</v>
      </c>
      <c r="E35" s="198">
        <v>38.154673779518482</v>
      </c>
      <c r="F35" s="198">
        <v>28.480043970848989</v>
      </c>
      <c r="G35" s="198">
        <v>37.340988472741365</v>
      </c>
      <c r="H35" s="198">
        <v>32.783852151581577</v>
      </c>
      <c r="I35" s="198">
        <v>35.125698357255132</v>
      </c>
      <c r="J35" s="198">
        <v>53.491314574933249</v>
      </c>
      <c r="K35" s="198">
        <v>27.913948319192556</v>
      </c>
      <c r="L35" s="198">
        <v>31.993367662201344</v>
      </c>
      <c r="M35" s="198">
        <v>32.976027538377529</v>
      </c>
      <c r="N35" s="198">
        <v>30.543387392306553</v>
      </c>
      <c r="O35" s="199">
        <v>29.539743525405722</v>
      </c>
    </row>
    <row r="36" spans="1:15" ht="15.75" customHeight="1" x14ac:dyDescent="0.3">
      <c r="A36" s="109"/>
      <c r="B36" s="156" t="s">
        <v>10</v>
      </c>
      <c r="C36" s="97">
        <v>34.725331532921253</v>
      </c>
      <c r="D36" s="98">
        <v>27.661207310836676</v>
      </c>
      <c r="E36" s="98">
        <v>41.521297337328363</v>
      </c>
      <c r="F36" s="98">
        <v>29.725887640781419</v>
      </c>
      <c r="G36" s="98">
        <v>39.549083682305941</v>
      </c>
      <c r="H36" s="98">
        <v>34.191001910582152</v>
      </c>
      <c r="I36" s="98">
        <v>37.409647111344746</v>
      </c>
      <c r="J36" s="98">
        <v>55.219579357562097</v>
      </c>
      <c r="K36" s="98">
        <v>29.578378684153616</v>
      </c>
      <c r="L36" s="98">
        <v>33.786441142389236</v>
      </c>
      <c r="M36" s="98">
        <v>34.318667959240841</v>
      </c>
      <c r="N36" s="98">
        <v>31.481986075152957</v>
      </c>
      <c r="O36" s="99">
        <v>30.672055994579029</v>
      </c>
    </row>
    <row r="37" spans="1:15" ht="15.75" customHeight="1" x14ac:dyDescent="0.3">
      <c r="A37" s="360"/>
      <c r="B37" s="406" t="s">
        <v>11</v>
      </c>
      <c r="C37" s="402">
        <v>36.874058841937405</v>
      </c>
      <c r="D37" s="403">
        <v>29.974827203668113</v>
      </c>
      <c r="E37" s="403">
        <v>45.04478757200085</v>
      </c>
      <c r="F37" s="403">
        <v>31.158999011657635</v>
      </c>
      <c r="G37" s="403">
        <v>42.242174725800687</v>
      </c>
      <c r="H37" s="403">
        <v>35.48102560883553</v>
      </c>
      <c r="I37" s="403">
        <v>39.574283394635927</v>
      </c>
      <c r="J37" s="403">
        <v>57.937909325887851</v>
      </c>
      <c r="K37" s="403">
        <v>30.77406391511952</v>
      </c>
      <c r="L37" s="403">
        <v>35.441333413862203</v>
      </c>
      <c r="M37" s="403">
        <v>34.846178521711337</v>
      </c>
      <c r="N37" s="403">
        <v>32.595379955226079</v>
      </c>
      <c r="O37" s="404">
        <v>31.995229789065068</v>
      </c>
    </row>
    <row r="38" spans="1:15" s="178" customFormat="1" ht="18.75" customHeight="1" x14ac:dyDescent="0.3">
      <c r="A38" s="291"/>
      <c r="B38" s="109" t="s">
        <v>84</v>
      </c>
      <c r="E38" s="59"/>
      <c r="F38" s="59"/>
      <c r="G38" s="59"/>
      <c r="H38" s="59"/>
      <c r="I38" s="59"/>
      <c r="J38" s="59"/>
      <c r="K38" s="59"/>
      <c r="L38" s="59"/>
      <c r="M38" s="59"/>
      <c r="N38" s="59"/>
      <c r="O38" s="60"/>
    </row>
    <row r="39" spans="1:15" s="180" customFormat="1" ht="14.25" customHeight="1" x14ac:dyDescent="0.3">
      <c r="A39" s="179"/>
      <c r="B39" s="178" t="s">
        <v>17</v>
      </c>
      <c r="C39" s="178"/>
      <c r="D39" s="178"/>
      <c r="E39" s="59"/>
      <c r="F39" s="59"/>
      <c r="G39" s="59"/>
      <c r="H39" s="59"/>
      <c r="I39" s="59"/>
      <c r="J39" s="59"/>
      <c r="K39" s="59"/>
      <c r="L39" s="59"/>
      <c r="M39" s="59"/>
      <c r="N39" s="59"/>
      <c r="O39" s="60"/>
    </row>
    <row r="40" spans="1:15" s="180" customFormat="1" ht="12" customHeight="1" x14ac:dyDescent="0.25">
      <c r="A40" s="179"/>
      <c r="B40" s="434" t="s">
        <v>88</v>
      </c>
      <c r="C40" s="434"/>
      <c r="D40" s="434"/>
      <c r="E40" s="434"/>
      <c r="F40" s="434"/>
      <c r="G40" s="434"/>
      <c r="H40" s="434"/>
      <c r="I40" s="434"/>
      <c r="J40" s="434"/>
      <c r="K40" s="434"/>
      <c r="L40" s="434"/>
      <c r="M40" s="434"/>
      <c r="N40" s="434"/>
      <c r="O40" s="190"/>
    </row>
    <row r="41" spans="1:15" s="180" customFormat="1" ht="12" customHeight="1" x14ac:dyDescent="0.25">
      <c r="A41" s="179"/>
      <c r="B41" s="434"/>
      <c r="C41" s="434"/>
      <c r="D41" s="434"/>
      <c r="E41" s="434"/>
      <c r="F41" s="434"/>
      <c r="G41" s="434"/>
      <c r="H41" s="434"/>
      <c r="I41" s="434"/>
      <c r="J41" s="434"/>
      <c r="K41" s="434"/>
      <c r="L41" s="434"/>
      <c r="M41" s="434"/>
      <c r="N41" s="434"/>
      <c r="O41" s="190"/>
    </row>
    <row r="42" spans="1:15" s="180" customFormat="1" ht="12" customHeight="1" x14ac:dyDescent="0.25">
      <c r="A42" s="179"/>
      <c r="B42" s="434"/>
      <c r="C42" s="434"/>
      <c r="D42" s="434"/>
      <c r="E42" s="434"/>
      <c r="F42" s="434"/>
      <c r="G42" s="434"/>
      <c r="H42" s="434"/>
      <c r="I42" s="434"/>
      <c r="J42" s="434"/>
      <c r="K42" s="434"/>
      <c r="L42" s="434"/>
      <c r="M42" s="434"/>
      <c r="N42" s="434"/>
      <c r="O42" s="190"/>
    </row>
    <row r="43" spans="1:15" s="182" customFormat="1" ht="12" customHeight="1" x14ac:dyDescent="0.3">
      <c r="A43" s="181"/>
      <c r="B43" s="434"/>
      <c r="C43" s="434"/>
      <c r="D43" s="434"/>
      <c r="E43" s="434"/>
      <c r="F43" s="434"/>
      <c r="G43" s="434"/>
      <c r="H43" s="434"/>
      <c r="I43" s="434"/>
      <c r="J43" s="434"/>
      <c r="K43" s="434"/>
      <c r="L43" s="434"/>
      <c r="M43" s="434"/>
      <c r="N43" s="434"/>
      <c r="O43" s="190"/>
    </row>
    <row r="44" spans="1:15" s="178" customFormat="1" ht="15" customHeight="1" x14ac:dyDescent="0.3">
      <c r="A44" s="183"/>
      <c r="B44" s="184" t="str">
        <f>'1.1 V.A Ing.real'!B45</f>
        <v>Actualizado el 15 de diciembre de 2021</v>
      </c>
      <c r="C44" s="184"/>
      <c r="D44" s="184"/>
      <c r="E44" s="61"/>
      <c r="F44" s="61"/>
      <c r="G44" s="61"/>
      <c r="H44" s="61"/>
      <c r="I44" s="61"/>
      <c r="J44" s="61"/>
      <c r="K44" s="61"/>
      <c r="L44" s="61"/>
      <c r="M44" s="61"/>
      <c r="N44" s="61"/>
      <c r="O44" s="62"/>
    </row>
  </sheetData>
  <mergeCells count="2">
    <mergeCell ref="B40:N43"/>
    <mergeCell ref="A7:J8"/>
  </mergeCells>
  <hyperlinks>
    <hyperlink ref="L2" location="Contenido!A1" display="Inicio"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CB56"/>
  <sheetViews>
    <sheetView showGridLines="0" zoomScale="80" zoomScaleNormal="80" zoomScaleSheetLayoutView="90" workbookViewId="0">
      <pane ySplit="15" topLeftCell="A16" activePane="bottomLeft" state="frozen"/>
      <selection pane="bottomLeft" activeCell="A7" sqref="A7:K8"/>
    </sheetView>
  </sheetViews>
  <sheetFormatPr baseColWidth="10" defaultColWidth="11.42578125" defaultRowHeight="16.5" x14ac:dyDescent="0.3"/>
  <cols>
    <col min="1" max="1" width="10.140625" style="100" customWidth="1"/>
    <col min="2" max="2" width="19.85546875" style="128" bestFit="1" customWidth="1"/>
    <col min="3" max="3" width="16.28515625" style="128" customWidth="1"/>
    <col min="4" max="4" width="13.7109375" style="128" customWidth="1"/>
    <col min="5" max="5" width="13.28515625" style="128" bestFit="1" customWidth="1"/>
    <col min="6" max="6" width="19.42578125" style="128" customWidth="1"/>
    <col min="7" max="7" width="13.85546875" style="128" customWidth="1"/>
    <col min="8" max="8" width="14" style="128" customWidth="1"/>
    <col min="9" max="9" width="16.42578125" style="128" customWidth="1"/>
    <col min="10" max="10" width="14.42578125" style="128" customWidth="1"/>
    <col min="11" max="11" width="12.140625" style="128" bestFit="1" customWidth="1"/>
    <col min="12" max="12" width="18.7109375" style="128" customWidth="1"/>
    <col min="13" max="13" width="13.42578125" style="128" customWidth="1"/>
    <col min="14" max="14" width="12.140625" style="128" bestFit="1" customWidth="1"/>
    <col min="15" max="15" width="16.140625" style="100" customWidth="1"/>
    <col min="16" max="16" width="14.42578125" style="100" customWidth="1"/>
    <col min="17" max="17" width="12.140625" style="100" bestFit="1" customWidth="1"/>
    <col min="18" max="18" width="19" style="100" customWidth="1"/>
    <col min="19" max="19" width="13.85546875" style="100" customWidth="1"/>
    <col min="20" max="20" width="12.140625" style="100" bestFit="1" customWidth="1"/>
    <col min="21" max="21" width="16.42578125" style="100" customWidth="1"/>
    <col min="22" max="23" width="14.7109375" style="100" customWidth="1"/>
    <col min="24" max="24" width="18.7109375" style="100" customWidth="1"/>
    <col min="25" max="26" width="14.7109375" style="100" customWidth="1"/>
    <col min="27" max="27" width="16.42578125" style="100" customWidth="1"/>
    <col min="28" max="29" width="14.7109375" style="100" customWidth="1"/>
    <col min="30" max="30" width="19.28515625" style="100" customWidth="1"/>
    <col min="31" max="32" width="14.7109375" style="100" customWidth="1"/>
    <col min="33" max="33" width="16.42578125" style="100" customWidth="1"/>
    <col min="34" max="35" width="14.7109375" style="100" customWidth="1"/>
    <col min="36" max="36" width="19" style="100" customWidth="1"/>
    <col min="37" max="38" width="14.7109375" style="100" customWidth="1"/>
    <col min="39" max="39" width="17" style="100" customWidth="1"/>
    <col min="40" max="41" width="14.7109375" style="100" customWidth="1"/>
    <col min="42" max="42" width="19" style="100" customWidth="1"/>
    <col min="43" max="44" width="14.7109375" style="100" customWidth="1"/>
    <col min="45" max="45" width="16.85546875" style="100" customWidth="1"/>
    <col min="46" max="47" width="14.7109375" style="100" customWidth="1"/>
    <col min="48" max="48" width="19.140625" style="100" customWidth="1"/>
    <col min="49" max="50" width="14.7109375" style="100" customWidth="1"/>
    <col min="51" max="51" width="16.7109375" style="100" customWidth="1"/>
    <col min="52" max="53" width="14.7109375" style="100" customWidth="1"/>
    <col min="54" max="54" width="20.140625" style="100" customWidth="1"/>
    <col min="55" max="56" width="14.7109375" style="100" customWidth="1"/>
    <col min="57" max="57" width="16.42578125" style="100" customWidth="1"/>
    <col min="58" max="58" width="14.7109375" style="100" customWidth="1"/>
    <col min="59" max="59" width="12.85546875" style="100" customWidth="1"/>
    <col min="60" max="60" width="19.7109375" style="100" customWidth="1"/>
    <col min="61" max="62" width="14.7109375" style="100" customWidth="1"/>
    <col min="63" max="63" width="16.42578125" style="100" customWidth="1"/>
    <col min="64" max="64" width="13.42578125" style="100" customWidth="1"/>
    <col min="65" max="65" width="14.7109375" style="100" customWidth="1"/>
    <col min="66" max="66" width="19.42578125" style="100" customWidth="1"/>
    <col min="67" max="68" width="14.7109375" style="100" customWidth="1"/>
    <col min="69" max="69" width="16.140625" style="100" customWidth="1"/>
    <col min="70" max="71" width="14.7109375" style="100" customWidth="1"/>
    <col min="72" max="72" width="19.7109375" style="100" customWidth="1"/>
    <col min="73" max="74" width="14.7109375" style="100" customWidth="1"/>
    <col min="75" max="75" width="17" style="100" customWidth="1"/>
    <col min="76" max="77" width="14.7109375" style="100" customWidth="1"/>
    <col min="78" max="78" width="19.28515625" style="100" customWidth="1"/>
    <col min="79" max="79" width="13.28515625" style="100" customWidth="1"/>
    <col min="80" max="80" width="12.140625" style="100" bestFit="1" customWidth="1"/>
    <col min="81" max="16384" width="11.42578125" style="100"/>
  </cols>
  <sheetData>
    <row r="1" spans="1:80" s="83" customFormat="1" ht="12" customHeight="1" x14ac:dyDescent="0.3">
      <c r="A1" s="80"/>
      <c r="B1" s="81"/>
      <c r="C1" s="81"/>
      <c r="D1" s="81"/>
      <c r="E1" s="81"/>
      <c r="F1" s="81"/>
      <c r="G1" s="81"/>
      <c r="H1" s="81"/>
      <c r="I1" s="81"/>
      <c r="J1" s="81"/>
      <c r="K1" s="81"/>
      <c r="L1" s="81"/>
      <c r="M1" s="81"/>
      <c r="N1" s="81"/>
      <c r="O1" s="81"/>
      <c r="P1" s="81"/>
      <c r="Q1" s="81"/>
      <c r="R1" s="81"/>
      <c r="S1" s="81"/>
      <c r="T1" s="85"/>
    </row>
    <row r="2" spans="1:80" s="87" customFormat="1" x14ac:dyDescent="0.3">
      <c r="A2" s="84"/>
      <c r="B2" s="85"/>
      <c r="C2" s="85"/>
      <c r="D2" s="85"/>
      <c r="E2" s="85"/>
      <c r="F2" s="85"/>
      <c r="G2" s="85"/>
      <c r="H2" s="85"/>
      <c r="I2" s="85"/>
      <c r="J2" s="85"/>
      <c r="K2" s="85"/>
      <c r="L2" s="85"/>
      <c r="M2" s="85"/>
      <c r="N2" s="85"/>
      <c r="O2" s="85"/>
      <c r="P2" s="85"/>
      <c r="Q2" s="85"/>
      <c r="R2" s="85"/>
      <c r="S2" s="85"/>
      <c r="T2" s="85"/>
    </row>
    <row r="3" spans="1:80" s="87" customFormat="1" x14ac:dyDescent="0.3">
      <c r="A3" s="84"/>
      <c r="B3" s="85"/>
      <c r="C3" s="85"/>
      <c r="D3" s="85"/>
      <c r="E3" s="85"/>
      <c r="F3" s="85"/>
      <c r="G3" s="85"/>
      <c r="H3" s="85"/>
      <c r="I3" s="85"/>
      <c r="J3" s="85"/>
      <c r="K3" s="85"/>
      <c r="L3" s="88" t="s">
        <v>0</v>
      </c>
      <c r="M3" s="85"/>
      <c r="N3" s="85"/>
      <c r="O3" s="85"/>
      <c r="P3" s="85"/>
      <c r="Q3" s="85"/>
      <c r="R3" s="85"/>
      <c r="S3" s="85"/>
      <c r="T3" s="85"/>
    </row>
    <row r="4" spans="1:80" s="87" customFormat="1" x14ac:dyDescent="0.3">
      <c r="A4" s="84"/>
      <c r="B4" s="85"/>
      <c r="C4" s="85"/>
      <c r="D4" s="85"/>
      <c r="E4" s="85"/>
      <c r="F4" s="85"/>
      <c r="G4" s="85"/>
      <c r="H4" s="85"/>
      <c r="I4" s="85"/>
      <c r="J4" s="85"/>
      <c r="K4" s="85"/>
      <c r="M4" s="85"/>
      <c r="N4" s="85"/>
      <c r="O4" s="85"/>
      <c r="P4" s="85"/>
      <c r="Q4" s="85"/>
      <c r="R4" s="85"/>
      <c r="S4" s="85"/>
      <c r="T4" s="85"/>
    </row>
    <row r="5" spans="1:80" s="87" customFormat="1" x14ac:dyDescent="0.3">
      <c r="A5" s="84"/>
      <c r="B5" s="85"/>
      <c r="C5" s="85"/>
      <c r="D5" s="85"/>
      <c r="E5" s="85"/>
      <c r="F5" s="85"/>
      <c r="G5" s="85"/>
      <c r="H5" s="85"/>
      <c r="I5" s="85"/>
      <c r="J5" s="85"/>
      <c r="K5" s="85"/>
      <c r="L5" s="85"/>
      <c r="M5" s="85"/>
      <c r="N5" s="85"/>
      <c r="O5" s="85"/>
      <c r="P5" s="85"/>
      <c r="Q5" s="85"/>
      <c r="R5" s="85"/>
      <c r="S5" s="85"/>
      <c r="T5" s="85"/>
    </row>
    <row r="6" spans="1:80" s="87" customFormat="1" x14ac:dyDescent="0.3">
      <c r="A6" s="84"/>
      <c r="B6" s="85"/>
      <c r="C6" s="85"/>
      <c r="D6" s="85"/>
      <c r="E6" s="85"/>
      <c r="F6" s="85"/>
      <c r="G6" s="85"/>
      <c r="H6" s="85"/>
      <c r="I6" s="85"/>
      <c r="J6" s="85"/>
      <c r="K6" s="85"/>
      <c r="L6" s="85"/>
      <c r="M6" s="85"/>
      <c r="N6" s="85"/>
      <c r="O6" s="85"/>
      <c r="P6" s="85"/>
      <c r="Q6" s="85"/>
      <c r="R6" s="85"/>
      <c r="S6" s="85"/>
      <c r="T6" s="85"/>
    </row>
    <row r="7" spans="1:80" s="87" customFormat="1" ht="15" customHeight="1" x14ac:dyDescent="0.3">
      <c r="A7" s="421" t="s">
        <v>4</v>
      </c>
      <c r="B7" s="421"/>
      <c r="C7" s="421"/>
      <c r="D7" s="421"/>
      <c r="E7" s="421"/>
      <c r="F7" s="421"/>
      <c r="G7" s="421"/>
      <c r="H7" s="421"/>
      <c r="I7" s="421"/>
      <c r="J7" s="421"/>
      <c r="K7" s="421"/>
      <c r="L7" s="197"/>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row>
    <row r="8" spans="1:80" s="87" customFormat="1" ht="15" customHeight="1" x14ac:dyDescent="0.3">
      <c r="A8" s="421"/>
      <c r="B8" s="421"/>
      <c r="C8" s="421"/>
      <c r="D8" s="421"/>
      <c r="E8" s="421"/>
      <c r="F8" s="421"/>
      <c r="G8" s="421"/>
      <c r="H8" s="421"/>
      <c r="I8" s="421"/>
      <c r="J8" s="421"/>
      <c r="K8" s="421"/>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row>
    <row r="9" spans="1:80" s="89" customFormat="1" ht="13.5" customHeight="1" x14ac:dyDescent="0.3">
      <c r="A9" s="215"/>
      <c r="B9" s="216"/>
      <c r="C9" s="216"/>
      <c r="D9" s="216"/>
      <c r="E9" s="216"/>
      <c r="F9" s="216"/>
      <c r="G9" s="216"/>
      <c r="H9" s="216"/>
      <c r="I9" s="216"/>
      <c r="J9" s="216"/>
      <c r="K9" s="216"/>
      <c r="L9" s="129"/>
      <c r="M9" s="129"/>
      <c r="N9" s="129"/>
      <c r="O9" s="129"/>
      <c r="P9" s="129"/>
      <c r="Q9" s="129"/>
      <c r="R9" s="129"/>
      <c r="S9" s="129"/>
      <c r="T9" s="129"/>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c r="BZ9" s="130"/>
      <c r="CA9" s="130"/>
      <c r="CB9" s="130"/>
    </row>
    <row r="10" spans="1:80" s="83" customFormat="1" ht="13.5" customHeight="1" x14ac:dyDescent="0.3">
      <c r="A10" s="90" t="s">
        <v>142</v>
      </c>
      <c r="B10" s="164"/>
      <c r="C10" s="164"/>
      <c r="D10" s="164"/>
      <c r="E10" s="164"/>
      <c r="F10" s="164"/>
      <c r="G10" s="164"/>
      <c r="H10" s="164"/>
      <c r="I10" s="164"/>
      <c r="J10" s="164"/>
      <c r="K10" s="164"/>
      <c r="L10" s="137"/>
      <c r="M10" s="137"/>
      <c r="N10" s="137"/>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row>
    <row r="11" spans="1:80" s="83" customFormat="1" ht="13.5" customHeight="1" x14ac:dyDescent="0.3">
      <c r="A11" s="90" t="s">
        <v>77</v>
      </c>
      <c r="B11" s="164"/>
      <c r="C11" s="164"/>
      <c r="D11" s="164"/>
      <c r="E11" s="164"/>
      <c r="F11" s="164"/>
      <c r="G11" s="164"/>
      <c r="H11" s="164"/>
      <c r="I11" s="164"/>
      <c r="J11" s="164"/>
      <c r="K11" s="164"/>
      <c r="L11" s="137"/>
      <c r="M11" s="137"/>
      <c r="N11" s="137"/>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row>
    <row r="12" spans="1:80" s="83" customFormat="1" ht="13.5" customHeight="1" x14ac:dyDescent="0.3">
      <c r="A12" s="90" t="s">
        <v>174</v>
      </c>
      <c r="B12" s="223"/>
      <c r="C12" s="223"/>
      <c r="D12" s="223"/>
      <c r="E12" s="223"/>
      <c r="F12" s="223"/>
      <c r="G12" s="223"/>
      <c r="H12" s="223"/>
      <c r="I12" s="223"/>
      <c r="J12" s="223"/>
      <c r="K12" s="223"/>
      <c r="L12" s="225"/>
      <c r="M12" s="225"/>
      <c r="N12" s="225"/>
      <c r="O12" s="225"/>
      <c r="P12" s="225"/>
      <c r="Q12" s="225"/>
      <c r="R12" s="225"/>
      <c r="S12" s="225"/>
      <c r="T12" s="225"/>
      <c r="U12" s="225"/>
      <c r="V12" s="225"/>
      <c r="W12" s="225"/>
      <c r="X12" s="225"/>
      <c r="Y12" s="225"/>
      <c r="Z12" s="225"/>
      <c r="AA12" s="225"/>
      <c r="AB12" s="225"/>
      <c r="AC12" s="225"/>
      <c r="AD12" s="225"/>
      <c r="AE12" s="225"/>
      <c r="AF12" s="225"/>
      <c r="AG12" s="225"/>
      <c r="AH12" s="225"/>
      <c r="AI12" s="225"/>
      <c r="AJ12" s="225"/>
      <c r="AK12" s="225"/>
      <c r="AL12" s="225"/>
      <c r="AM12" s="225"/>
      <c r="AN12" s="225"/>
      <c r="AO12" s="225"/>
      <c r="AP12" s="225"/>
      <c r="AQ12" s="225"/>
      <c r="AR12" s="225"/>
      <c r="AS12" s="225"/>
      <c r="AT12" s="225"/>
      <c r="AU12" s="225"/>
      <c r="AV12" s="225"/>
      <c r="AW12" s="225"/>
      <c r="AX12" s="225"/>
      <c r="AY12" s="225"/>
      <c r="AZ12" s="225"/>
      <c r="BA12" s="225"/>
      <c r="BB12" s="225"/>
      <c r="BC12" s="225"/>
      <c r="BD12" s="225"/>
      <c r="BE12" s="225"/>
      <c r="BF12" s="225"/>
      <c r="BG12" s="225"/>
      <c r="BH12" s="225"/>
      <c r="BI12" s="225"/>
      <c r="BJ12" s="225"/>
      <c r="BK12" s="225"/>
      <c r="BL12" s="225"/>
      <c r="BM12" s="225"/>
      <c r="BN12" s="225"/>
      <c r="BO12" s="225"/>
      <c r="BP12" s="225"/>
      <c r="BQ12" s="225"/>
      <c r="BR12" s="225"/>
      <c r="BS12" s="225"/>
      <c r="BT12" s="225"/>
      <c r="BU12" s="225"/>
      <c r="BV12" s="225"/>
      <c r="BW12" s="225"/>
      <c r="BX12" s="225"/>
      <c r="BY12" s="225"/>
      <c r="BZ12" s="225"/>
      <c r="CA12" s="225"/>
      <c r="CB12" s="225"/>
    </row>
    <row r="13" spans="1:80" s="83" customFormat="1" ht="13.5" customHeight="1" x14ac:dyDescent="0.3">
      <c r="A13" s="218"/>
      <c r="B13" s="219"/>
      <c r="C13" s="219"/>
      <c r="D13" s="219"/>
      <c r="E13" s="219"/>
      <c r="F13" s="219"/>
      <c r="G13" s="219"/>
      <c r="H13" s="219"/>
      <c r="I13" s="220"/>
      <c r="J13" s="220"/>
      <c r="K13" s="220"/>
      <c r="L13" s="242"/>
      <c r="M13" s="242"/>
      <c r="N13" s="242"/>
      <c r="O13" s="93"/>
      <c r="P13" s="93"/>
      <c r="Q13" s="93"/>
      <c r="R13" s="93"/>
      <c r="S13" s="93"/>
      <c r="T13" s="93"/>
    </row>
    <row r="14" spans="1:80" s="95" customFormat="1" ht="20.25" customHeight="1" x14ac:dyDescent="0.3">
      <c r="A14" s="427" t="s">
        <v>25</v>
      </c>
      <c r="B14" s="429" t="s">
        <v>26</v>
      </c>
      <c r="C14" s="425" t="s">
        <v>24</v>
      </c>
      <c r="D14" s="425"/>
      <c r="E14" s="425"/>
      <c r="F14" s="425"/>
      <c r="G14" s="425"/>
      <c r="H14" s="425"/>
      <c r="I14" s="425" t="s">
        <v>5</v>
      </c>
      <c r="J14" s="425"/>
      <c r="K14" s="425"/>
      <c r="L14" s="425"/>
      <c r="M14" s="425"/>
      <c r="N14" s="425"/>
      <c r="O14" s="425" t="s">
        <v>6</v>
      </c>
      <c r="P14" s="425"/>
      <c r="Q14" s="425"/>
      <c r="R14" s="425"/>
      <c r="S14" s="425"/>
      <c r="T14" s="425"/>
      <c r="U14" s="425" t="s">
        <v>20</v>
      </c>
      <c r="V14" s="425"/>
      <c r="W14" s="425"/>
      <c r="X14" s="425"/>
      <c r="Y14" s="425"/>
      <c r="Z14" s="425"/>
      <c r="AA14" s="425" t="s">
        <v>21</v>
      </c>
      <c r="AB14" s="425"/>
      <c r="AC14" s="425"/>
      <c r="AD14" s="425"/>
      <c r="AE14" s="425"/>
      <c r="AF14" s="425"/>
      <c r="AG14" s="425" t="s">
        <v>22</v>
      </c>
      <c r="AH14" s="425"/>
      <c r="AI14" s="425"/>
      <c r="AJ14" s="425"/>
      <c r="AK14" s="425"/>
      <c r="AL14" s="425"/>
      <c r="AM14" s="425" t="s">
        <v>3</v>
      </c>
      <c r="AN14" s="425"/>
      <c r="AO14" s="425"/>
      <c r="AP14" s="425"/>
      <c r="AQ14" s="425"/>
      <c r="AR14" s="425"/>
      <c r="AS14" s="425" t="s">
        <v>7</v>
      </c>
      <c r="AT14" s="425"/>
      <c r="AU14" s="425"/>
      <c r="AV14" s="425"/>
      <c r="AW14" s="425"/>
      <c r="AX14" s="425"/>
      <c r="AY14" s="425" t="s">
        <v>41</v>
      </c>
      <c r="AZ14" s="425"/>
      <c r="BA14" s="425"/>
      <c r="BB14" s="425"/>
      <c r="BC14" s="425"/>
      <c r="BD14" s="425"/>
      <c r="BE14" s="425" t="s">
        <v>38</v>
      </c>
      <c r="BF14" s="425"/>
      <c r="BG14" s="425"/>
      <c r="BH14" s="425"/>
      <c r="BI14" s="425"/>
      <c r="BJ14" s="425"/>
      <c r="BK14" s="425" t="s">
        <v>42</v>
      </c>
      <c r="BL14" s="425"/>
      <c r="BM14" s="425"/>
      <c r="BN14" s="425"/>
      <c r="BO14" s="425"/>
      <c r="BP14" s="425"/>
      <c r="BQ14" s="425" t="s">
        <v>23</v>
      </c>
      <c r="BR14" s="425"/>
      <c r="BS14" s="425"/>
      <c r="BT14" s="425"/>
      <c r="BU14" s="425"/>
      <c r="BV14" s="425"/>
      <c r="BW14" s="425" t="s">
        <v>40</v>
      </c>
      <c r="BX14" s="425"/>
      <c r="BY14" s="425"/>
      <c r="BZ14" s="425"/>
      <c r="CA14" s="425"/>
      <c r="CB14" s="426"/>
    </row>
    <row r="15" spans="1:80" s="95" customFormat="1" ht="47.25" customHeight="1" x14ac:dyDescent="0.3">
      <c r="A15" s="428"/>
      <c r="B15" s="430"/>
      <c r="C15" s="298" t="s">
        <v>34</v>
      </c>
      <c r="D15" s="298" t="s">
        <v>1</v>
      </c>
      <c r="E15" s="298" t="s">
        <v>35</v>
      </c>
      <c r="F15" s="298" t="s">
        <v>36</v>
      </c>
      <c r="G15" s="298" t="s">
        <v>119</v>
      </c>
      <c r="H15" s="298" t="s">
        <v>2</v>
      </c>
      <c r="I15" s="298" t="s">
        <v>34</v>
      </c>
      <c r="J15" s="298" t="s">
        <v>1</v>
      </c>
      <c r="K15" s="298" t="s">
        <v>35</v>
      </c>
      <c r="L15" s="298" t="s">
        <v>36</v>
      </c>
      <c r="M15" s="298" t="s">
        <v>119</v>
      </c>
      <c r="N15" s="298" t="s">
        <v>2</v>
      </c>
      <c r="O15" s="298" t="s">
        <v>34</v>
      </c>
      <c r="P15" s="298" t="s">
        <v>1</v>
      </c>
      <c r="Q15" s="298" t="s">
        <v>35</v>
      </c>
      <c r="R15" s="298" t="s">
        <v>36</v>
      </c>
      <c r="S15" s="298" t="s">
        <v>119</v>
      </c>
      <c r="T15" s="298" t="s">
        <v>2</v>
      </c>
      <c r="U15" s="298" t="s">
        <v>34</v>
      </c>
      <c r="V15" s="298" t="s">
        <v>1</v>
      </c>
      <c r="W15" s="298" t="s">
        <v>35</v>
      </c>
      <c r="X15" s="298" t="s">
        <v>36</v>
      </c>
      <c r="Y15" s="298" t="s">
        <v>119</v>
      </c>
      <c r="Z15" s="298" t="s">
        <v>2</v>
      </c>
      <c r="AA15" s="298" t="s">
        <v>34</v>
      </c>
      <c r="AB15" s="298" t="s">
        <v>1</v>
      </c>
      <c r="AC15" s="298" t="s">
        <v>35</v>
      </c>
      <c r="AD15" s="298" t="s">
        <v>36</v>
      </c>
      <c r="AE15" s="298" t="s">
        <v>119</v>
      </c>
      <c r="AF15" s="298" t="s">
        <v>2</v>
      </c>
      <c r="AG15" s="298" t="s">
        <v>34</v>
      </c>
      <c r="AH15" s="298" t="s">
        <v>1</v>
      </c>
      <c r="AI15" s="298" t="s">
        <v>35</v>
      </c>
      <c r="AJ15" s="298" t="s">
        <v>36</v>
      </c>
      <c r="AK15" s="298" t="s">
        <v>119</v>
      </c>
      <c r="AL15" s="298" t="s">
        <v>2</v>
      </c>
      <c r="AM15" s="298" t="s">
        <v>34</v>
      </c>
      <c r="AN15" s="298" t="s">
        <v>1</v>
      </c>
      <c r="AO15" s="298" t="s">
        <v>35</v>
      </c>
      <c r="AP15" s="298" t="s">
        <v>36</v>
      </c>
      <c r="AQ15" s="298" t="s">
        <v>119</v>
      </c>
      <c r="AR15" s="298" t="s">
        <v>2</v>
      </c>
      <c r="AS15" s="298" t="s">
        <v>34</v>
      </c>
      <c r="AT15" s="298" t="s">
        <v>1</v>
      </c>
      <c r="AU15" s="298" t="s">
        <v>35</v>
      </c>
      <c r="AV15" s="298" t="s">
        <v>36</v>
      </c>
      <c r="AW15" s="298" t="s">
        <v>119</v>
      </c>
      <c r="AX15" s="298" t="s">
        <v>2</v>
      </c>
      <c r="AY15" s="298" t="s">
        <v>34</v>
      </c>
      <c r="AZ15" s="298" t="s">
        <v>1</v>
      </c>
      <c r="BA15" s="298" t="s">
        <v>35</v>
      </c>
      <c r="BB15" s="298" t="s">
        <v>36</v>
      </c>
      <c r="BC15" s="298" t="s">
        <v>119</v>
      </c>
      <c r="BD15" s="298" t="s">
        <v>2</v>
      </c>
      <c r="BE15" s="298" t="s">
        <v>34</v>
      </c>
      <c r="BF15" s="298" t="s">
        <v>1</v>
      </c>
      <c r="BG15" s="298" t="s">
        <v>35</v>
      </c>
      <c r="BH15" s="298" t="s">
        <v>36</v>
      </c>
      <c r="BI15" s="298" t="s">
        <v>119</v>
      </c>
      <c r="BJ15" s="298" t="s">
        <v>2</v>
      </c>
      <c r="BK15" s="298" t="s">
        <v>34</v>
      </c>
      <c r="BL15" s="298" t="s">
        <v>1</v>
      </c>
      <c r="BM15" s="298" t="s">
        <v>35</v>
      </c>
      <c r="BN15" s="298" t="s">
        <v>36</v>
      </c>
      <c r="BO15" s="298" t="s">
        <v>119</v>
      </c>
      <c r="BP15" s="298" t="s">
        <v>2</v>
      </c>
      <c r="BQ15" s="298" t="s">
        <v>34</v>
      </c>
      <c r="BR15" s="298" t="s">
        <v>1</v>
      </c>
      <c r="BS15" s="298" t="s">
        <v>35</v>
      </c>
      <c r="BT15" s="298" t="s">
        <v>36</v>
      </c>
      <c r="BU15" s="298" t="s">
        <v>119</v>
      </c>
      <c r="BV15" s="298" t="s">
        <v>2</v>
      </c>
      <c r="BW15" s="298" t="s">
        <v>34</v>
      </c>
      <c r="BX15" s="298" t="s">
        <v>1</v>
      </c>
      <c r="BY15" s="298" t="s">
        <v>35</v>
      </c>
      <c r="BZ15" s="298" t="s">
        <v>36</v>
      </c>
      <c r="CA15" s="298" t="s">
        <v>119</v>
      </c>
      <c r="CB15" s="299" t="s">
        <v>2</v>
      </c>
    </row>
    <row r="16" spans="1:80" ht="15.75" customHeight="1" x14ac:dyDescent="0.3">
      <c r="A16" s="292" t="s">
        <v>51</v>
      </c>
      <c r="B16" s="313" t="s">
        <v>47</v>
      </c>
      <c r="C16" s="271">
        <v>59.351586756579955</v>
      </c>
      <c r="D16" s="285">
        <v>31.651938824239974</v>
      </c>
      <c r="E16" s="285">
        <v>2.1107109255577172</v>
      </c>
      <c r="F16" s="285">
        <v>3.8053310195690604</v>
      </c>
      <c r="G16" s="285">
        <v>0.54023395646000849</v>
      </c>
      <c r="H16" s="300">
        <v>2.5401985175932653</v>
      </c>
      <c r="I16" s="271">
        <v>22.930370991304365</v>
      </c>
      <c r="J16" s="285">
        <v>59.113074536851784</v>
      </c>
      <c r="K16" s="285">
        <v>3.5527492705284152</v>
      </c>
      <c r="L16" s="285">
        <v>5.6307111848387574</v>
      </c>
      <c r="M16" s="285">
        <v>1.8776881608633191</v>
      </c>
      <c r="N16" s="300">
        <v>6.8954058556134168</v>
      </c>
      <c r="O16" s="271">
        <v>72.491639146198978</v>
      </c>
      <c r="P16" s="285">
        <v>19.342518078955443</v>
      </c>
      <c r="Q16" s="285">
        <v>0.32908110673728391</v>
      </c>
      <c r="R16" s="285">
        <v>7.3531602828341089</v>
      </c>
      <c r="S16" s="285">
        <v>4.9433969541770578E-3</v>
      </c>
      <c r="T16" s="300">
        <v>0.47865798832005102</v>
      </c>
      <c r="U16" s="271">
        <v>77.89712392469032</v>
      </c>
      <c r="V16" s="285">
        <v>17.042770413433882</v>
      </c>
      <c r="W16" s="285">
        <v>1.1805062215176716</v>
      </c>
      <c r="X16" s="285">
        <v>2.1542722328904378</v>
      </c>
      <c r="Y16" s="285">
        <v>0.26314646547685877</v>
      </c>
      <c r="Z16" s="300">
        <v>1.4621807419908233</v>
      </c>
      <c r="AA16" s="271">
        <v>69.118496568843398</v>
      </c>
      <c r="AB16" s="285">
        <v>25.437720836608978</v>
      </c>
      <c r="AC16" s="285">
        <v>1.3598423654966461</v>
      </c>
      <c r="AD16" s="285">
        <v>1.3662280891207998</v>
      </c>
      <c r="AE16" s="285">
        <v>0.22298918098594991</v>
      </c>
      <c r="AF16" s="300">
        <v>2.4947229589441879</v>
      </c>
      <c r="AG16" s="271">
        <v>74.527485614576293</v>
      </c>
      <c r="AH16" s="285">
        <v>19.478441367610159</v>
      </c>
      <c r="AI16" s="285">
        <v>1.9213020795787714</v>
      </c>
      <c r="AJ16" s="285">
        <v>2.6771354960267888</v>
      </c>
      <c r="AK16" s="285">
        <v>6.294332631878316E-2</v>
      </c>
      <c r="AL16" s="300">
        <v>1.3326921158891905</v>
      </c>
      <c r="AM16" s="271">
        <v>50.748693941964675</v>
      </c>
      <c r="AN16" s="285">
        <v>39.059939047675648</v>
      </c>
      <c r="AO16" s="285">
        <v>3.6122003038768185</v>
      </c>
      <c r="AP16" s="285">
        <v>4.4399160215566367</v>
      </c>
      <c r="AQ16" s="285">
        <v>0.67025613637578219</v>
      </c>
      <c r="AR16" s="300">
        <v>1.4689945485503912</v>
      </c>
      <c r="AS16" s="271">
        <v>98.670451900299867</v>
      </c>
      <c r="AT16" s="285">
        <v>0.66738577991584636</v>
      </c>
      <c r="AU16" s="285">
        <v>0</v>
      </c>
      <c r="AV16" s="285">
        <v>5.3755997470425317E-2</v>
      </c>
      <c r="AW16" s="285">
        <v>0</v>
      </c>
      <c r="AX16" s="300">
        <v>0.60840632231386094</v>
      </c>
      <c r="AY16" s="271">
        <v>42.431444643634038</v>
      </c>
      <c r="AZ16" s="285">
        <v>43.659846257238975</v>
      </c>
      <c r="BA16" s="285">
        <v>5.6980212517795863</v>
      </c>
      <c r="BB16" s="285">
        <v>3.4771137936813452</v>
      </c>
      <c r="BC16" s="285">
        <v>9.6829838487152264E-2</v>
      </c>
      <c r="BD16" s="300">
        <v>4.6367442151789247</v>
      </c>
      <c r="BE16" s="271">
        <v>38.09231830005205</v>
      </c>
      <c r="BF16" s="285">
        <v>51.319390970487909</v>
      </c>
      <c r="BG16" s="285">
        <v>2.8530290134196665</v>
      </c>
      <c r="BH16" s="285">
        <v>2.616056959182711</v>
      </c>
      <c r="BI16" s="285">
        <v>1.7021667464923891</v>
      </c>
      <c r="BJ16" s="300">
        <v>3.4170380103652143</v>
      </c>
      <c r="BK16" s="271">
        <v>57.96845675103679</v>
      </c>
      <c r="BL16" s="285">
        <v>38.067744254102998</v>
      </c>
      <c r="BM16" s="285">
        <v>0.75414006925310473</v>
      </c>
      <c r="BN16" s="285">
        <v>2.5258986075220058</v>
      </c>
      <c r="BO16" s="285">
        <v>6.7313561400806618E-2</v>
      </c>
      <c r="BP16" s="300">
        <v>0.61644675668429372</v>
      </c>
      <c r="BQ16" s="271">
        <v>61.119958406137485</v>
      </c>
      <c r="BR16" s="285">
        <v>34.980021650240467</v>
      </c>
      <c r="BS16" s="285">
        <v>0.54919377163659744</v>
      </c>
      <c r="BT16" s="285">
        <v>0.50037654749112215</v>
      </c>
      <c r="BU16" s="285">
        <v>0</v>
      </c>
      <c r="BV16" s="300">
        <v>2.8504496244943405</v>
      </c>
      <c r="BW16" s="271">
        <v>80.425021878923943</v>
      </c>
      <c r="BX16" s="285">
        <v>11.211521631596971</v>
      </c>
      <c r="BY16" s="285">
        <v>4.2521213043643691</v>
      </c>
      <c r="BZ16" s="285">
        <v>0.31962254099920095</v>
      </c>
      <c r="CA16" s="285">
        <v>0.47562878124881092</v>
      </c>
      <c r="CB16" s="300">
        <v>3.3160838628667095</v>
      </c>
    </row>
    <row r="17" spans="1:80" ht="15.75" customHeight="1" x14ac:dyDescent="0.3">
      <c r="A17" s="152"/>
      <c r="B17" s="86" t="s">
        <v>48</v>
      </c>
      <c r="C17" s="103">
        <v>48.562554102659789</v>
      </c>
      <c r="D17" s="105">
        <v>40.747056773616677</v>
      </c>
      <c r="E17" s="105">
        <v>2.5573874326932882</v>
      </c>
      <c r="F17" s="105">
        <v>5.0965628541229888</v>
      </c>
      <c r="G17" s="105">
        <v>0.58154887006014</v>
      </c>
      <c r="H17" s="106">
        <v>2.4548899668470994</v>
      </c>
      <c r="I17" s="103">
        <v>19.343095128736326</v>
      </c>
      <c r="J17" s="105">
        <v>62.456438091299994</v>
      </c>
      <c r="K17" s="105">
        <v>3.4228015886972654</v>
      </c>
      <c r="L17" s="105">
        <v>6.4574820862007138</v>
      </c>
      <c r="M17" s="105">
        <v>2.0313173322373674</v>
      </c>
      <c r="N17" s="106">
        <v>6.2888657728283652</v>
      </c>
      <c r="O17" s="103">
        <v>65.571268658342987</v>
      </c>
      <c r="P17" s="105">
        <v>24.490200977352348</v>
      </c>
      <c r="Q17" s="105">
        <v>0.96711064350599751</v>
      </c>
      <c r="R17" s="105">
        <v>7.4958690495129501</v>
      </c>
      <c r="S17" s="105">
        <v>0</v>
      </c>
      <c r="T17" s="106">
        <v>1.475550671285691</v>
      </c>
      <c r="U17" s="103">
        <v>59.597050130594894</v>
      </c>
      <c r="V17" s="105">
        <v>31.48520193707909</v>
      </c>
      <c r="W17" s="105">
        <v>0.6572205774440778</v>
      </c>
      <c r="X17" s="105">
        <v>6.8325700342587208</v>
      </c>
      <c r="Y17" s="105">
        <v>3.5245543746311142E-2</v>
      </c>
      <c r="Z17" s="106">
        <v>1.3927117768769477</v>
      </c>
      <c r="AA17" s="103">
        <v>61.043210401888551</v>
      </c>
      <c r="AB17" s="105">
        <v>34.374510331423863</v>
      </c>
      <c r="AC17" s="105">
        <v>0.98348773303464387</v>
      </c>
      <c r="AD17" s="105">
        <v>2.3831187882893454</v>
      </c>
      <c r="AE17" s="105">
        <v>0.12876320117922188</v>
      </c>
      <c r="AF17" s="106">
        <v>1.0869095441843604</v>
      </c>
      <c r="AG17" s="103">
        <v>63.300642667045338</v>
      </c>
      <c r="AH17" s="105">
        <v>28.685609235838484</v>
      </c>
      <c r="AI17" s="105">
        <v>3.6690806761669603</v>
      </c>
      <c r="AJ17" s="105">
        <v>2.9841493784803488</v>
      </c>
      <c r="AK17" s="105">
        <v>0</v>
      </c>
      <c r="AL17" s="106">
        <v>1.3605180424688548</v>
      </c>
      <c r="AM17" s="103">
        <v>41.149643246631129</v>
      </c>
      <c r="AN17" s="105">
        <v>43.736755145393332</v>
      </c>
      <c r="AO17" s="105">
        <v>6.1805634932519089</v>
      </c>
      <c r="AP17" s="105">
        <v>6.0278470408132936</v>
      </c>
      <c r="AQ17" s="105">
        <v>0.58693980757518571</v>
      </c>
      <c r="AR17" s="106">
        <v>2.3182512663352015</v>
      </c>
      <c r="AS17" s="103">
        <v>98.549213680123131</v>
      </c>
      <c r="AT17" s="105">
        <v>1.3382849433536479</v>
      </c>
      <c r="AU17" s="105">
        <v>0</v>
      </c>
      <c r="AV17" s="105">
        <v>7.3045655194625164E-2</v>
      </c>
      <c r="AW17" s="105">
        <v>0</v>
      </c>
      <c r="AX17" s="106">
        <v>3.9455721328611928E-2</v>
      </c>
      <c r="AY17" s="103">
        <v>31.793214498009803</v>
      </c>
      <c r="AZ17" s="105">
        <v>57.434669415580018</v>
      </c>
      <c r="BA17" s="105">
        <v>3.9820054025176641</v>
      </c>
      <c r="BB17" s="105">
        <v>5.4804422088622369</v>
      </c>
      <c r="BC17" s="105">
        <v>8.2345129081045312E-2</v>
      </c>
      <c r="BD17" s="106">
        <v>1.2273233459492405</v>
      </c>
      <c r="BE17" s="103">
        <v>26.38447924034098</v>
      </c>
      <c r="BF17" s="105">
        <v>62.997824034436469</v>
      </c>
      <c r="BG17" s="105">
        <v>4.1389369240713219</v>
      </c>
      <c r="BH17" s="105">
        <v>2.8225285193620331</v>
      </c>
      <c r="BI17" s="105">
        <v>1.0232114273724962</v>
      </c>
      <c r="BJ17" s="106">
        <v>2.6330198544167365</v>
      </c>
      <c r="BK17" s="103">
        <v>36.910398321340963</v>
      </c>
      <c r="BL17" s="105">
        <v>58.689163424101899</v>
      </c>
      <c r="BM17" s="105">
        <v>0.92530734169332174</v>
      </c>
      <c r="BN17" s="105">
        <v>2.8426129359453549</v>
      </c>
      <c r="BO17" s="105">
        <v>0.10282483643879829</v>
      </c>
      <c r="BP17" s="106">
        <v>0.52969314047964011</v>
      </c>
      <c r="BQ17" s="103">
        <v>42.652075579370511</v>
      </c>
      <c r="BR17" s="105">
        <v>53.627281081239843</v>
      </c>
      <c r="BS17" s="105">
        <v>1.2259478542066164</v>
      </c>
      <c r="BT17" s="105">
        <v>1.4999503466642048</v>
      </c>
      <c r="BU17" s="105">
        <v>0</v>
      </c>
      <c r="BV17" s="106">
        <v>0.99474513851881985</v>
      </c>
      <c r="BW17" s="103">
        <v>85.20615272594884</v>
      </c>
      <c r="BX17" s="105">
        <v>13.483207426959135</v>
      </c>
      <c r="BY17" s="105">
        <v>0.41867661782106125</v>
      </c>
      <c r="BZ17" s="105">
        <v>0.29125329935378175</v>
      </c>
      <c r="CA17" s="105">
        <v>0.13652498407208519</v>
      </c>
      <c r="CB17" s="106">
        <v>0.46418494584508962</v>
      </c>
    </row>
    <row r="18" spans="1:80" ht="15.75" customHeight="1" x14ac:dyDescent="0.3">
      <c r="A18" s="152"/>
      <c r="B18" s="148" t="s">
        <v>49</v>
      </c>
      <c r="C18" s="97">
        <v>50.253155476704833</v>
      </c>
      <c r="D18" s="131">
        <v>39.633359817654785</v>
      </c>
      <c r="E18" s="131">
        <v>2.1757461125702395</v>
      </c>
      <c r="F18" s="131">
        <v>4.7128050441494631</v>
      </c>
      <c r="G18" s="131">
        <v>0.60836946662961833</v>
      </c>
      <c r="H18" s="191">
        <v>2.6165640822911427</v>
      </c>
      <c r="I18" s="97">
        <v>18.062293912746608</v>
      </c>
      <c r="J18" s="131">
        <v>62.903753555559682</v>
      </c>
      <c r="K18" s="131">
        <v>4.203765893330675</v>
      </c>
      <c r="L18" s="131">
        <v>6.1162556048127446</v>
      </c>
      <c r="M18" s="131">
        <v>1.9975358260137677</v>
      </c>
      <c r="N18" s="191">
        <v>6.7163952075365181</v>
      </c>
      <c r="O18" s="97">
        <v>68.530273938449511</v>
      </c>
      <c r="P18" s="131">
        <v>22.696770785520329</v>
      </c>
      <c r="Q18" s="131">
        <v>0.43990536574643657</v>
      </c>
      <c r="R18" s="131">
        <v>8.2375667929749703</v>
      </c>
      <c r="S18" s="131">
        <v>2.9607168157752991E-2</v>
      </c>
      <c r="T18" s="191">
        <v>6.587594915100041E-2</v>
      </c>
      <c r="U18" s="97">
        <v>61.997319957024878</v>
      </c>
      <c r="V18" s="131">
        <v>26.631272216551988</v>
      </c>
      <c r="W18" s="131">
        <v>1.9042193938778065</v>
      </c>
      <c r="X18" s="131">
        <v>6.4196660422477834</v>
      </c>
      <c r="Y18" s="131">
        <v>0.33645167206925697</v>
      </c>
      <c r="Z18" s="191">
        <v>2.7110707182283345</v>
      </c>
      <c r="AA18" s="97">
        <v>66.377636118974493</v>
      </c>
      <c r="AB18" s="131">
        <v>30.636231692269284</v>
      </c>
      <c r="AC18" s="131">
        <v>0.84574346338430839</v>
      </c>
      <c r="AD18" s="131">
        <v>1.812388426834554</v>
      </c>
      <c r="AE18" s="131">
        <v>9.153817466013979E-2</v>
      </c>
      <c r="AF18" s="191">
        <v>0.23646212387721863</v>
      </c>
      <c r="AG18" s="97">
        <v>61.631562376596897</v>
      </c>
      <c r="AH18" s="131">
        <v>32.322352903508119</v>
      </c>
      <c r="AI18" s="131">
        <v>0.52787175683319632</v>
      </c>
      <c r="AJ18" s="131">
        <v>4.1494658313499899</v>
      </c>
      <c r="AK18" s="131">
        <v>4.429170624459694E-2</v>
      </c>
      <c r="AL18" s="191">
        <v>1.3244554254671974</v>
      </c>
      <c r="AM18" s="97">
        <v>43.303518238198883</v>
      </c>
      <c r="AN18" s="131">
        <v>43.073264523865916</v>
      </c>
      <c r="AO18" s="131">
        <v>4.2828820558612941</v>
      </c>
      <c r="AP18" s="131">
        <v>3.9750589446925049</v>
      </c>
      <c r="AQ18" s="131">
        <v>0.97041243248824172</v>
      </c>
      <c r="AR18" s="191">
        <v>4.3948638048931929</v>
      </c>
      <c r="AS18" s="97">
        <v>98.694589468760981</v>
      </c>
      <c r="AT18" s="131">
        <v>0.64240919329725676</v>
      </c>
      <c r="AU18" s="131">
        <v>0</v>
      </c>
      <c r="AV18" s="131">
        <v>6.7088769120983771E-2</v>
      </c>
      <c r="AW18" s="131">
        <v>0</v>
      </c>
      <c r="AX18" s="191">
        <v>0.59591256882075461</v>
      </c>
      <c r="AY18" s="97">
        <v>32.630807502510187</v>
      </c>
      <c r="AZ18" s="131">
        <v>58.486000259605532</v>
      </c>
      <c r="BA18" s="131">
        <v>2.6726878493467261</v>
      </c>
      <c r="BB18" s="131">
        <v>4.0163025126869929</v>
      </c>
      <c r="BC18" s="131">
        <v>0.10205797588880321</v>
      </c>
      <c r="BD18" s="191">
        <v>2.0921438999617727</v>
      </c>
      <c r="BE18" s="97">
        <v>24.399133803673113</v>
      </c>
      <c r="BF18" s="131">
        <v>66.316924017231912</v>
      </c>
      <c r="BG18" s="131">
        <v>4.0199264587488788</v>
      </c>
      <c r="BH18" s="131">
        <v>1.6527393951741429</v>
      </c>
      <c r="BI18" s="131">
        <v>0.37158376571952456</v>
      </c>
      <c r="BJ18" s="191">
        <v>3.2396925594524175</v>
      </c>
      <c r="BK18" s="97">
        <v>33.86239934102074</v>
      </c>
      <c r="BL18" s="131">
        <v>61.869833246849112</v>
      </c>
      <c r="BM18" s="131">
        <v>0.51391002853469891</v>
      </c>
      <c r="BN18" s="131">
        <v>2.224768607957297</v>
      </c>
      <c r="BO18" s="131">
        <v>9.6237069418122545E-2</v>
      </c>
      <c r="BP18" s="191">
        <v>1.4328517062200345</v>
      </c>
      <c r="BQ18" s="97">
        <v>55.087293285647561</v>
      </c>
      <c r="BR18" s="131">
        <v>41.857042679909732</v>
      </c>
      <c r="BS18" s="131">
        <v>0.69687782983582025</v>
      </c>
      <c r="BT18" s="131">
        <v>2.3587862046069064</v>
      </c>
      <c r="BU18" s="131">
        <v>0</v>
      </c>
      <c r="BV18" s="191">
        <v>0</v>
      </c>
      <c r="BW18" s="97">
        <v>73.933557214620748</v>
      </c>
      <c r="BX18" s="131">
        <v>20.931975243540286</v>
      </c>
      <c r="BY18" s="131">
        <v>1.0268935083677944</v>
      </c>
      <c r="BZ18" s="131">
        <v>2.5394798923149513</v>
      </c>
      <c r="CA18" s="131">
        <v>0.83261635813604951</v>
      </c>
      <c r="CB18" s="191">
        <v>0.73547778302017708</v>
      </c>
    </row>
    <row r="19" spans="1:80" s="109" customFormat="1" ht="15.75" customHeight="1" x14ac:dyDescent="0.3">
      <c r="A19" s="173"/>
      <c r="B19" s="130" t="s">
        <v>14</v>
      </c>
      <c r="C19" s="192">
        <v>52.997170293852932</v>
      </c>
      <c r="D19" s="193">
        <v>37.974026617183959</v>
      </c>
      <c r="E19" s="193">
        <v>2.2632738609312919</v>
      </c>
      <c r="F19" s="193">
        <v>4.3143182897570878</v>
      </c>
      <c r="G19" s="193">
        <v>0.440473568190755</v>
      </c>
      <c r="H19" s="194">
        <v>2.0107373700840636</v>
      </c>
      <c r="I19" s="192">
        <v>20.835227774093514</v>
      </c>
      <c r="J19" s="193">
        <v>62.578167855183779</v>
      </c>
      <c r="K19" s="193">
        <v>3.7183255417918635</v>
      </c>
      <c r="L19" s="193">
        <v>5.9700400902781752</v>
      </c>
      <c r="M19" s="193">
        <v>1.2699166446065522</v>
      </c>
      <c r="N19" s="194">
        <v>5.628322094046136</v>
      </c>
      <c r="O19" s="192">
        <v>71.66796819732113</v>
      </c>
      <c r="P19" s="193">
        <v>20.27616235273651</v>
      </c>
      <c r="Q19" s="193">
        <v>0.36420992822835724</v>
      </c>
      <c r="R19" s="193">
        <v>7.6756497080502211</v>
      </c>
      <c r="S19" s="193">
        <v>0</v>
      </c>
      <c r="T19" s="194">
        <v>1.6009813663794656E-2</v>
      </c>
      <c r="U19" s="192">
        <v>66.329257248023723</v>
      </c>
      <c r="V19" s="193">
        <v>28.255731452759036</v>
      </c>
      <c r="W19" s="193">
        <v>0.58677384308347746</v>
      </c>
      <c r="X19" s="193">
        <v>2.9651834913713793</v>
      </c>
      <c r="Y19" s="193">
        <v>0.15184410851612201</v>
      </c>
      <c r="Z19" s="194">
        <v>1.7112098562462783</v>
      </c>
      <c r="AA19" s="192">
        <v>64.766737211879359</v>
      </c>
      <c r="AB19" s="193">
        <v>30.229589068905415</v>
      </c>
      <c r="AC19" s="193">
        <v>1.7781536283559107</v>
      </c>
      <c r="AD19" s="193">
        <v>1.9397362992331726</v>
      </c>
      <c r="AE19" s="193">
        <v>3.1455716394974034E-2</v>
      </c>
      <c r="AF19" s="194">
        <v>1.2543280752311698</v>
      </c>
      <c r="AG19" s="192">
        <v>64.999830447167355</v>
      </c>
      <c r="AH19" s="193">
        <v>29.446918659854411</v>
      </c>
      <c r="AI19" s="193">
        <v>0.25851155219966543</v>
      </c>
      <c r="AJ19" s="193">
        <v>4.4482185649048249</v>
      </c>
      <c r="AK19" s="193">
        <v>4.6909617036668631E-3</v>
      </c>
      <c r="AL19" s="194">
        <v>0.84182981417009539</v>
      </c>
      <c r="AM19" s="192">
        <v>51.14622969111776</v>
      </c>
      <c r="AN19" s="193">
        <v>38.595456524744534</v>
      </c>
      <c r="AO19" s="193">
        <v>4.6244663661431531</v>
      </c>
      <c r="AP19" s="193">
        <v>3.1165641732342779</v>
      </c>
      <c r="AQ19" s="193">
        <v>0.88744859144847432</v>
      </c>
      <c r="AR19" s="194">
        <v>1.6298346533118273</v>
      </c>
      <c r="AS19" s="192">
        <v>99.565248800614867</v>
      </c>
      <c r="AT19" s="193">
        <v>0.3658257845003085</v>
      </c>
      <c r="AU19" s="193">
        <v>0</v>
      </c>
      <c r="AV19" s="193">
        <v>6.1582844914263662E-2</v>
      </c>
      <c r="AW19" s="193">
        <v>0</v>
      </c>
      <c r="AX19" s="194">
        <v>7.3425699705468219E-3</v>
      </c>
      <c r="AY19" s="192">
        <v>37.120996216262263</v>
      </c>
      <c r="AZ19" s="193">
        <v>53.79345135711462</v>
      </c>
      <c r="BA19" s="193">
        <v>2.0846754498744096</v>
      </c>
      <c r="BB19" s="193">
        <v>5.7825482543397504</v>
      </c>
      <c r="BC19" s="193">
        <v>0.19427280116636983</v>
      </c>
      <c r="BD19" s="194">
        <v>1.0240559212425391</v>
      </c>
      <c r="BE19" s="192">
        <v>29.567951783550058</v>
      </c>
      <c r="BF19" s="193">
        <v>59.640580193497073</v>
      </c>
      <c r="BG19" s="193">
        <v>5.1952391020162629</v>
      </c>
      <c r="BH19" s="193">
        <v>1.4672785041942233</v>
      </c>
      <c r="BI19" s="193">
        <v>0.58817398658205755</v>
      </c>
      <c r="BJ19" s="194">
        <v>3.5407764301602951</v>
      </c>
      <c r="BK19" s="192">
        <v>34.087865236910567</v>
      </c>
      <c r="BL19" s="193">
        <v>54.033589028927423</v>
      </c>
      <c r="BM19" s="193">
        <v>5.0704426524121518</v>
      </c>
      <c r="BN19" s="193">
        <v>4.3803482560295217</v>
      </c>
      <c r="BO19" s="193">
        <v>0.15007156280847095</v>
      </c>
      <c r="BP19" s="194">
        <v>2.2776832629118773</v>
      </c>
      <c r="BQ19" s="192">
        <v>58.551597010741737</v>
      </c>
      <c r="BR19" s="193">
        <v>38.738378142118037</v>
      </c>
      <c r="BS19" s="193">
        <v>0.51333336500591487</v>
      </c>
      <c r="BT19" s="193">
        <v>2.1966914821342884</v>
      </c>
      <c r="BU19" s="193">
        <v>0</v>
      </c>
      <c r="BV19" s="194">
        <v>0</v>
      </c>
      <c r="BW19" s="192">
        <v>77.914383054362318</v>
      </c>
      <c r="BX19" s="193">
        <v>18.136202044141609</v>
      </c>
      <c r="BY19" s="193">
        <v>0.7184120870982077</v>
      </c>
      <c r="BZ19" s="193">
        <v>2.6384980002962526</v>
      </c>
      <c r="CA19" s="193">
        <v>0.18515775440675455</v>
      </c>
      <c r="CB19" s="194">
        <v>0.40734705969486001</v>
      </c>
    </row>
    <row r="20" spans="1:80" ht="15.75" customHeight="1" x14ac:dyDescent="0.3">
      <c r="A20" s="152"/>
      <c r="B20" s="148" t="s">
        <v>15</v>
      </c>
      <c r="C20" s="97">
        <v>46.344312856842592</v>
      </c>
      <c r="D20" s="131">
        <v>42.764108765230461</v>
      </c>
      <c r="E20" s="131">
        <v>2.4342226839729202</v>
      </c>
      <c r="F20" s="131">
        <v>5.1955383271795581</v>
      </c>
      <c r="G20" s="131">
        <v>0.55289423167951979</v>
      </c>
      <c r="H20" s="191">
        <v>2.7089231350948313</v>
      </c>
      <c r="I20" s="97">
        <v>19.800228030124796</v>
      </c>
      <c r="J20" s="131">
        <v>62.599181470096234</v>
      </c>
      <c r="K20" s="131">
        <v>4.4686600774061453</v>
      </c>
      <c r="L20" s="131">
        <v>6.0199338919468142</v>
      </c>
      <c r="M20" s="131">
        <v>1.7518827997549069</v>
      </c>
      <c r="N20" s="191">
        <v>5.3601137306710855</v>
      </c>
      <c r="O20" s="97">
        <v>64.863029934448662</v>
      </c>
      <c r="P20" s="131">
        <v>23.38179076263361</v>
      </c>
      <c r="Q20" s="131">
        <v>0.46735776796593392</v>
      </c>
      <c r="R20" s="131">
        <v>8.9822045458837021</v>
      </c>
      <c r="S20" s="131">
        <v>0</v>
      </c>
      <c r="T20" s="191">
        <v>2.3056169890680982</v>
      </c>
      <c r="U20" s="97">
        <v>57.344071711138589</v>
      </c>
      <c r="V20" s="131">
        <v>35.000859340987013</v>
      </c>
      <c r="W20" s="131">
        <v>0.27734177848418201</v>
      </c>
      <c r="X20" s="131">
        <v>5.3765275590902188</v>
      </c>
      <c r="Y20" s="131">
        <v>0.19450328852707965</v>
      </c>
      <c r="Z20" s="191">
        <v>1.8066963217729275</v>
      </c>
      <c r="AA20" s="97">
        <v>56.323577365690014</v>
      </c>
      <c r="AB20" s="131">
        <v>40.074127941168108</v>
      </c>
      <c r="AC20" s="131">
        <v>1.2350432064866916</v>
      </c>
      <c r="AD20" s="131">
        <v>2.0066498972664681</v>
      </c>
      <c r="AE20" s="131">
        <v>0.10316953019992681</v>
      </c>
      <c r="AF20" s="191">
        <v>0.25743205918879036</v>
      </c>
      <c r="AG20" s="97">
        <v>56.32386072647094</v>
      </c>
      <c r="AH20" s="131">
        <v>34.341856595680227</v>
      </c>
      <c r="AI20" s="131">
        <v>0.13206267837778701</v>
      </c>
      <c r="AJ20" s="131">
        <v>6.6217080507139912</v>
      </c>
      <c r="AK20" s="131">
        <v>4.2407928809981232E-2</v>
      </c>
      <c r="AL20" s="191">
        <v>2.5381040199470548</v>
      </c>
      <c r="AM20" s="97">
        <v>44.419796156445386</v>
      </c>
      <c r="AN20" s="131">
        <v>41.792623065005792</v>
      </c>
      <c r="AO20" s="131">
        <v>4.779716482141513</v>
      </c>
      <c r="AP20" s="131">
        <v>5.2715284059946974</v>
      </c>
      <c r="AQ20" s="131">
        <v>0.72375669443697321</v>
      </c>
      <c r="AR20" s="131">
        <v>3.0125791959755999</v>
      </c>
      <c r="AS20" s="97">
        <v>99.286698097767839</v>
      </c>
      <c r="AT20" s="131">
        <v>0.55453416037285419</v>
      </c>
      <c r="AU20" s="131">
        <v>0</v>
      </c>
      <c r="AV20" s="131">
        <v>6.6364128726163069E-2</v>
      </c>
      <c r="AW20" s="131">
        <v>0</v>
      </c>
      <c r="AX20" s="191">
        <v>9.2403613133123647E-2</v>
      </c>
      <c r="AY20" s="131">
        <v>32.970672308060408</v>
      </c>
      <c r="AZ20" s="131">
        <v>56.825834561092023</v>
      </c>
      <c r="BA20" s="131">
        <v>2.2007311985023446</v>
      </c>
      <c r="BB20" s="131">
        <v>6.0459034834766783</v>
      </c>
      <c r="BC20" s="131">
        <v>2.5562565323057944E-2</v>
      </c>
      <c r="BD20" s="191">
        <v>1.9312958835455158</v>
      </c>
      <c r="BE20" s="97">
        <v>22.656472177086453</v>
      </c>
      <c r="BF20" s="131">
        <v>65.08339294595774</v>
      </c>
      <c r="BG20" s="131">
        <v>5.805058574884522</v>
      </c>
      <c r="BH20" s="131">
        <v>2.3760067851903446</v>
      </c>
      <c r="BI20" s="131">
        <v>0.29459702909889501</v>
      </c>
      <c r="BJ20" s="191">
        <v>3.7844724877820215</v>
      </c>
      <c r="BK20" s="97">
        <v>26.810339473586136</v>
      </c>
      <c r="BL20" s="131">
        <v>67.66405405741115</v>
      </c>
      <c r="BM20" s="131">
        <v>0.94339622641509391</v>
      </c>
      <c r="BN20" s="131">
        <v>2.0816823381817722</v>
      </c>
      <c r="BO20" s="131">
        <v>6.5956997528165223E-2</v>
      </c>
      <c r="BP20" s="191">
        <v>2.4345709068776622</v>
      </c>
      <c r="BQ20" s="97">
        <v>50.61955922288076</v>
      </c>
      <c r="BR20" s="131">
        <v>44.337286877444782</v>
      </c>
      <c r="BS20" s="131">
        <v>0.73486123036898954</v>
      </c>
      <c r="BT20" s="131">
        <v>4.3017771169146064</v>
      </c>
      <c r="BU20" s="131">
        <v>0</v>
      </c>
      <c r="BV20" s="191">
        <v>6.5155523908586796E-3</v>
      </c>
      <c r="BW20" s="97">
        <v>82.160586601083935</v>
      </c>
      <c r="BX20" s="131">
        <v>15.630550621669629</v>
      </c>
      <c r="BY20" s="131">
        <v>0.37193909307586037</v>
      </c>
      <c r="BZ20" s="131">
        <v>0.46302621791076504</v>
      </c>
      <c r="CA20" s="131">
        <v>0.15181187472484098</v>
      </c>
      <c r="CB20" s="191">
        <v>1.2220855915349698</v>
      </c>
    </row>
    <row r="21" spans="1:80" ht="15.75" customHeight="1" x14ac:dyDescent="0.3">
      <c r="A21" s="152"/>
      <c r="B21" s="86" t="s">
        <v>16</v>
      </c>
      <c r="C21" s="103">
        <v>52.980300461082322</v>
      </c>
      <c r="D21" s="105">
        <v>37.419835465584427</v>
      </c>
      <c r="E21" s="105">
        <v>2.1656933756474852</v>
      </c>
      <c r="F21" s="105">
        <v>4.4408303423958895</v>
      </c>
      <c r="G21" s="105">
        <v>0.35375562063936183</v>
      </c>
      <c r="H21" s="106">
        <v>2.6395847346505459</v>
      </c>
      <c r="I21" s="103">
        <v>21.028651636504055</v>
      </c>
      <c r="J21" s="105">
        <v>60.616216467600594</v>
      </c>
      <c r="K21" s="105">
        <v>3.5015045782090017</v>
      </c>
      <c r="L21" s="105">
        <v>7.8902011988005674</v>
      </c>
      <c r="M21" s="105">
        <v>1.1883543074694796</v>
      </c>
      <c r="N21" s="106">
        <v>5.7750718114163337</v>
      </c>
      <c r="O21" s="103">
        <v>65.112749217526982</v>
      </c>
      <c r="P21" s="105">
        <v>24.164680313548818</v>
      </c>
      <c r="Q21" s="105">
        <v>0.40395773470238161</v>
      </c>
      <c r="R21" s="105">
        <v>7.3882171277431681</v>
      </c>
      <c r="S21" s="105">
        <v>0</v>
      </c>
      <c r="T21" s="106">
        <v>2.9303956064786267</v>
      </c>
      <c r="U21" s="103">
        <v>72.29718466579989</v>
      </c>
      <c r="V21" s="105">
        <v>20.927468791133158</v>
      </c>
      <c r="W21" s="105">
        <v>0.38398251068495787</v>
      </c>
      <c r="X21" s="105">
        <v>4.8909787965283753</v>
      </c>
      <c r="Y21" s="105">
        <v>0.12188342690374239</v>
      </c>
      <c r="Z21" s="106">
        <v>1.3785018089499219</v>
      </c>
      <c r="AA21" s="103">
        <v>66.807314687482162</v>
      </c>
      <c r="AB21" s="105">
        <v>29.98525035899177</v>
      </c>
      <c r="AC21" s="105">
        <v>0.96852655863881221</v>
      </c>
      <c r="AD21" s="105">
        <v>1.4504601476078298</v>
      </c>
      <c r="AE21" s="105">
        <v>9.4344018283679956E-2</v>
      </c>
      <c r="AF21" s="106">
        <v>0.6941042289957311</v>
      </c>
      <c r="AG21" s="103">
        <v>66.777994272846428</v>
      </c>
      <c r="AH21" s="105">
        <v>29.347644825208221</v>
      </c>
      <c r="AI21" s="105">
        <v>0.2526171373310454</v>
      </c>
      <c r="AJ21" s="105">
        <v>2.2236959098452718</v>
      </c>
      <c r="AK21" s="105">
        <v>3.4250291224570496E-2</v>
      </c>
      <c r="AL21" s="106">
        <v>1.363797563544485</v>
      </c>
      <c r="AM21" s="103">
        <v>50.237206204339159</v>
      </c>
      <c r="AN21" s="105">
        <v>38.563104046714272</v>
      </c>
      <c r="AO21" s="105">
        <v>4.4396337106576951</v>
      </c>
      <c r="AP21" s="105">
        <v>3.2330589653769857</v>
      </c>
      <c r="AQ21" s="105">
        <v>0.55314166429554712</v>
      </c>
      <c r="AR21" s="105">
        <v>2.9738554086164131</v>
      </c>
      <c r="AS21" s="103">
        <v>99.451186883993785</v>
      </c>
      <c r="AT21" s="105">
        <v>0.44367990656799466</v>
      </c>
      <c r="AU21" s="105">
        <v>0</v>
      </c>
      <c r="AV21" s="105">
        <v>4.6627188979996931E-2</v>
      </c>
      <c r="AW21" s="105">
        <v>0</v>
      </c>
      <c r="AX21" s="106">
        <v>5.8506020458234248E-2</v>
      </c>
      <c r="AY21" s="105">
        <v>36.686627054933211</v>
      </c>
      <c r="AZ21" s="105">
        <v>53.220228984663322</v>
      </c>
      <c r="BA21" s="105">
        <v>2.8434403977872509</v>
      </c>
      <c r="BB21" s="105">
        <v>4.9313924342998776</v>
      </c>
      <c r="BC21" s="105">
        <v>6.5712319921405443E-2</v>
      </c>
      <c r="BD21" s="106">
        <v>2.2525988083949109</v>
      </c>
      <c r="BE21" s="103">
        <v>31.416184133691726</v>
      </c>
      <c r="BF21" s="105">
        <v>58.124495736325279</v>
      </c>
      <c r="BG21" s="105">
        <v>7.4182479929748553</v>
      </c>
      <c r="BH21" s="105">
        <v>1.3642421892064176</v>
      </c>
      <c r="BI21" s="105">
        <v>0.2109549472445473</v>
      </c>
      <c r="BJ21" s="106">
        <v>1.4658750005571977</v>
      </c>
      <c r="BK21" s="103">
        <v>22.624567125664701</v>
      </c>
      <c r="BL21" s="105">
        <v>68.0038433523181</v>
      </c>
      <c r="BM21" s="105">
        <v>1.0567975875879112</v>
      </c>
      <c r="BN21" s="105">
        <v>1.8229820535831929</v>
      </c>
      <c r="BO21" s="105">
        <v>0.110005394614832</v>
      </c>
      <c r="BP21" s="106">
        <v>6.381804486231303</v>
      </c>
      <c r="BQ21" s="103">
        <v>57.19074092792885</v>
      </c>
      <c r="BR21" s="105">
        <v>39.79349034670981</v>
      </c>
      <c r="BS21" s="105">
        <v>0.51561710300212271</v>
      </c>
      <c r="BT21" s="105">
        <v>2.4973213383200243</v>
      </c>
      <c r="BU21" s="105">
        <v>0</v>
      </c>
      <c r="BV21" s="106">
        <v>2.8302840392196503E-3</v>
      </c>
      <c r="BW21" s="103">
        <v>82.567996686455885</v>
      </c>
      <c r="BX21" s="105">
        <v>16.832804086704403</v>
      </c>
      <c r="BY21" s="105">
        <v>0.19190942979428413</v>
      </c>
      <c r="BZ21" s="105">
        <v>0.2001932900731741</v>
      </c>
      <c r="CA21" s="105">
        <v>0.20709650697224904</v>
      </c>
      <c r="CB21" s="106">
        <v>0</v>
      </c>
    </row>
    <row r="22" spans="1:80" ht="15.75" customHeight="1" x14ac:dyDescent="0.3">
      <c r="A22" s="152"/>
      <c r="B22" s="148" t="s">
        <v>8</v>
      </c>
      <c r="C22" s="97">
        <v>52.281604386581748</v>
      </c>
      <c r="D22" s="131">
        <v>36.967778935464523</v>
      </c>
      <c r="E22" s="131">
        <v>2.956781435771298</v>
      </c>
      <c r="F22" s="131">
        <v>4.358158420913675</v>
      </c>
      <c r="G22" s="131">
        <v>0.37515477395690133</v>
      </c>
      <c r="H22" s="191">
        <v>3.0605220473117258</v>
      </c>
      <c r="I22" s="97">
        <v>24.654226955888323</v>
      </c>
      <c r="J22" s="131">
        <v>56.50663292630562</v>
      </c>
      <c r="K22" s="131">
        <v>4.9922490077049613</v>
      </c>
      <c r="L22" s="131">
        <v>6.5813330351259234</v>
      </c>
      <c r="M22" s="131">
        <v>1.1581517296806312</v>
      </c>
      <c r="N22" s="191">
        <v>6.1074063452945273</v>
      </c>
      <c r="O22" s="97">
        <v>70.445038388653757</v>
      </c>
      <c r="P22" s="131">
        <v>18.980149323350247</v>
      </c>
      <c r="Q22" s="131">
        <v>1.4946993333743028</v>
      </c>
      <c r="R22" s="131">
        <v>6.7216109835575066</v>
      </c>
      <c r="S22" s="131">
        <v>8.583422911896E-3</v>
      </c>
      <c r="T22" s="191">
        <v>2.3499185481522975</v>
      </c>
      <c r="U22" s="97">
        <v>69.51046805862542</v>
      </c>
      <c r="V22" s="131">
        <v>23.229725545857331</v>
      </c>
      <c r="W22" s="131">
        <v>1.6454096987241269</v>
      </c>
      <c r="X22" s="131">
        <v>3.9344742796933132</v>
      </c>
      <c r="Y22" s="131">
        <v>0.11910383004201269</v>
      </c>
      <c r="Z22" s="191">
        <v>1.5608185870577629</v>
      </c>
      <c r="AA22" s="97">
        <v>65.072893517502564</v>
      </c>
      <c r="AB22" s="131">
        <v>30.481306357842126</v>
      </c>
      <c r="AC22" s="131">
        <v>2.2194374156003884</v>
      </c>
      <c r="AD22" s="131">
        <v>1.9456538941247916</v>
      </c>
      <c r="AE22" s="131">
        <v>0</v>
      </c>
      <c r="AF22" s="191">
        <v>0.28070881493010258</v>
      </c>
      <c r="AG22" s="97">
        <v>66.295014025310621</v>
      </c>
      <c r="AH22" s="131">
        <v>27.652790817508794</v>
      </c>
      <c r="AI22" s="131">
        <v>1.4074269680295575</v>
      </c>
      <c r="AJ22" s="131">
        <v>1.6733784051420668</v>
      </c>
      <c r="AK22" s="131">
        <v>0.78146080334392087</v>
      </c>
      <c r="AL22" s="191">
        <v>2.189928980664964</v>
      </c>
      <c r="AM22" s="97">
        <v>45.879331048278118</v>
      </c>
      <c r="AN22" s="131">
        <v>41.164698037937427</v>
      </c>
      <c r="AO22" s="131">
        <v>4.9381425458323029</v>
      </c>
      <c r="AP22" s="131">
        <v>4.8806761022805309</v>
      </c>
      <c r="AQ22" s="131">
        <v>0.3171318098344364</v>
      </c>
      <c r="AR22" s="131">
        <v>2.8200204558371982</v>
      </c>
      <c r="AS22" s="97">
        <v>99.110028672461965</v>
      </c>
      <c r="AT22" s="131">
        <v>0.67267278224233051</v>
      </c>
      <c r="AU22" s="131">
        <v>0</v>
      </c>
      <c r="AV22" s="131">
        <v>7.702746941452028E-2</v>
      </c>
      <c r="AW22" s="131">
        <v>0</v>
      </c>
      <c r="AX22" s="191">
        <v>0.14027107588117904</v>
      </c>
      <c r="AY22" s="131">
        <v>33.875132821024565</v>
      </c>
      <c r="AZ22" s="131">
        <v>51.917360318905828</v>
      </c>
      <c r="BA22" s="131">
        <v>2.42567098587228</v>
      </c>
      <c r="BB22" s="131">
        <v>4.2694110454452829</v>
      </c>
      <c r="BC22" s="131">
        <v>2.8237392624588568E-2</v>
      </c>
      <c r="BD22" s="191">
        <v>7.4841874361274696</v>
      </c>
      <c r="BE22" s="97">
        <v>28.009020673320741</v>
      </c>
      <c r="BF22" s="131">
        <v>61.50722305484647</v>
      </c>
      <c r="BG22" s="131">
        <v>5.551510481149796</v>
      </c>
      <c r="BH22" s="131">
        <v>2.0382642003360085</v>
      </c>
      <c r="BI22" s="131">
        <v>0.35963701989137792</v>
      </c>
      <c r="BJ22" s="191">
        <v>2.5343445704555951</v>
      </c>
      <c r="BK22" s="97">
        <v>23.930926567564548</v>
      </c>
      <c r="BL22" s="131">
        <v>72.274008668330808</v>
      </c>
      <c r="BM22" s="131">
        <v>0.36026973659699713</v>
      </c>
      <c r="BN22" s="131">
        <v>1.8920060107050167</v>
      </c>
      <c r="BO22" s="131">
        <v>0.21981297269103237</v>
      </c>
      <c r="BP22" s="191">
        <v>1.3229760441116205</v>
      </c>
      <c r="BQ22" s="97">
        <v>55.93925288414848</v>
      </c>
      <c r="BR22" s="131">
        <v>40.136630778761955</v>
      </c>
      <c r="BS22" s="131">
        <v>0.29167992230798845</v>
      </c>
      <c r="BT22" s="131">
        <v>3.6230597927096757</v>
      </c>
      <c r="BU22" s="131">
        <v>0</v>
      </c>
      <c r="BV22" s="191">
        <v>9.3766220718985993E-3</v>
      </c>
      <c r="BW22" s="97">
        <v>82.962814702560507</v>
      </c>
      <c r="BX22" s="131">
        <v>16.165096430154261</v>
      </c>
      <c r="BY22" s="131">
        <v>0.44033339528500148</v>
      </c>
      <c r="BZ22" s="131">
        <v>0.3245314309405693</v>
      </c>
      <c r="CA22" s="131">
        <v>0.10722404105965946</v>
      </c>
      <c r="CB22" s="191">
        <v>0</v>
      </c>
    </row>
    <row r="23" spans="1:80" s="109" customFormat="1" ht="15.75" customHeight="1" x14ac:dyDescent="0.3">
      <c r="A23" s="173"/>
      <c r="B23" s="130" t="s">
        <v>9</v>
      </c>
      <c r="C23" s="192">
        <v>50.306575722506032</v>
      </c>
      <c r="D23" s="193">
        <v>39.124240707830133</v>
      </c>
      <c r="E23" s="193">
        <v>2.77071712486606</v>
      </c>
      <c r="F23" s="193">
        <v>4.587207635016739</v>
      </c>
      <c r="G23" s="193">
        <v>0.35441694076636043</v>
      </c>
      <c r="H23" s="194">
        <v>2.856841869014898</v>
      </c>
      <c r="I23" s="192">
        <v>28.072797507982898</v>
      </c>
      <c r="J23" s="193">
        <v>55.001671651854345</v>
      </c>
      <c r="K23" s="193">
        <v>4.0401509007663909</v>
      </c>
      <c r="L23" s="193">
        <v>5.9817089472723604</v>
      </c>
      <c r="M23" s="193">
        <v>1.0424242356588178</v>
      </c>
      <c r="N23" s="194">
        <v>5.861246756465162</v>
      </c>
      <c r="O23" s="192">
        <v>68.850447105738738</v>
      </c>
      <c r="P23" s="193">
        <v>23.964058219429074</v>
      </c>
      <c r="Q23" s="193">
        <v>0.64990879308050242</v>
      </c>
      <c r="R23" s="193">
        <v>3.9115116814757838</v>
      </c>
      <c r="S23" s="193">
        <v>8.3752577996267175E-2</v>
      </c>
      <c r="T23" s="194">
        <v>2.540321622279611</v>
      </c>
      <c r="U23" s="192">
        <v>62.6883050942076</v>
      </c>
      <c r="V23" s="193">
        <v>27.206584075643924</v>
      </c>
      <c r="W23" s="193">
        <v>0.99461812516010106</v>
      </c>
      <c r="X23" s="193">
        <v>8.649428039044615</v>
      </c>
      <c r="Y23" s="193">
        <v>6.3120908362035322E-2</v>
      </c>
      <c r="Z23" s="194">
        <v>0.39794375758176798</v>
      </c>
      <c r="AA23" s="192">
        <v>60.579205217647889</v>
      </c>
      <c r="AB23" s="193">
        <v>34.40470390363722</v>
      </c>
      <c r="AC23" s="193">
        <v>1.3811146485584784</v>
      </c>
      <c r="AD23" s="193">
        <v>2.8898351600129608</v>
      </c>
      <c r="AE23" s="193">
        <v>1.8596504711035459E-2</v>
      </c>
      <c r="AF23" s="194">
        <v>0.72654456543241852</v>
      </c>
      <c r="AG23" s="192">
        <v>62.776187487256571</v>
      </c>
      <c r="AH23" s="193">
        <v>30.68460674292065</v>
      </c>
      <c r="AI23" s="193">
        <v>7.5101247756157813E-2</v>
      </c>
      <c r="AJ23" s="193">
        <v>4.3229293684458812</v>
      </c>
      <c r="AK23" s="193">
        <v>4.8115172570953386E-2</v>
      </c>
      <c r="AL23" s="194">
        <v>2.0930599810497781</v>
      </c>
      <c r="AM23" s="192">
        <v>45.847348828149023</v>
      </c>
      <c r="AN23" s="193">
        <v>39.933766189725631</v>
      </c>
      <c r="AO23" s="193">
        <v>5.3218078389527701</v>
      </c>
      <c r="AP23" s="193">
        <v>5.0412501891056261</v>
      </c>
      <c r="AQ23" s="193">
        <v>0.32275317352920729</v>
      </c>
      <c r="AR23" s="193">
        <v>3.5330737805377521</v>
      </c>
      <c r="AS23" s="192">
        <v>99.845060567232821</v>
      </c>
      <c r="AT23" s="193">
        <v>2.2069294989880577E-2</v>
      </c>
      <c r="AU23" s="193">
        <v>0</v>
      </c>
      <c r="AV23" s="193">
        <v>9.8662730542995528E-2</v>
      </c>
      <c r="AW23" s="193">
        <v>0</v>
      </c>
      <c r="AX23" s="194">
        <v>3.4207407234314896E-2</v>
      </c>
      <c r="AY23" s="193">
        <v>35.745250161781705</v>
      </c>
      <c r="AZ23" s="193">
        <v>51.549650624222899</v>
      </c>
      <c r="BA23" s="193">
        <v>5.4362289229337382</v>
      </c>
      <c r="BB23" s="193">
        <v>3.9950629312664061</v>
      </c>
      <c r="BC23" s="193">
        <v>0.3460310766299961</v>
      </c>
      <c r="BD23" s="194">
        <v>2.9277762831652501</v>
      </c>
      <c r="BE23" s="192">
        <v>27.747061913630901</v>
      </c>
      <c r="BF23" s="193">
        <v>62.00908885676202</v>
      </c>
      <c r="BG23" s="193">
        <v>5.0817389303498768</v>
      </c>
      <c r="BH23" s="193">
        <v>1.7692554821847981</v>
      </c>
      <c r="BI23" s="193">
        <v>0.12894150744344152</v>
      </c>
      <c r="BJ23" s="194">
        <v>3.2639133096289337</v>
      </c>
      <c r="BK23" s="192">
        <v>24.985953814880748</v>
      </c>
      <c r="BL23" s="193">
        <v>67.874322942312801</v>
      </c>
      <c r="BM23" s="193">
        <v>1.0389442319104074</v>
      </c>
      <c r="BN23" s="193">
        <v>3.811566481067636</v>
      </c>
      <c r="BO23" s="193">
        <v>1.249952653308587</v>
      </c>
      <c r="BP23" s="194">
        <v>1.0392598765198289</v>
      </c>
      <c r="BQ23" s="192">
        <v>52.188077397753773</v>
      </c>
      <c r="BR23" s="193">
        <v>44.997847948655142</v>
      </c>
      <c r="BS23" s="193">
        <v>0.94155218783960226</v>
      </c>
      <c r="BT23" s="193">
        <v>1.7506521547859959</v>
      </c>
      <c r="BU23" s="193">
        <v>0</v>
      </c>
      <c r="BV23" s="194">
        <v>0.12187031096547443</v>
      </c>
      <c r="BW23" s="192">
        <v>79.744852282900624</v>
      </c>
      <c r="BX23" s="193">
        <v>19.175676606294331</v>
      </c>
      <c r="BY23" s="193">
        <v>0.44762757385854968</v>
      </c>
      <c r="BZ23" s="193">
        <v>0.54576131120446258</v>
      </c>
      <c r="CA23" s="193">
        <v>8.6082225742028784E-2</v>
      </c>
      <c r="CB23" s="194">
        <v>0</v>
      </c>
    </row>
    <row r="24" spans="1:80" ht="15.75" customHeight="1" x14ac:dyDescent="0.3">
      <c r="A24" s="152"/>
      <c r="B24" s="148" t="s">
        <v>10</v>
      </c>
      <c r="C24" s="97">
        <v>47.861217305492104</v>
      </c>
      <c r="D24" s="131">
        <v>41.017571282861368</v>
      </c>
      <c r="E24" s="131">
        <v>2.5543850134535528</v>
      </c>
      <c r="F24" s="131">
        <v>5.1391743530842025</v>
      </c>
      <c r="G24" s="131">
        <v>0.54456628963893716</v>
      </c>
      <c r="H24" s="191">
        <v>2.8830857554698333</v>
      </c>
      <c r="I24" s="97">
        <v>29.488172303402436</v>
      </c>
      <c r="J24" s="131">
        <v>53.317606370801109</v>
      </c>
      <c r="K24" s="131">
        <v>2.9296145444328814</v>
      </c>
      <c r="L24" s="131">
        <v>6.2623708763378181</v>
      </c>
      <c r="M24" s="131">
        <v>1.2701721511681046</v>
      </c>
      <c r="N24" s="191">
        <v>6.7320637538576564</v>
      </c>
      <c r="O24" s="97">
        <v>65.253060850802498</v>
      </c>
      <c r="P24" s="131">
        <v>25.745578938238033</v>
      </c>
      <c r="Q24" s="131">
        <v>1.7439452707862486</v>
      </c>
      <c r="R24" s="131">
        <v>5.95676257905507</v>
      </c>
      <c r="S24" s="131">
        <v>5.0741789290149844E-2</v>
      </c>
      <c r="T24" s="191">
        <v>1.2499105718279935</v>
      </c>
      <c r="U24" s="97">
        <v>58.00442228484718</v>
      </c>
      <c r="V24" s="131">
        <v>28.040274926359011</v>
      </c>
      <c r="W24" s="131">
        <v>2.3602453424465382</v>
      </c>
      <c r="X24" s="131">
        <v>9.2054016143634989</v>
      </c>
      <c r="Y24" s="131">
        <v>0.71712423968069761</v>
      </c>
      <c r="Z24" s="191">
        <v>1.6725315923030823</v>
      </c>
      <c r="AA24" s="97">
        <v>56.018261162132688</v>
      </c>
      <c r="AB24" s="131">
        <v>37.38933259321476</v>
      </c>
      <c r="AC24" s="131">
        <v>1.540580889261717</v>
      </c>
      <c r="AD24" s="131">
        <v>4.1005125629580572</v>
      </c>
      <c r="AE24" s="131">
        <v>8.5043040748314702E-2</v>
      </c>
      <c r="AF24" s="191">
        <v>0.86626975168446541</v>
      </c>
      <c r="AG24" s="97">
        <v>60.15769523682517</v>
      </c>
      <c r="AH24" s="131">
        <v>33.101412042483652</v>
      </c>
      <c r="AI24" s="131">
        <v>4.0390786608653147E-2</v>
      </c>
      <c r="AJ24" s="131">
        <v>4.6892911276438278</v>
      </c>
      <c r="AK24" s="131">
        <v>6.3613572837157711E-2</v>
      </c>
      <c r="AL24" s="191">
        <v>1.9475972336015581</v>
      </c>
      <c r="AM24" s="97">
        <v>43.44241867286167</v>
      </c>
      <c r="AN24" s="131">
        <v>44.21654082936243</v>
      </c>
      <c r="AO24" s="131">
        <v>5.5092946308946464</v>
      </c>
      <c r="AP24" s="131">
        <v>3.4358368046666912</v>
      </c>
      <c r="AQ24" s="131">
        <v>0.53194967335738597</v>
      </c>
      <c r="AR24" s="131">
        <v>2.8639593888571682</v>
      </c>
      <c r="AS24" s="97">
        <v>99.15837809931277</v>
      </c>
      <c r="AT24" s="131">
        <v>0.15945224841734415</v>
      </c>
      <c r="AU24" s="131">
        <v>0</v>
      </c>
      <c r="AV24" s="131">
        <v>0.55318971887531376</v>
      </c>
      <c r="AW24" s="131">
        <v>0</v>
      </c>
      <c r="AX24" s="191">
        <v>0.12897993339455141</v>
      </c>
      <c r="AY24" s="131">
        <v>33.321353302501286</v>
      </c>
      <c r="AZ24" s="131">
        <v>57.421831217534937</v>
      </c>
      <c r="BA24" s="131">
        <v>1.5820255439246362</v>
      </c>
      <c r="BB24" s="131">
        <v>5.3874860125790329</v>
      </c>
      <c r="BC24" s="131">
        <v>0.58147247808407709</v>
      </c>
      <c r="BD24" s="191">
        <v>1.7058314453760208</v>
      </c>
      <c r="BE24" s="97">
        <v>25.606051751945959</v>
      </c>
      <c r="BF24" s="131">
        <v>62.474462962530112</v>
      </c>
      <c r="BG24" s="131">
        <v>5.5321287487436015</v>
      </c>
      <c r="BH24" s="131">
        <v>2.4578083728758098</v>
      </c>
      <c r="BI24" s="131">
        <v>0.18355110913723385</v>
      </c>
      <c r="BJ24" s="191">
        <v>3.7459970547673049</v>
      </c>
      <c r="BK24" s="97">
        <v>24.458899365322186</v>
      </c>
      <c r="BL24" s="131">
        <v>62.671332552677384</v>
      </c>
      <c r="BM24" s="131">
        <v>0.51633849784642749</v>
      </c>
      <c r="BN24" s="131">
        <v>10.33906641667626</v>
      </c>
      <c r="BO24" s="131">
        <v>1.1560928393992109</v>
      </c>
      <c r="BP24" s="191">
        <v>0.85827032807857107</v>
      </c>
      <c r="BQ24" s="97">
        <v>49.716212230890903</v>
      </c>
      <c r="BR24" s="131">
        <v>45.547601812381032</v>
      </c>
      <c r="BS24" s="131">
        <v>1.858762969516609</v>
      </c>
      <c r="BT24" s="131">
        <v>2.8774229872114541</v>
      </c>
      <c r="BU24" s="131">
        <v>0</v>
      </c>
      <c r="BV24" s="191">
        <v>0</v>
      </c>
      <c r="BW24" s="97">
        <v>82.001032178873814</v>
      </c>
      <c r="BX24" s="131">
        <v>15.253929951320213</v>
      </c>
      <c r="BY24" s="131">
        <v>0.49516689216520438</v>
      </c>
      <c r="BZ24" s="131">
        <v>2.1103873460449418</v>
      </c>
      <c r="CA24" s="131">
        <v>0.13948363159583221</v>
      </c>
      <c r="CB24" s="191">
        <v>0</v>
      </c>
    </row>
    <row r="25" spans="1:80" ht="15.75" customHeight="1" x14ac:dyDescent="0.3">
      <c r="A25" s="152"/>
      <c r="B25" s="86" t="s">
        <v>11</v>
      </c>
      <c r="C25" s="103">
        <v>49.783689808797313</v>
      </c>
      <c r="D25" s="105">
        <v>38.839872319874139</v>
      </c>
      <c r="E25" s="105">
        <v>2.5751525873268779</v>
      </c>
      <c r="F25" s="105">
        <v>5.1037015201424207</v>
      </c>
      <c r="G25" s="105">
        <v>0.8388504514366919</v>
      </c>
      <c r="H25" s="106">
        <v>2.8587333124225358</v>
      </c>
      <c r="I25" s="103">
        <v>27.198886324848527</v>
      </c>
      <c r="J25" s="105">
        <v>54.960904579355208</v>
      </c>
      <c r="K25" s="105">
        <v>4.126161741126869</v>
      </c>
      <c r="L25" s="105">
        <v>6.5542417783119769</v>
      </c>
      <c r="M25" s="105">
        <v>2.5580459743131674</v>
      </c>
      <c r="N25" s="106">
        <v>4.6017596020442433</v>
      </c>
      <c r="O25" s="103">
        <v>65.843577839712211</v>
      </c>
      <c r="P25" s="105">
        <v>22.396116080424701</v>
      </c>
      <c r="Q25" s="105">
        <v>1.6613829092562846</v>
      </c>
      <c r="R25" s="105">
        <v>5.8669115290889282</v>
      </c>
      <c r="S25" s="105">
        <v>0.10221565438390363</v>
      </c>
      <c r="T25" s="106">
        <v>4.1297959871339867</v>
      </c>
      <c r="U25" s="103">
        <v>62.002886503966238</v>
      </c>
      <c r="V25" s="105">
        <v>24.203939101277228</v>
      </c>
      <c r="W25" s="105">
        <v>1.8619209358349702</v>
      </c>
      <c r="X25" s="105">
        <v>9.4269226178203649</v>
      </c>
      <c r="Y25" s="105">
        <v>0.57355050839364985</v>
      </c>
      <c r="Z25" s="106">
        <v>1.9307803327075628</v>
      </c>
      <c r="AA25" s="103">
        <v>58.057145842907765</v>
      </c>
      <c r="AB25" s="105">
        <v>34.444103108534868</v>
      </c>
      <c r="AC25" s="105">
        <v>1.5935058361589469</v>
      </c>
      <c r="AD25" s="105">
        <v>4.7739222044611864</v>
      </c>
      <c r="AE25" s="105">
        <v>8.1948022610017615E-2</v>
      </c>
      <c r="AF25" s="106">
        <v>1.049374985327276</v>
      </c>
      <c r="AG25" s="103">
        <v>59.222196830895093</v>
      </c>
      <c r="AH25" s="105">
        <v>34.50013163398534</v>
      </c>
      <c r="AI25" s="105">
        <v>1.5715895104418492E-2</v>
      </c>
      <c r="AJ25" s="105">
        <v>4.0374882899208444</v>
      </c>
      <c r="AK25" s="105">
        <v>3.3276002389457514E-2</v>
      </c>
      <c r="AL25" s="106">
        <v>2.1911913477048239</v>
      </c>
      <c r="AM25" s="103">
        <v>54.311700603961675</v>
      </c>
      <c r="AN25" s="105">
        <v>34.548359522785127</v>
      </c>
      <c r="AO25" s="105">
        <v>3.6137007558161218</v>
      </c>
      <c r="AP25" s="105">
        <v>3.4207439907044037</v>
      </c>
      <c r="AQ25" s="105">
        <v>0.66219067931104525</v>
      </c>
      <c r="AR25" s="105">
        <v>3.4433044474216636</v>
      </c>
      <c r="AS25" s="103">
        <v>99.487609106927792</v>
      </c>
      <c r="AT25" s="105">
        <v>3.0409311739917455E-2</v>
      </c>
      <c r="AU25" s="105">
        <v>0</v>
      </c>
      <c r="AV25" s="105">
        <v>0.48198158133228847</v>
      </c>
      <c r="AW25" s="105">
        <v>0</v>
      </c>
      <c r="AX25" s="106">
        <v>0</v>
      </c>
      <c r="AY25" s="105">
        <v>36.494941252429726</v>
      </c>
      <c r="AZ25" s="105">
        <v>54.696926591516572</v>
      </c>
      <c r="BA25" s="105">
        <v>1.6111672342390075</v>
      </c>
      <c r="BB25" s="105">
        <v>5.1508424999531526</v>
      </c>
      <c r="BC25" s="105">
        <v>0.71730468157743665</v>
      </c>
      <c r="BD25" s="106">
        <v>1.3288177402841213</v>
      </c>
      <c r="BE25" s="103">
        <v>28.447670047754308</v>
      </c>
      <c r="BF25" s="105">
        <v>59.074294204223932</v>
      </c>
      <c r="BG25" s="105">
        <v>6.3839972625840584</v>
      </c>
      <c r="BH25" s="105">
        <v>2.0632046602945953</v>
      </c>
      <c r="BI25" s="105">
        <v>9.9476536076545108E-2</v>
      </c>
      <c r="BJ25" s="106">
        <v>3.9313572890665531</v>
      </c>
      <c r="BK25" s="103">
        <v>21.679635888920874</v>
      </c>
      <c r="BL25" s="105">
        <v>72.740870600948909</v>
      </c>
      <c r="BM25" s="105">
        <v>1.2098253197606776</v>
      </c>
      <c r="BN25" s="105">
        <v>3.5138178419161585</v>
      </c>
      <c r="BO25" s="105">
        <v>0.3141404620014277</v>
      </c>
      <c r="BP25" s="106">
        <v>0.54170988645192841</v>
      </c>
      <c r="BQ25" s="103">
        <v>45.146648159900217</v>
      </c>
      <c r="BR25" s="105">
        <v>49.691107843342124</v>
      </c>
      <c r="BS25" s="105">
        <v>0.94883839611445886</v>
      </c>
      <c r="BT25" s="105">
        <v>1.9345216818427282</v>
      </c>
      <c r="BU25" s="105">
        <v>0</v>
      </c>
      <c r="BV25" s="106">
        <v>2.2788839188004624</v>
      </c>
      <c r="BW25" s="103">
        <v>78.908953890811645</v>
      </c>
      <c r="BX25" s="105">
        <v>18.359941944847606</v>
      </c>
      <c r="BY25" s="105">
        <v>2.2524282683934351</v>
      </c>
      <c r="BZ25" s="105">
        <v>0.28329797923411854</v>
      </c>
      <c r="CA25" s="105">
        <v>0.19537791671318522</v>
      </c>
      <c r="CB25" s="106">
        <v>0</v>
      </c>
    </row>
    <row r="26" spans="1:80" ht="15.75" customHeight="1" x14ac:dyDescent="0.3">
      <c r="A26" s="152"/>
      <c r="B26" s="148" t="s">
        <v>12</v>
      </c>
      <c r="C26" s="97">
        <v>49.830318106862229</v>
      </c>
      <c r="D26" s="131">
        <v>38.13590757077958</v>
      </c>
      <c r="E26" s="131">
        <v>2.6866688368054326</v>
      </c>
      <c r="F26" s="131">
        <v>5.3927571846683371</v>
      </c>
      <c r="G26" s="131">
        <v>0.93145781115624893</v>
      </c>
      <c r="H26" s="191">
        <v>3.0228904897281401</v>
      </c>
      <c r="I26" s="97">
        <v>26.180175333077742</v>
      </c>
      <c r="J26" s="131">
        <v>52.629795630918487</v>
      </c>
      <c r="K26" s="131">
        <v>4.5236124193347385</v>
      </c>
      <c r="L26" s="131">
        <v>8.0976092199821554</v>
      </c>
      <c r="M26" s="131">
        <v>2.070503107032144</v>
      </c>
      <c r="N26" s="191">
        <v>6.4983042896547492</v>
      </c>
      <c r="O26" s="97">
        <v>69.290863476720645</v>
      </c>
      <c r="P26" s="131">
        <v>24.032308237900509</v>
      </c>
      <c r="Q26" s="131">
        <v>0.67254583618505903</v>
      </c>
      <c r="R26" s="131">
        <v>4.8487643998307783</v>
      </c>
      <c r="S26" s="131">
        <v>7.2077599426480107E-2</v>
      </c>
      <c r="T26" s="191">
        <v>1.0834404499364929</v>
      </c>
      <c r="U26" s="97">
        <v>59.678944700450934</v>
      </c>
      <c r="V26" s="131">
        <v>25.123896457550764</v>
      </c>
      <c r="W26" s="131">
        <v>1.2449783575545654</v>
      </c>
      <c r="X26" s="131">
        <v>12.211437048338977</v>
      </c>
      <c r="Y26" s="131">
        <v>0.46574994281977733</v>
      </c>
      <c r="Z26" s="191">
        <v>1.2749934932849987</v>
      </c>
      <c r="AA26" s="97">
        <v>60.990401044693911</v>
      </c>
      <c r="AB26" s="131">
        <v>33.720471217958988</v>
      </c>
      <c r="AC26" s="131">
        <v>1.3019444687978075</v>
      </c>
      <c r="AD26" s="131">
        <v>2.2759076777136871</v>
      </c>
      <c r="AE26" s="131">
        <v>0.12783158781301157</v>
      </c>
      <c r="AF26" s="191">
        <v>1.5834440030226355</v>
      </c>
      <c r="AG26" s="97">
        <v>59.029305749313934</v>
      </c>
      <c r="AH26" s="131">
        <v>34.779843228268788</v>
      </c>
      <c r="AI26" s="131">
        <v>4.8467166605292697E-2</v>
      </c>
      <c r="AJ26" s="131">
        <v>3.2668529314785055</v>
      </c>
      <c r="AK26" s="131">
        <v>1.7212361734520204E-2</v>
      </c>
      <c r="AL26" s="191">
        <v>2.8583185625989298</v>
      </c>
      <c r="AM26" s="97">
        <v>47.919009665449664</v>
      </c>
      <c r="AN26" s="131">
        <v>39.734028932722921</v>
      </c>
      <c r="AO26" s="131">
        <v>4.2252080461561583</v>
      </c>
      <c r="AP26" s="131">
        <v>4.1457360701697326</v>
      </c>
      <c r="AQ26" s="131">
        <v>0.70977801764229309</v>
      </c>
      <c r="AR26" s="131">
        <v>3.2662392678592194</v>
      </c>
      <c r="AS26" s="97">
        <v>98.94317791617982</v>
      </c>
      <c r="AT26" s="131">
        <v>0.18442819373211072</v>
      </c>
      <c r="AU26" s="131">
        <v>0</v>
      </c>
      <c r="AV26" s="131">
        <v>0.87239389008807633</v>
      </c>
      <c r="AW26" s="131">
        <v>0</v>
      </c>
      <c r="AX26" s="191">
        <v>0</v>
      </c>
      <c r="AY26" s="131">
        <v>36.757613542093118</v>
      </c>
      <c r="AZ26" s="131">
        <v>52.369125213420944</v>
      </c>
      <c r="BA26" s="131">
        <v>2.7011373096119815</v>
      </c>
      <c r="BB26" s="131">
        <v>5.9420775776535599</v>
      </c>
      <c r="BC26" s="131">
        <v>0.64812329883822739</v>
      </c>
      <c r="BD26" s="191">
        <v>1.5819230583821811</v>
      </c>
      <c r="BE26" s="97">
        <v>31.951842617503356</v>
      </c>
      <c r="BF26" s="131">
        <v>55.006892795571652</v>
      </c>
      <c r="BG26" s="131">
        <v>6.4703270713618917</v>
      </c>
      <c r="BH26" s="131">
        <v>1.1359602601990595</v>
      </c>
      <c r="BI26" s="131">
        <v>0.2304662623882239</v>
      </c>
      <c r="BJ26" s="191">
        <v>5.2045109929758118</v>
      </c>
      <c r="BK26" s="97">
        <v>28.470967783706591</v>
      </c>
      <c r="BL26" s="131">
        <v>51.945362439081691</v>
      </c>
      <c r="BM26" s="131">
        <v>3.5242669685643491</v>
      </c>
      <c r="BN26" s="131">
        <v>2.2436991345414792</v>
      </c>
      <c r="BO26" s="131">
        <v>9.9900939823023602</v>
      </c>
      <c r="BP26" s="191">
        <v>3.8256096918035341</v>
      </c>
      <c r="BQ26" s="97">
        <v>50.769394568346016</v>
      </c>
      <c r="BR26" s="131">
        <v>45.622026198821253</v>
      </c>
      <c r="BS26" s="131">
        <v>1.734717354271504</v>
      </c>
      <c r="BT26" s="131">
        <v>1.8236866323353758</v>
      </c>
      <c r="BU26" s="131">
        <v>0</v>
      </c>
      <c r="BV26" s="191">
        <v>5.0175246225842442E-2</v>
      </c>
      <c r="BW26" s="97">
        <v>82.171122686850666</v>
      </c>
      <c r="BX26" s="131">
        <v>14.304832071833539</v>
      </c>
      <c r="BY26" s="131">
        <v>0.42449707888450805</v>
      </c>
      <c r="BZ26" s="131">
        <v>3.0275995049932369</v>
      </c>
      <c r="CA26" s="131">
        <v>7.1948657438052205E-2</v>
      </c>
      <c r="CB26" s="191">
        <v>0</v>
      </c>
    </row>
    <row r="27" spans="1:80" ht="15.75" customHeight="1" x14ac:dyDescent="0.3">
      <c r="A27" s="152"/>
      <c r="B27" s="130" t="s">
        <v>13</v>
      </c>
      <c r="C27" s="192">
        <v>58.847822932342332</v>
      </c>
      <c r="D27" s="193">
        <v>30.298652869636211</v>
      </c>
      <c r="E27" s="193">
        <v>3.1304431619815469</v>
      </c>
      <c r="F27" s="193">
        <v>3.6262751845955683</v>
      </c>
      <c r="G27" s="193">
        <v>0.66065750900175979</v>
      </c>
      <c r="H27" s="194">
        <v>3.4361483424425958</v>
      </c>
      <c r="I27" s="192">
        <v>29.304492406613651</v>
      </c>
      <c r="J27" s="193">
        <v>49.850041028894253</v>
      </c>
      <c r="K27" s="193">
        <v>6.2584923261464933</v>
      </c>
      <c r="L27" s="193">
        <v>6.7929626791446891</v>
      </c>
      <c r="M27" s="193">
        <v>1.9707155682431678</v>
      </c>
      <c r="N27" s="194">
        <v>5.8232959909577362</v>
      </c>
      <c r="O27" s="192">
        <v>73.343522363802819</v>
      </c>
      <c r="P27" s="193">
        <v>20.449852209638504</v>
      </c>
      <c r="Q27" s="193">
        <v>0.38446875143779097</v>
      </c>
      <c r="R27" s="193">
        <v>3.6054819818409634</v>
      </c>
      <c r="S27" s="193">
        <v>5.8078331372781213E-2</v>
      </c>
      <c r="T27" s="194">
        <v>2.1585963619071573</v>
      </c>
      <c r="U27" s="192">
        <v>73.613370765358923</v>
      </c>
      <c r="V27" s="193">
        <v>17.297652944505884</v>
      </c>
      <c r="W27" s="193">
        <v>0.67192513718716651</v>
      </c>
      <c r="X27" s="193">
        <v>5.3494500632986979</v>
      </c>
      <c r="Y27" s="193">
        <v>0.5439113866218821</v>
      </c>
      <c r="Z27" s="194">
        <v>2.5236897030274488</v>
      </c>
      <c r="AA27" s="192">
        <v>69.329179221886889</v>
      </c>
      <c r="AB27" s="193">
        <v>27.002626760669614</v>
      </c>
      <c r="AC27" s="193">
        <v>0.88025632422290834</v>
      </c>
      <c r="AD27" s="193">
        <v>1.8828284541413574</v>
      </c>
      <c r="AE27" s="193">
        <v>4.2334755227734812E-2</v>
      </c>
      <c r="AF27" s="194">
        <v>0.862774483851517</v>
      </c>
      <c r="AG27" s="192">
        <v>72.977210988296889</v>
      </c>
      <c r="AH27" s="193">
        <v>21.224787081515981</v>
      </c>
      <c r="AI27" s="193">
        <v>1.3828739979152052</v>
      </c>
      <c r="AJ27" s="193">
        <v>2.6132656278120883</v>
      </c>
      <c r="AK27" s="193">
        <v>5.2131962956834116E-2</v>
      </c>
      <c r="AL27" s="194">
        <v>1.7497303415030097</v>
      </c>
      <c r="AM27" s="192">
        <v>59.654178696423678</v>
      </c>
      <c r="AN27" s="193">
        <v>26.897857559507472</v>
      </c>
      <c r="AO27" s="193">
        <v>6.0345366358182027</v>
      </c>
      <c r="AP27" s="193">
        <v>2.495153376338183</v>
      </c>
      <c r="AQ27" s="193">
        <v>0.33595496255048818</v>
      </c>
      <c r="AR27" s="193">
        <v>4.5823187693619847</v>
      </c>
      <c r="AS27" s="192">
        <v>99.201534119515117</v>
      </c>
      <c r="AT27" s="193">
        <v>0.21542542891444949</v>
      </c>
      <c r="AU27" s="193">
        <v>0</v>
      </c>
      <c r="AV27" s="193">
        <v>0.53614306184888272</v>
      </c>
      <c r="AW27" s="193">
        <v>0</v>
      </c>
      <c r="AX27" s="194">
        <v>4.6897389721544482E-2</v>
      </c>
      <c r="AY27" s="193">
        <v>42.390160027333259</v>
      </c>
      <c r="AZ27" s="193">
        <v>42.953283463101485</v>
      </c>
      <c r="BA27" s="193">
        <v>3.2573520629109356</v>
      </c>
      <c r="BB27" s="193">
        <v>4.7031813800517224</v>
      </c>
      <c r="BC27" s="193">
        <v>0.66913008574976174</v>
      </c>
      <c r="BD27" s="194">
        <v>6.0268929808528302</v>
      </c>
      <c r="BE27" s="192">
        <v>43.214074634986446</v>
      </c>
      <c r="BF27" s="193">
        <v>43.833547857875061</v>
      </c>
      <c r="BG27" s="193">
        <v>6.3360593348973326</v>
      </c>
      <c r="BH27" s="193">
        <v>1.2902759031662452</v>
      </c>
      <c r="BI27" s="193">
        <v>0.10471209307350525</v>
      </c>
      <c r="BJ27" s="194">
        <v>5.2213301760013753</v>
      </c>
      <c r="BK27" s="192">
        <v>35.242257166663713</v>
      </c>
      <c r="BL27" s="193">
        <v>50.022514936089479</v>
      </c>
      <c r="BM27" s="193">
        <v>3.3479887248036593</v>
      </c>
      <c r="BN27" s="193">
        <v>1.9966493520307758</v>
      </c>
      <c r="BO27" s="193">
        <v>5.3704327477086178</v>
      </c>
      <c r="BP27" s="194">
        <v>4.0201570727037419</v>
      </c>
      <c r="BQ27" s="192">
        <v>62.518647402792652</v>
      </c>
      <c r="BR27" s="193">
        <v>34.928860097526041</v>
      </c>
      <c r="BS27" s="193">
        <v>0.66288901669191891</v>
      </c>
      <c r="BT27" s="193">
        <v>1.8497055826893709</v>
      </c>
      <c r="BU27" s="193">
        <v>3.9897900300012737E-2</v>
      </c>
      <c r="BV27" s="194">
        <v>0</v>
      </c>
      <c r="BW27" s="192">
        <v>78.633958158168056</v>
      </c>
      <c r="BX27" s="193">
        <v>15.801968445521538</v>
      </c>
      <c r="BY27" s="193">
        <v>2.7202136604184184</v>
      </c>
      <c r="BZ27" s="193">
        <v>1.2117315396409318</v>
      </c>
      <c r="CA27" s="193">
        <v>0</v>
      </c>
      <c r="CB27" s="194">
        <v>1.6321281962510508</v>
      </c>
    </row>
    <row r="28" spans="1:80" ht="15.75" customHeight="1" x14ac:dyDescent="0.3">
      <c r="A28" s="147" t="s">
        <v>52</v>
      </c>
      <c r="B28" s="148" t="s">
        <v>54</v>
      </c>
      <c r="C28" s="97">
        <v>60.952456485502395</v>
      </c>
      <c r="D28" s="131">
        <v>29.209494765509397</v>
      </c>
      <c r="E28" s="131">
        <v>2.6714670745881519</v>
      </c>
      <c r="F28" s="131">
        <v>3.8421865343145241</v>
      </c>
      <c r="G28" s="131">
        <v>0.60686550692085417</v>
      </c>
      <c r="H28" s="191">
        <v>2.7175296331646757</v>
      </c>
      <c r="I28" s="97">
        <v>29.348702771446877</v>
      </c>
      <c r="J28" s="131">
        <v>51.793639388323911</v>
      </c>
      <c r="K28" s="131">
        <v>5.1940730243691906</v>
      </c>
      <c r="L28" s="131">
        <v>7.969698729083234</v>
      </c>
      <c r="M28" s="131">
        <v>1.919614246604521</v>
      </c>
      <c r="N28" s="191">
        <v>3.7742718401722408</v>
      </c>
      <c r="O28" s="97">
        <v>75.617278103233957</v>
      </c>
      <c r="P28" s="131">
        <v>17.596169811481428</v>
      </c>
      <c r="Q28" s="131">
        <v>1.8017670424549996</v>
      </c>
      <c r="R28" s="131">
        <v>4.1863004717222134</v>
      </c>
      <c r="S28" s="131">
        <v>0.68050080039508898</v>
      </c>
      <c r="T28" s="191">
        <v>0.11798377071235168</v>
      </c>
      <c r="U28" s="97">
        <v>77.502701553684147</v>
      </c>
      <c r="V28" s="131">
        <v>13.19422606488444</v>
      </c>
      <c r="W28" s="131">
        <v>1.6209948688298472</v>
      </c>
      <c r="X28" s="131">
        <v>3.473081544431071</v>
      </c>
      <c r="Y28" s="131">
        <v>0.47795785176805794</v>
      </c>
      <c r="Z28" s="191">
        <v>3.7310381164024422</v>
      </c>
      <c r="AA28" s="97">
        <v>71.44546373818774</v>
      </c>
      <c r="AB28" s="131">
        <v>22.335955724455236</v>
      </c>
      <c r="AC28" s="131">
        <v>2.5150475739136513</v>
      </c>
      <c r="AD28" s="131">
        <v>1.8399380233343712</v>
      </c>
      <c r="AE28" s="131">
        <v>3.9891754431215572E-2</v>
      </c>
      <c r="AF28" s="191">
        <v>1.8237031856777539</v>
      </c>
      <c r="AG28" s="97">
        <v>78.250760238819254</v>
      </c>
      <c r="AH28" s="131">
        <v>18.029102884859888</v>
      </c>
      <c r="AI28" s="131">
        <v>0.14761918820875064</v>
      </c>
      <c r="AJ28" s="131">
        <v>2.9790123609641528</v>
      </c>
      <c r="AK28" s="131">
        <v>1.1066677206359243E-2</v>
      </c>
      <c r="AL28" s="191">
        <v>0.58243864994157135</v>
      </c>
      <c r="AM28" s="97">
        <v>59.773088333746529</v>
      </c>
      <c r="AN28" s="131">
        <v>28.325214711539076</v>
      </c>
      <c r="AO28" s="131">
        <v>3.3627461223991779</v>
      </c>
      <c r="AP28" s="131">
        <v>3.17925669557714</v>
      </c>
      <c r="AQ28" s="131">
        <v>0.33191539150923954</v>
      </c>
      <c r="AR28" s="131">
        <v>5.0277787452288525</v>
      </c>
      <c r="AS28" s="97">
        <v>99.473504931238068</v>
      </c>
      <c r="AT28" s="131">
        <v>1.7130361391327953E-2</v>
      </c>
      <c r="AU28" s="131">
        <v>0</v>
      </c>
      <c r="AV28" s="131">
        <v>0.3439249479335843</v>
      </c>
      <c r="AW28" s="131">
        <v>0</v>
      </c>
      <c r="AX28" s="191">
        <v>0.16543975943701725</v>
      </c>
      <c r="AY28" s="131">
        <v>43.760934589988146</v>
      </c>
      <c r="AZ28" s="131">
        <v>43.005129789313287</v>
      </c>
      <c r="BA28" s="131">
        <v>2.3959561695592901</v>
      </c>
      <c r="BB28" s="131">
        <v>5.5293381175722764</v>
      </c>
      <c r="BC28" s="131">
        <v>0.27813586961364695</v>
      </c>
      <c r="BD28" s="191">
        <v>5.0305054639533546</v>
      </c>
      <c r="BE28" s="97">
        <v>42.433836095513172</v>
      </c>
      <c r="BF28" s="131">
        <v>49.622320653833881</v>
      </c>
      <c r="BG28" s="131">
        <v>4.1855453495291028</v>
      </c>
      <c r="BH28" s="131">
        <v>0.69331929784510848</v>
      </c>
      <c r="BI28" s="131">
        <v>0.81121528515398345</v>
      </c>
      <c r="BJ28" s="191">
        <v>2.2537633181246974</v>
      </c>
      <c r="BK28" s="97">
        <v>44.921064984763404</v>
      </c>
      <c r="BL28" s="131">
        <v>50.042892364984851</v>
      </c>
      <c r="BM28" s="131">
        <v>1.170243062540987</v>
      </c>
      <c r="BN28" s="131">
        <v>2.143398973892702</v>
      </c>
      <c r="BO28" s="131">
        <v>0</v>
      </c>
      <c r="BP28" s="191">
        <v>1.722400613818047</v>
      </c>
      <c r="BQ28" s="97">
        <v>59.425875601469592</v>
      </c>
      <c r="BR28" s="131">
        <v>36.881786718826135</v>
      </c>
      <c r="BS28" s="131">
        <v>1.3631799751139475</v>
      </c>
      <c r="BT28" s="131">
        <v>0.71405744643719216</v>
      </c>
      <c r="BU28" s="131">
        <v>0</v>
      </c>
      <c r="BV28" s="191">
        <v>1.6151002581531282</v>
      </c>
      <c r="BW28" s="97">
        <v>80.510490445008685</v>
      </c>
      <c r="BX28" s="131">
        <v>14.242950688226646</v>
      </c>
      <c r="BY28" s="131">
        <v>3.1030335426967794</v>
      </c>
      <c r="BZ28" s="131">
        <v>0</v>
      </c>
      <c r="CA28" s="131">
        <v>2.6727248429774156E-2</v>
      </c>
      <c r="CB28" s="191">
        <v>2.1167980756381133</v>
      </c>
    </row>
    <row r="29" spans="1:80" ht="15.75" customHeight="1" x14ac:dyDescent="0.3">
      <c r="A29" s="101"/>
      <c r="B29" s="86" t="s">
        <v>56</v>
      </c>
      <c r="C29" s="103">
        <v>50.550149220409715</v>
      </c>
      <c r="D29" s="105">
        <v>38.526220319020887</v>
      </c>
      <c r="E29" s="105">
        <v>3.1321384614507188</v>
      </c>
      <c r="F29" s="105">
        <v>4.5239387683547907</v>
      </c>
      <c r="G29" s="105">
        <v>0.62050204883607119</v>
      </c>
      <c r="H29" s="106">
        <v>2.6470511819277824</v>
      </c>
      <c r="I29" s="103">
        <v>22.817398454490991</v>
      </c>
      <c r="J29" s="105">
        <v>60.343800166852887</v>
      </c>
      <c r="K29" s="105">
        <v>5.4209436387530658</v>
      </c>
      <c r="L29" s="105">
        <v>5.434669409687868</v>
      </c>
      <c r="M29" s="105">
        <v>2.1015787036185318</v>
      </c>
      <c r="N29" s="106">
        <v>3.8816096265966404</v>
      </c>
      <c r="O29" s="103">
        <v>71.912360668830814</v>
      </c>
      <c r="P29" s="105">
        <v>18.128276638565744</v>
      </c>
      <c r="Q29" s="105">
        <v>1.33330037382556</v>
      </c>
      <c r="R29" s="105">
        <v>6.1903311518259132</v>
      </c>
      <c r="S29" s="105">
        <v>0</v>
      </c>
      <c r="T29" s="106">
        <v>2.4357311669519728</v>
      </c>
      <c r="U29" s="103">
        <v>63.349145340891766</v>
      </c>
      <c r="V29" s="105">
        <v>24.523046540224307</v>
      </c>
      <c r="W29" s="105">
        <v>1.2688462580402811</v>
      </c>
      <c r="X29" s="105">
        <v>7.977514907313318</v>
      </c>
      <c r="Y29" s="105">
        <v>0.27872219575837709</v>
      </c>
      <c r="Z29" s="106">
        <v>2.6027247577718935</v>
      </c>
      <c r="AA29" s="103">
        <v>65.219407382150095</v>
      </c>
      <c r="AB29" s="105">
        <v>28.920429232811696</v>
      </c>
      <c r="AC29" s="105">
        <v>2.0808028408295618</v>
      </c>
      <c r="AD29" s="105">
        <v>2.3655415888111304</v>
      </c>
      <c r="AE29" s="105">
        <v>0.17255285639514076</v>
      </c>
      <c r="AF29" s="106">
        <v>1.2412660990023912</v>
      </c>
      <c r="AG29" s="103">
        <v>69.419402826291787</v>
      </c>
      <c r="AH29" s="105">
        <v>26.606118848300685</v>
      </c>
      <c r="AI29" s="105">
        <v>0.44059692027143671</v>
      </c>
      <c r="AJ29" s="105">
        <v>2.7082963124062323</v>
      </c>
      <c r="AK29" s="105">
        <v>4.8919195214406058E-3</v>
      </c>
      <c r="AL29" s="106">
        <v>0.82069317320843038</v>
      </c>
      <c r="AM29" s="103">
        <v>46.943196407126315</v>
      </c>
      <c r="AN29" s="105">
        <v>41.258986927954084</v>
      </c>
      <c r="AO29" s="105">
        <v>3.5399566088910697</v>
      </c>
      <c r="AP29" s="105">
        <v>4.3119661197859145</v>
      </c>
      <c r="AQ29" s="105">
        <v>0.19639662575822531</v>
      </c>
      <c r="AR29" s="105">
        <v>3.7494973104844407</v>
      </c>
      <c r="AS29" s="103">
        <v>99.377719579815889</v>
      </c>
      <c r="AT29" s="105">
        <v>0.12012986385925878</v>
      </c>
      <c r="AU29" s="105">
        <v>0</v>
      </c>
      <c r="AV29" s="105">
        <v>0.50215055632487604</v>
      </c>
      <c r="AW29" s="105">
        <v>0</v>
      </c>
      <c r="AX29" s="106">
        <v>0</v>
      </c>
      <c r="AY29" s="105">
        <v>33.840443227639604</v>
      </c>
      <c r="AZ29" s="105">
        <v>51.660404652336858</v>
      </c>
      <c r="BA29" s="105">
        <v>4.8981249555024835</v>
      </c>
      <c r="BB29" s="105">
        <v>5.5010663223367864</v>
      </c>
      <c r="BC29" s="105">
        <v>0.56091143861284276</v>
      </c>
      <c r="BD29" s="106">
        <v>3.539049403571453</v>
      </c>
      <c r="BE29" s="103">
        <v>29.819346619395766</v>
      </c>
      <c r="BF29" s="105">
        <v>59.452655075663628</v>
      </c>
      <c r="BG29" s="105">
        <v>6.7931933109934617</v>
      </c>
      <c r="BH29" s="105">
        <v>2.2711231252791935</v>
      </c>
      <c r="BI29" s="105">
        <v>0.14453889931806257</v>
      </c>
      <c r="BJ29" s="106">
        <v>1.5191429693499263</v>
      </c>
      <c r="BK29" s="103">
        <v>36.059575905076031</v>
      </c>
      <c r="BL29" s="105">
        <v>55.246768526594394</v>
      </c>
      <c r="BM29" s="105">
        <v>2.7937094486249769</v>
      </c>
      <c r="BN29" s="105">
        <v>1.6908303480495011</v>
      </c>
      <c r="BO29" s="105">
        <v>0.62182807991490985</v>
      </c>
      <c r="BP29" s="106">
        <v>3.5872876917401828</v>
      </c>
      <c r="BQ29" s="103">
        <v>38.729612267920302</v>
      </c>
      <c r="BR29" s="105">
        <v>57.829173764076835</v>
      </c>
      <c r="BS29" s="105">
        <v>1.0877951511392558</v>
      </c>
      <c r="BT29" s="105">
        <v>2.3534188168635959</v>
      </c>
      <c r="BU29" s="105">
        <v>0</v>
      </c>
      <c r="BV29" s="106">
        <v>0</v>
      </c>
      <c r="BW29" s="103">
        <v>73.054110301768986</v>
      </c>
      <c r="BX29" s="105">
        <v>24.578563995837669</v>
      </c>
      <c r="BY29" s="105">
        <v>1.4177939646201874</v>
      </c>
      <c r="BZ29" s="105">
        <v>0.16909469302809574</v>
      </c>
      <c r="CA29" s="105">
        <v>0.78043704474505715</v>
      </c>
      <c r="CB29" s="106">
        <v>0</v>
      </c>
    </row>
    <row r="30" spans="1:80" ht="15.75" customHeight="1" x14ac:dyDescent="0.3">
      <c r="A30" s="101"/>
      <c r="B30" s="148" t="s">
        <v>65</v>
      </c>
      <c r="C30" s="97">
        <v>48.188753671852972</v>
      </c>
      <c r="D30" s="131">
        <v>40.569817556212087</v>
      </c>
      <c r="E30" s="131">
        <v>3.8058559987510203</v>
      </c>
      <c r="F30" s="131">
        <v>3.9729001909600812</v>
      </c>
      <c r="G30" s="131">
        <v>0.84682916648447981</v>
      </c>
      <c r="H30" s="191">
        <v>2.6158434157392394</v>
      </c>
      <c r="I30" s="97">
        <v>22.832086522874025</v>
      </c>
      <c r="J30" s="131">
        <v>54.815565515194486</v>
      </c>
      <c r="K30" s="131">
        <v>8.1479085490677292</v>
      </c>
      <c r="L30" s="131">
        <v>5.7287358827391692</v>
      </c>
      <c r="M30" s="131">
        <v>2.6468536457523042</v>
      </c>
      <c r="N30" s="191">
        <v>5.8288498843722847</v>
      </c>
      <c r="O30" s="97">
        <v>74.509187772300677</v>
      </c>
      <c r="P30" s="131">
        <v>19.514958086939398</v>
      </c>
      <c r="Q30" s="131">
        <v>0.86970515684764316</v>
      </c>
      <c r="R30" s="131">
        <v>4.1555109961295367</v>
      </c>
      <c r="S30" s="131">
        <v>0.12850031189790889</v>
      </c>
      <c r="T30" s="191">
        <v>0.82213767588480169</v>
      </c>
      <c r="U30" s="97">
        <v>55.710035819137126</v>
      </c>
      <c r="V30" s="131">
        <v>33.223600486601342</v>
      </c>
      <c r="W30" s="131">
        <v>2.1091192685989242</v>
      </c>
      <c r="X30" s="131">
        <v>7.5369635607703307</v>
      </c>
      <c r="Y30" s="131">
        <v>0.52046845609839276</v>
      </c>
      <c r="Z30" s="191">
        <v>0.89981240879386371</v>
      </c>
      <c r="AA30" s="97">
        <v>62.401535493654492</v>
      </c>
      <c r="AB30" s="131">
        <v>30.904686576560099</v>
      </c>
      <c r="AC30" s="131">
        <v>1.5146664441508593</v>
      </c>
      <c r="AD30" s="131">
        <v>3.5241221322420175</v>
      </c>
      <c r="AE30" s="131">
        <v>0.24873207207022299</v>
      </c>
      <c r="AF30" s="191">
        <v>1.406257281322282</v>
      </c>
      <c r="AG30" s="97">
        <v>65.900257103423982</v>
      </c>
      <c r="AH30" s="131">
        <v>28.971825213778107</v>
      </c>
      <c r="AI30" s="131">
        <v>2.9787731933690962</v>
      </c>
      <c r="AJ30" s="131">
        <v>0.39756998365001095</v>
      </c>
      <c r="AK30" s="131">
        <v>5.08448515299706E-3</v>
      </c>
      <c r="AL30" s="191">
        <v>1.7464900206258576</v>
      </c>
      <c r="AM30" s="97">
        <v>41.74913505185625</v>
      </c>
      <c r="AN30" s="131">
        <v>45.666551351541855</v>
      </c>
      <c r="AO30" s="131">
        <v>4.7592901241574586</v>
      </c>
      <c r="AP30" s="131">
        <v>3.7982498077987148</v>
      </c>
      <c r="AQ30" s="131">
        <v>0.33844029121756186</v>
      </c>
      <c r="AR30" s="131">
        <v>3.688333373428212</v>
      </c>
      <c r="AS30" s="97">
        <v>99.702888074215593</v>
      </c>
      <c r="AT30" s="131">
        <v>9.035989053544688E-2</v>
      </c>
      <c r="AU30" s="131">
        <v>0</v>
      </c>
      <c r="AV30" s="131">
        <v>6.6694204919020311E-2</v>
      </c>
      <c r="AW30" s="131">
        <v>0</v>
      </c>
      <c r="AX30" s="191">
        <v>0.14005783032994268</v>
      </c>
      <c r="AY30" s="131">
        <v>26.759183203979266</v>
      </c>
      <c r="AZ30" s="131">
        <v>61.772447954839379</v>
      </c>
      <c r="BA30" s="131">
        <v>4.8717544126126464</v>
      </c>
      <c r="BB30" s="131">
        <v>4.2360196604400731</v>
      </c>
      <c r="BC30" s="131">
        <v>0.39713145154273682</v>
      </c>
      <c r="BD30" s="191">
        <v>1.9634633165858779</v>
      </c>
      <c r="BE30" s="97">
        <v>22.530958921342268</v>
      </c>
      <c r="BF30" s="131">
        <v>68.113639493812556</v>
      </c>
      <c r="BG30" s="131">
        <v>4.8334849784569931</v>
      </c>
      <c r="BH30" s="131">
        <v>0.85076710020182011</v>
      </c>
      <c r="BI30" s="131">
        <v>1.4745545266340532</v>
      </c>
      <c r="BJ30" s="191">
        <v>2.1965949795523092</v>
      </c>
      <c r="BK30" s="97">
        <v>31.221519892058879</v>
      </c>
      <c r="BL30" s="131">
        <v>61.494719740048765</v>
      </c>
      <c r="BM30" s="131">
        <v>1.7437583457393591</v>
      </c>
      <c r="BN30" s="131">
        <v>2.4875968803059738</v>
      </c>
      <c r="BO30" s="131">
        <v>0.48339916952266743</v>
      </c>
      <c r="BP30" s="191">
        <v>2.5690059723243963</v>
      </c>
      <c r="BQ30" s="97">
        <v>31.360539335519256</v>
      </c>
      <c r="BR30" s="131">
        <v>65.799920158248128</v>
      </c>
      <c r="BS30" s="131">
        <v>0.87108248370645136</v>
      </c>
      <c r="BT30" s="131">
        <v>1.9684580225261386</v>
      </c>
      <c r="BU30" s="131">
        <v>0</v>
      </c>
      <c r="BV30" s="191">
        <v>0</v>
      </c>
      <c r="BW30" s="97">
        <v>71.836632422951638</v>
      </c>
      <c r="BX30" s="131">
        <v>27.252985884907709</v>
      </c>
      <c r="BY30" s="131">
        <v>0.79345193351708021</v>
      </c>
      <c r="BZ30" s="131">
        <v>0.1169297586235697</v>
      </c>
      <c r="CA30" s="131">
        <v>0</v>
      </c>
      <c r="CB30" s="191">
        <v>0</v>
      </c>
    </row>
    <row r="31" spans="1:80" ht="15.75" customHeight="1" x14ac:dyDescent="0.3">
      <c r="A31" s="101"/>
      <c r="B31" s="130" t="s">
        <v>66</v>
      </c>
      <c r="C31" s="192">
        <v>7.9695024205651999</v>
      </c>
      <c r="D31" s="193">
        <v>68.03260718550392</v>
      </c>
      <c r="E31" s="193">
        <v>11.962954373931936</v>
      </c>
      <c r="F31" s="193">
        <v>0.74722055698915968</v>
      </c>
      <c r="G31" s="193">
        <v>3.147170060686749</v>
      </c>
      <c r="H31" s="194">
        <v>8.1405454023229833</v>
      </c>
      <c r="I31" s="192">
        <v>2.7718298686576599</v>
      </c>
      <c r="J31" s="193">
        <v>63.988186961170776</v>
      </c>
      <c r="K31" s="193">
        <v>18.121276601446613</v>
      </c>
      <c r="L31" s="193">
        <v>1.661007592182169</v>
      </c>
      <c r="M31" s="193">
        <v>1.8381495764403837</v>
      </c>
      <c r="N31" s="194">
        <v>11.619549400102368</v>
      </c>
      <c r="O31" s="192">
        <v>3.7534862297090044</v>
      </c>
      <c r="P31" s="193">
        <v>54.332288940742949</v>
      </c>
      <c r="Q31" s="193">
        <v>2.1992984516331497</v>
      </c>
      <c r="R31" s="193">
        <v>0.19993622287574089</v>
      </c>
      <c r="S31" s="193">
        <v>19.953635042998943</v>
      </c>
      <c r="T31" s="194">
        <v>19.561355112040214</v>
      </c>
      <c r="U31" s="192">
        <v>0</v>
      </c>
      <c r="V31" s="193">
        <v>99.939237028426504</v>
      </c>
      <c r="W31" s="193">
        <v>0</v>
      </c>
      <c r="X31" s="193">
        <v>0</v>
      </c>
      <c r="Y31" s="193">
        <v>6.0762971573496777E-2</v>
      </c>
      <c r="Z31" s="194">
        <v>0</v>
      </c>
      <c r="AA31" s="192">
        <v>20.555815351726899</v>
      </c>
      <c r="AB31" s="193">
        <v>73.970014219863899</v>
      </c>
      <c r="AC31" s="193">
        <v>0</v>
      </c>
      <c r="AD31" s="193">
        <v>0</v>
      </c>
      <c r="AE31" s="193">
        <v>0.50580723972400099</v>
      </c>
      <c r="AF31" s="194">
        <v>4.9683631886851876</v>
      </c>
      <c r="AG31" s="192">
        <v>0</v>
      </c>
      <c r="AH31" s="193">
        <v>93.126472898664574</v>
      </c>
      <c r="AI31" s="193">
        <v>6.8735271013354273</v>
      </c>
      <c r="AJ31" s="193">
        <v>0</v>
      </c>
      <c r="AK31" s="193">
        <v>0</v>
      </c>
      <c r="AL31" s="194">
        <v>0</v>
      </c>
      <c r="AM31" s="192">
        <v>26.182762293626844</v>
      </c>
      <c r="AN31" s="193">
        <v>57.239925439375106</v>
      </c>
      <c r="AO31" s="193">
        <v>12.387049529557963</v>
      </c>
      <c r="AP31" s="193">
        <v>0</v>
      </c>
      <c r="AQ31" s="193">
        <v>0.45801526717557256</v>
      </c>
      <c r="AR31" s="193">
        <v>3.7322474702645132</v>
      </c>
      <c r="AS31" s="192" t="s">
        <v>108</v>
      </c>
      <c r="AT31" s="193" t="s">
        <v>108</v>
      </c>
      <c r="AU31" s="193" t="s">
        <v>108</v>
      </c>
      <c r="AV31" s="193" t="s">
        <v>108</v>
      </c>
      <c r="AW31" s="193" t="s">
        <v>108</v>
      </c>
      <c r="AX31" s="194" t="s">
        <v>108</v>
      </c>
      <c r="AY31" s="193">
        <v>7.8142565880985488</v>
      </c>
      <c r="AZ31" s="193">
        <v>55.51151845429775</v>
      </c>
      <c r="BA31" s="193">
        <v>28.83138659705417</v>
      </c>
      <c r="BB31" s="193">
        <v>0.4401592957451268</v>
      </c>
      <c r="BC31" s="193">
        <v>0.24008688858825097</v>
      </c>
      <c r="BD31" s="194">
        <v>7.1625921762161555</v>
      </c>
      <c r="BE31" s="192">
        <v>4.3348731073061355</v>
      </c>
      <c r="BF31" s="193">
        <v>89.712302609164155</v>
      </c>
      <c r="BG31" s="193">
        <v>3.6289012669460976</v>
      </c>
      <c r="BH31" s="193">
        <v>0</v>
      </c>
      <c r="BI31" s="193">
        <v>1.0664849574911459</v>
      </c>
      <c r="BJ31" s="194">
        <v>1.2574380590924579</v>
      </c>
      <c r="BK31" s="192">
        <v>0.44663483751732624</v>
      </c>
      <c r="BL31" s="193">
        <v>89.579987239004623</v>
      </c>
      <c r="BM31" s="193">
        <v>7.1395568854370621</v>
      </c>
      <c r="BN31" s="193">
        <v>1.2760995357637894</v>
      </c>
      <c r="BO31" s="193">
        <v>0.77886075113858866</v>
      </c>
      <c r="BP31" s="194">
        <v>0.77886075113858866</v>
      </c>
      <c r="BQ31" s="192">
        <v>0</v>
      </c>
      <c r="BR31" s="193">
        <v>100</v>
      </c>
      <c r="BS31" s="193">
        <v>0</v>
      </c>
      <c r="BT31" s="193">
        <v>0</v>
      </c>
      <c r="BU31" s="193">
        <v>0</v>
      </c>
      <c r="BV31" s="194">
        <v>0</v>
      </c>
      <c r="BW31" s="192">
        <v>0</v>
      </c>
      <c r="BX31" s="193">
        <v>100</v>
      </c>
      <c r="BY31" s="193">
        <v>0</v>
      </c>
      <c r="BZ31" s="193">
        <v>0</v>
      </c>
      <c r="CA31" s="193">
        <v>0</v>
      </c>
      <c r="CB31" s="194">
        <v>0</v>
      </c>
    </row>
    <row r="32" spans="1:80" ht="15.75" customHeight="1" x14ac:dyDescent="0.3">
      <c r="A32" s="101"/>
      <c r="B32" s="148" t="s">
        <v>15</v>
      </c>
      <c r="C32" s="97">
        <v>6.5051040208958675</v>
      </c>
      <c r="D32" s="131">
        <v>67.637174147910258</v>
      </c>
      <c r="E32" s="131">
        <v>7.6312980288639531</v>
      </c>
      <c r="F32" s="131">
        <v>1.0915083234348348</v>
      </c>
      <c r="G32" s="131">
        <v>0.47272041569856221</v>
      </c>
      <c r="H32" s="191">
        <v>16.662195063196396</v>
      </c>
      <c r="I32" s="97">
        <v>0.11194703581101409</v>
      </c>
      <c r="J32" s="131">
        <v>60.968702979235609</v>
      </c>
      <c r="K32" s="131">
        <v>5.5290400240746296</v>
      </c>
      <c r="L32" s="131">
        <v>2.2660246764971403</v>
      </c>
      <c r="M32" s="131">
        <v>1.0653024375564246</v>
      </c>
      <c r="N32" s="191">
        <v>30.058982846825149</v>
      </c>
      <c r="O32" s="97">
        <v>2.3251843959524135E-2</v>
      </c>
      <c r="P32" s="131">
        <v>40.626416449355133</v>
      </c>
      <c r="Q32" s="131">
        <v>2.4181917717905099</v>
      </c>
      <c r="R32" s="131">
        <v>0</v>
      </c>
      <c r="S32" s="131">
        <v>0.3030097893206341</v>
      </c>
      <c r="T32" s="191">
        <v>56.629130145574216</v>
      </c>
      <c r="U32" s="97">
        <v>0</v>
      </c>
      <c r="V32" s="131">
        <v>97.872191869294284</v>
      </c>
      <c r="W32" s="131">
        <v>2.110602135039636</v>
      </c>
      <c r="X32" s="131">
        <v>0</v>
      </c>
      <c r="Y32" s="131">
        <v>1.7205995666083992E-2</v>
      </c>
      <c r="Z32" s="191">
        <v>0</v>
      </c>
      <c r="AA32" s="97">
        <v>9.702875834809868</v>
      </c>
      <c r="AB32" s="131">
        <v>83.456453591386122</v>
      </c>
      <c r="AC32" s="131">
        <v>0.18059152242060786</v>
      </c>
      <c r="AD32" s="131">
        <v>0</v>
      </c>
      <c r="AE32" s="131">
        <v>0</v>
      </c>
      <c r="AF32" s="191">
        <v>6.6600790513833985</v>
      </c>
      <c r="AG32" s="97">
        <v>0</v>
      </c>
      <c r="AH32" s="131">
        <v>86.534308947102147</v>
      </c>
      <c r="AI32" s="131">
        <v>11.660476537146945</v>
      </c>
      <c r="AJ32" s="131">
        <v>0</v>
      </c>
      <c r="AK32" s="131">
        <v>0</v>
      </c>
      <c r="AL32" s="191">
        <v>1.8052145157508981</v>
      </c>
      <c r="AM32" s="97">
        <v>22.895443114200496</v>
      </c>
      <c r="AN32" s="131">
        <v>55.290445421127977</v>
      </c>
      <c r="AO32" s="131">
        <v>14.012364264934918</v>
      </c>
      <c r="AP32" s="131">
        <v>1.7174154613963304</v>
      </c>
      <c r="AQ32" s="131">
        <v>0</v>
      </c>
      <c r="AR32" s="131">
        <v>6.0843317383402695</v>
      </c>
      <c r="AS32" s="97" t="s">
        <v>108</v>
      </c>
      <c r="AT32" s="131" t="s">
        <v>108</v>
      </c>
      <c r="AU32" s="131" t="s">
        <v>108</v>
      </c>
      <c r="AV32" s="131" t="s">
        <v>108</v>
      </c>
      <c r="AW32" s="131" t="s">
        <v>108</v>
      </c>
      <c r="AX32" s="191" t="s">
        <v>108</v>
      </c>
      <c r="AY32" s="131">
        <v>0.3549220591158182</v>
      </c>
      <c r="AZ32" s="131">
        <v>80.183991595445647</v>
      </c>
      <c r="BA32" s="131">
        <v>15.90618700133451</v>
      </c>
      <c r="BB32" s="131">
        <v>0.87055282659927891</v>
      </c>
      <c r="BC32" s="131">
        <v>4.7701524745165973E-2</v>
      </c>
      <c r="BD32" s="191">
        <v>2.6366449927595905</v>
      </c>
      <c r="BE32" s="97">
        <v>1.9592014158412774</v>
      </c>
      <c r="BF32" s="131">
        <v>94.275312820194372</v>
      </c>
      <c r="BG32" s="131">
        <v>1.7426335889713418</v>
      </c>
      <c r="BH32" s="131">
        <v>0</v>
      </c>
      <c r="BI32" s="131">
        <v>1.8582916757226695</v>
      </c>
      <c r="BJ32" s="191">
        <v>0.164560499270345</v>
      </c>
      <c r="BK32" s="97">
        <v>1.3923712990130706</v>
      </c>
      <c r="BL32" s="131">
        <v>94.933760113808134</v>
      </c>
      <c r="BM32" s="131">
        <v>0</v>
      </c>
      <c r="BN32" s="131">
        <v>0</v>
      </c>
      <c r="BO32" s="131">
        <v>0.7344180670400996</v>
      </c>
      <c r="BP32" s="191">
        <v>2.9394505201387044</v>
      </c>
      <c r="BQ32" s="97">
        <v>0</v>
      </c>
      <c r="BR32" s="131">
        <v>100</v>
      </c>
      <c r="BS32" s="131">
        <v>0</v>
      </c>
      <c r="BT32" s="131">
        <v>0</v>
      </c>
      <c r="BU32" s="131">
        <v>0</v>
      </c>
      <c r="BV32" s="191">
        <v>0</v>
      </c>
      <c r="BW32" s="97">
        <v>0</v>
      </c>
      <c r="BX32" s="131">
        <v>90.927419354838719</v>
      </c>
      <c r="BY32" s="131">
        <v>9.07258064516129</v>
      </c>
      <c r="BZ32" s="131">
        <v>0</v>
      </c>
      <c r="CA32" s="131">
        <v>0</v>
      </c>
      <c r="CB32" s="191">
        <v>0</v>
      </c>
    </row>
    <row r="33" spans="1:80" ht="15.75" customHeight="1" x14ac:dyDescent="0.3">
      <c r="A33" s="101"/>
      <c r="B33" s="130" t="s">
        <v>16</v>
      </c>
      <c r="C33" s="192">
        <v>3.7692258658895312</v>
      </c>
      <c r="D33" s="193">
        <v>66.305211429968452</v>
      </c>
      <c r="E33" s="193">
        <v>12.316010128207951</v>
      </c>
      <c r="F33" s="193">
        <v>0.43341804676443935</v>
      </c>
      <c r="G33" s="193">
        <v>1.6743857981700674</v>
      </c>
      <c r="H33" s="194">
        <v>15.501748730999477</v>
      </c>
      <c r="I33" s="192">
        <v>1.0591870672038783</v>
      </c>
      <c r="J33" s="193">
        <v>53.314277204623103</v>
      </c>
      <c r="K33" s="193">
        <v>15.12935278106411</v>
      </c>
      <c r="L33" s="193">
        <v>0.19711096954604493</v>
      </c>
      <c r="M33" s="193">
        <v>3.7366283062107528</v>
      </c>
      <c r="N33" s="194">
        <v>26.5634436713521</v>
      </c>
      <c r="O33" s="192">
        <v>1.9271018827053583E-2</v>
      </c>
      <c r="P33" s="193">
        <v>45.448380502607691</v>
      </c>
      <c r="Q33" s="193">
        <v>5.7986251713657051</v>
      </c>
      <c r="R33" s="193">
        <v>0</v>
      </c>
      <c r="S33" s="193">
        <v>4.2519429577842711</v>
      </c>
      <c r="T33" s="194">
        <v>44.481780349415281</v>
      </c>
      <c r="U33" s="192">
        <v>0.91346554453795492</v>
      </c>
      <c r="V33" s="193">
        <v>95.63786351137405</v>
      </c>
      <c r="W33" s="193">
        <v>2.9155903674693766</v>
      </c>
      <c r="X33" s="193">
        <v>0</v>
      </c>
      <c r="Y33" s="193">
        <v>1.43738021831514E-2</v>
      </c>
      <c r="Z33" s="194">
        <v>0.51870677443546365</v>
      </c>
      <c r="AA33" s="192">
        <v>1.1769896730186742</v>
      </c>
      <c r="AB33" s="193">
        <v>90.231701209186937</v>
      </c>
      <c r="AC33" s="193">
        <v>0.5011447923871305</v>
      </c>
      <c r="AD33" s="193">
        <v>0</v>
      </c>
      <c r="AE33" s="193">
        <v>8.794629015717044E-2</v>
      </c>
      <c r="AF33" s="194">
        <v>8.0022180352500634</v>
      </c>
      <c r="AG33" s="192">
        <v>6.3942274442301326</v>
      </c>
      <c r="AH33" s="193">
        <v>90.106275886977144</v>
      </c>
      <c r="AI33" s="193">
        <v>0.31122005947761133</v>
      </c>
      <c r="AJ33" s="193">
        <v>0</v>
      </c>
      <c r="AK33" s="193">
        <v>0</v>
      </c>
      <c r="AL33" s="194">
        <v>3.1882766093150843</v>
      </c>
      <c r="AM33" s="192">
        <v>10.694765621092792</v>
      </c>
      <c r="AN33" s="193">
        <v>51.530732536788783</v>
      </c>
      <c r="AO33" s="193">
        <v>23.243001656755506</v>
      </c>
      <c r="AP33" s="193">
        <v>1.2033109707063081</v>
      </c>
      <c r="AQ33" s="193">
        <v>0.58744565135418136</v>
      </c>
      <c r="AR33" s="193">
        <v>12.740743563302431</v>
      </c>
      <c r="AS33" s="192" t="s">
        <v>108</v>
      </c>
      <c r="AT33" s="193" t="s">
        <v>108</v>
      </c>
      <c r="AU33" s="193" t="s">
        <v>108</v>
      </c>
      <c r="AV33" s="193" t="s">
        <v>108</v>
      </c>
      <c r="AW33" s="193" t="s">
        <v>108</v>
      </c>
      <c r="AX33" s="194" t="s">
        <v>108</v>
      </c>
      <c r="AY33" s="193">
        <v>1.6631637725781561</v>
      </c>
      <c r="AZ33" s="193">
        <v>87.164284440170306</v>
      </c>
      <c r="BA33" s="193">
        <v>8.8536617522742969</v>
      </c>
      <c r="BB33" s="193">
        <v>0.52116859648986757</v>
      </c>
      <c r="BC33" s="193">
        <v>1.1935691517825981</v>
      </c>
      <c r="BD33" s="194">
        <v>0.60415228670477195</v>
      </c>
      <c r="BE33" s="192">
        <v>1.2342912306711025</v>
      </c>
      <c r="BF33" s="193">
        <v>80.890034305021615</v>
      </c>
      <c r="BG33" s="193">
        <v>10.485872881794203</v>
      </c>
      <c r="BH33" s="193">
        <v>0</v>
      </c>
      <c r="BI33" s="193">
        <v>0.13575479666948234</v>
      </c>
      <c r="BJ33" s="194">
        <v>7.2540467858435749</v>
      </c>
      <c r="BK33" s="192">
        <v>0.8998751560549314</v>
      </c>
      <c r="BL33" s="193">
        <v>95.969038701622964</v>
      </c>
      <c r="BM33" s="193">
        <v>0.94282147315855169</v>
      </c>
      <c r="BN33" s="193">
        <v>1.1585518102372037</v>
      </c>
      <c r="BO33" s="193">
        <v>0.94282147315855169</v>
      </c>
      <c r="BP33" s="194">
        <v>8.6891385767790263E-2</v>
      </c>
      <c r="BQ33" s="192">
        <v>12.098752476026814</v>
      </c>
      <c r="BR33" s="193">
        <v>87.901247523973183</v>
      </c>
      <c r="BS33" s="193">
        <v>0</v>
      </c>
      <c r="BT33" s="193">
        <v>0</v>
      </c>
      <c r="BU33" s="193">
        <v>0</v>
      </c>
      <c r="BV33" s="194">
        <v>0</v>
      </c>
      <c r="BW33" s="192">
        <v>0</v>
      </c>
      <c r="BX33" s="193">
        <v>61.821835231078367</v>
      </c>
      <c r="BY33" s="193">
        <v>38.178164768921633</v>
      </c>
      <c r="BZ33" s="193">
        <v>0</v>
      </c>
      <c r="CA33" s="193">
        <v>0</v>
      </c>
      <c r="CB33" s="194">
        <v>0</v>
      </c>
    </row>
    <row r="34" spans="1:80" ht="15.75" customHeight="1" x14ac:dyDescent="0.3">
      <c r="A34" s="101"/>
      <c r="B34" s="148" t="s">
        <v>8</v>
      </c>
      <c r="C34" s="97">
        <v>1.5171207565535565</v>
      </c>
      <c r="D34" s="131">
        <v>74.119641633806026</v>
      </c>
      <c r="E34" s="131">
        <v>10.741827666303939</v>
      </c>
      <c r="F34" s="131">
        <v>0.54690243004005368</v>
      </c>
      <c r="G34" s="131">
        <v>0.37075577542152971</v>
      </c>
      <c r="H34" s="191">
        <v>12.70375173787486</v>
      </c>
      <c r="I34" s="97">
        <v>0.61195775626790516</v>
      </c>
      <c r="J34" s="131">
        <v>62.724580262848797</v>
      </c>
      <c r="K34" s="131">
        <v>12.490040853689543</v>
      </c>
      <c r="L34" s="131">
        <v>0.83111951702075615</v>
      </c>
      <c r="M34" s="131">
        <v>0.71633203127837897</v>
      </c>
      <c r="N34" s="191">
        <v>22.625969578894601</v>
      </c>
      <c r="O34" s="97">
        <v>0.31674324509669455</v>
      </c>
      <c r="P34" s="131">
        <v>61.364467608467052</v>
      </c>
      <c r="Q34" s="131">
        <v>2.5033717368445116</v>
      </c>
      <c r="R34" s="131">
        <v>0.65463128057422393</v>
      </c>
      <c r="S34" s="131">
        <v>0</v>
      </c>
      <c r="T34" s="191">
        <v>35.160786129017509</v>
      </c>
      <c r="U34" s="97">
        <v>1.2419389984628886</v>
      </c>
      <c r="V34" s="131">
        <v>93.232822336998439</v>
      </c>
      <c r="W34" s="131">
        <v>1.8824610274501028</v>
      </c>
      <c r="X34" s="131">
        <v>9.7762648778850283E-2</v>
      </c>
      <c r="Y34" s="131">
        <v>8.1272563442658669E-3</v>
      </c>
      <c r="Z34" s="191">
        <v>3.5368877319654421</v>
      </c>
      <c r="AA34" s="97">
        <v>0</v>
      </c>
      <c r="AB34" s="131">
        <v>85.840492878136999</v>
      </c>
      <c r="AC34" s="131">
        <v>4.323234606978672</v>
      </c>
      <c r="AD34" s="131">
        <v>4.4464541412314408E-2</v>
      </c>
      <c r="AE34" s="131">
        <v>0.10004521817770742</v>
      </c>
      <c r="AF34" s="191">
        <v>9.6917627552942953</v>
      </c>
      <c r="AG34" s="97">
        <v>12.100005342165712</v>
      </c>
      <c r="AH34" s="131">
        <v>81.616081445132124</v>
      </c>
      <c r="AI34" s="131">
        <v>3.4392099700075547</v>
      </c>
      <c r="AJ34" s="131">
        <v>0</v>
      </c>
      <c r="AK34" s="131">
        <v>0</v>
      </c>
      <c r="AL34" s="191">
        <v>2.844703242694588</v>
      </c>
      <c r="AM34" s="97">
        <v>1.5462838023733005</v>
      </c>
      <c r="AN34" s="131">
        <v>50.893663012296862</v>
      </c>
      <c r="AO34" s="131">
        <v>27.531949386882211</v>
      </c>
      <c r="AP34" s="131">
        <v>0.16031155631148733</v>
      </c>
      <c r="AQ34" s="131">
        <v>0.68871552829310079</v>
      </c>
      <c r="AR34" s="131">
        <v>19.179076713843056</v>
      </c>
      <c r="AS34" s="97" t="s">
        <v>108</v>
      </c>
      <c r="AT34" s="131" t="s">
        <v>108</v>
      </c>
      <c r="AU34" s="131" t="s">
        <v>108</v>
      </c>
      <c r="AV34" s="131" t="s">
        <v>108</v>
      </c>
      <c r="AW34" s="131" t="s">
        <v>108</v>
      </c>
      <c r="AX34" s="191" t="s">
        <v>108</v>
      </c>
      <c r="AY34" s="131">
        <v>1.5388177015636415</v>
      </c>
      <c r="AZ34" s="131">
        <v>86.743072949498242</v>
      </c>
      <c r="BA34" s="131">
        <v>7.5554638209091767</v>
      </c>
      <c r="BB34" s="131">
        <v>0.70149112188373375</v>
      </c>
      <c r="BC34" s="131">
        <v>2.2871678725433862E-2</v>
      </c>
      <c r="BD34" s="191">
        <v>3.4382827274197956</v>
      </c>
      <c r="BE34" s="97">
        <v>1.804732118574925</v>
      </c>
      <c r="BF34" s="131">
        <v>83.987308494243479</v>
      </c>
      <c r="BG34" s="131">
        <v>8.8746260538482442</v>
      </c>
      <c r="BH34" s="131">
        <v>1.6372042425890674</v>
      </c>
      <c r="BI34" s="131">
        <v>0.49714441120478636</v>
      </c>
      <c r="BJ34" s="191">
        <v>3.1989846795394792</v>
      </c>
      <c r="BK34" s="97">
        <v>0</v>
      </c>
      <c r="BL34" s="131">
        <v>98.295893417428871</v>
      </c>
      <c r="BM34" s="131">
        <v>0.54069027236939537</v>
      </c>
      <c r="BN34" s="131">
        <v>0.74151808782088502</v>
      </c>
      <c r="BO34" s="131">
        <v>0.28286358091443242</v>
      </c>
      <c r="BP34" s="191">
        <v>0.13903464146641595</v>
      </c>
      <c r="BQ34" s="97">
        <v>0</v>
      </c>
      <c r="BR34" s="131">
        <v>98.383656635701072</v>
      </c>
      <c r="BS34" s="131">
        <v>1.201896347812023</v>
      </c>
      <c r="BT34" s="131">
        <v>0</v>
      </c>
      <c r="BU34" s="131">
        <v>0</v>
      </c>
      <c r="BV34" s="191">
        <v>0.41444701648690446</v>
      </c>
      <c r="BW34" s="97">
        <v>0</v>
      </c>
      <c r="BX34" s="131">
        <v>89.354198809786197</v>
      </c>
      <c r="BY34" s="131">
        <v>5.5102490632576595</v>
      </c>
      <c r="BZ34" s="131">
        <v>0</v>
      </c>
      <c r="CA34" s="131">
        <v>2.7551245316288298</v>
      </c>
      <c r="CB34" s="191">
        <v>2.3804275953273089</v>
      </c>
    </row>
    <row r="35" spans="1:80" ht="15.75" customHeight="1" x14ac:dyDescent="0.3">
      <c r="A35" s="101"/>
      <c r="B35" s="130" t="s">
        <v>9</v>
      </c>
      <c r="C35" s="192">
        <v>4.5881036262307457</v>
      </c>
      <c r="D35" s="193">
        <v>76.623958429916968</v>
      </c>
      <c r="E35" s="193">
        <v>10.15734500394648</v>
      </c>
      <c r="F35" s="193">
        <v>0.65902495642958714</v>
      </c>
      <c r="G35" s="193">
        <v>0.53891071028833371</v>
      </c>
      <c r="H35" s="194">
        <v>7.4326572731879166</v>
      </c>
      <c r="I35" s="192">
        <v>1.9622964867180803</v>
      </c>
      <c r="J35" s="193">
        <v>70.14584068417426</v>
      </c>
      <c r="K35" s="193">
        <v>14.417561369020618</v>
      </c>
      <c r="L35" s="193">
        <v>3.9316497807349159E-2</v>
      </c>
      <c r="M35" s="193">
        <v>1.7097635969554916</v>
      </c>
      <c r="N35" s="194">
        <v>11.725221365324193</v>
      </c>
      <c r="O35" s="192">
        <v>1.1935846437190674</v>
      </c>
      <c r="P35" s="193">
        <v>91.524130653892698</v>
      </c>
      <c r="Q35" s="193">
        <v>5.210381650516525</v>
      </c>
      <c r="R35" s="193">
        <v>0</v>
      </c>
      <c r="S35" s="193">
        <v>0.57379744305543923</v>
      </c>
      <c r="T35" s="194">
        <v>1.4981056088162796</v>
      </c>
      <c r="U35" s="192">
        <v>2.9877663011541751</v>
      </c>
      <c r="V35" s="193">
        <v>93.542279095842545</v>
      </c>
      <c r="W35" s="193">
        <v>2.3731169327270396</v>
      </c>
      <c r="X35" s="193">
        <v>0</v>
      </c>
      <c r="Y35" s="193">
        <v>2.5891823212132084E-2</v>
      </c>
      <c r="Z35" s="194">
        <v>1.0709458470641298</v>
      </c>
      <c r="AA35" s="192">
        <v>0.52938327903592086</v>
      </c>
      <c r="AB35" s="193">
        <v>88.540672918456238</v>
      </c>
      <c r="AC35" s="193">
        <v>3.0964699424566184</v>
      </c>
      <c r="AD35" s="193">
        <v>2.335514466334945E-2</v>
      </c>
      <c r="AE35" s="193">
        <v>0.65394405057378457</v>
      </c>
      <c r="AF35" s="194">
        <v>7.15617466481409</v>
      </c>
      <c r="AG35" s="192">
        <v>46.215616237488675</v>
      </c>
      <c r="AH35" s="193">
        <v>52.511247669286853</v>
      </c>
      <c r="AI35" s="193">
        <v>0.51873045825955699</v>
      </c>
      <c r="AJ35" s="193">
        <v>0</v>
      </c>
      <c r="AK35" s="193">
        <v>3.3901281917750582E-2</v>
      </c>
      <c r="AL35" s="194">
        <v>0.72050435304713267</v>
      </c>
      <c r="AM35" s="192">
        <v>1.715703211939388</v>
      </c>
      <c r="AN35" s="193">
        <v>63.004196324105862</v>
      </c>
      <c r="AO35" s="193">
        <v>19.237798848095924</v>
      </c>
      <c r="AP35" s="193">
        <v>0.38919059318055627</v>
      </c>
      <c r="AQ35" s="193">
        <v>0.30989889265655191</v>
      </c>
      <c r="AR35" s="193">
        <v>15.343212130021708</v>
      </c>
      <c r="AS35" s="192" t="s">
        <v>108</v>
      </c>
      <c r="AT35" s="193" t="s">
        <v>108</v>
      </c>
      <c r="AU35" s="193" t="s">
        <v>108</v>
      </c>
      <c r="AV35" s="193" t="s">
        <v>108</v>
      </c>
      <c r="AW35" s="193" t="s">
        <v>108</v>
      </c>
      <c r="AX35" s="194" t="s">
        <v>108</v>
      </c>
      <c r="AY35" s="193">
        <v>0.22014519099501337</v>
      </c>
      <c r="AZ35" s="193">
        <v>80.736581030822677</v>
      </c>
      <c r="BA35" s="193">
        <v>10.694434186356236</v>
      </c>
      <c r="BB35" s="193">
        <v>4.445074489603857</v>
      </c>
      <c r="BC35" s="193">
        <v>6.504289733943576E-2</v>
      </c>
      <c r="BD35" s="194">
        <v>3.8387222048827443</v>
      </c>
      <c r="BE35" s="192">
        <v>3.1818731427775813</v>
      </c>
      <c r="BF35" s="193">
        <v>83.299196470773595</v>
      </c>
      <c r="BG35" s="193">
        <v>8.7080144070994905</v>
      </c>
      <c r="BH35" s="193">
        <v>0.1231125490526563</v>
      </c>
      <c r="BI35" s="193">
        <v>0.44994705427577947</v>
      </c>
      <c r="BJ35" s="194">
        <v>4.2378563760209005</v>
      </c>
      <c r="BK35" s="192">
        <v>0</v>
      </c>
      <c r="BL35" s="193">
        <v>95.830684032406936</v>
      </c>
      <c r="BM35" s="193">
        <v>3.8421700338426832</v>
      </c>
      <c r="BN35" s="193">
        <v>0.20818377602297203</v>
      </c>
      <c r="BO35" s="193">
        <v>0</v>
      </c>
      <c r="BP35" s="194">
        <v>0.11896215772741259</v>
      </c>
      <c r="BQ35" s="192">
        <v>4.7684735775473011E-2</v>
      </c>
      <c r="BR35" s="193">
        <v>96.508796130724292</v>
      </c>
      <c r="BS35" s="193">
        <v>0.5585926190841124</v>
      </c>
      <c r="BT35" s="193">
        <v>0</v>
      </c>
      <c r="BU35" s="193">
        <v>0</v>
      </c>
      <c r="BV35" s="194">
        <v>2.8849265144161174</v>
      </c>
      <c r="BW35" s="192">
        <v>0</v>
      </c>
      <c r="BX35" s="193">
        <v>83.299053887289176</v>
      </c>
      <c r="BY35" s="193">
        <v>16.700946112710817</v>
      </c>
      <c r="BZ35" s="193">
        <v>0</v>
      </c>
      <c r="CA35" s="193">
        <v>0</v>
      </c>
      <c r="CB35" s="194">
        <v>0</v>
      </c>
    </row>
    <row r="36" spans="1:80" ht="15.75" customHeight="1" x14ac:dyDescent="0.3">
      <c r="A36" s="101"/>
      <c r="B36" s="148" t="s">
        <v>10</v>
      </c>
      <c r="C36" s="97">
        <v>29.773726036816317</v>
      </c>
      <c r="D36" s="131">
        <v>58.48157917510224</v>
      </c>
      <c r="E36" s="131">
        <v>6.8800872873063064</v>
      </c>
      <c r="F36" s="131">
        <v>0.88711937220153636</v>
      </c>
      <c r="G36" s="131">
        <v>0.35895888133136811</v>
      </c>
      <c r="H36" s="191">
        <v>3.6185292472423081</v>
      </c>
      <c r="I36" s="97">
        <v>10.996100566652713</v>
      </c>
      <c r="J36" s="131">
        <v>66.292106169406779</v>
      </c>
      <c r="K36" s="131">
        <v>10.50017798484056</v>
      </c>
      <c r="L36" s="131">
        <v>1.5118855609653157</v>
      </c>
      <c r="M36" s="131">
        <v>1.156959439168028</v>
      </c>
      <c r="N36" s="191">
        <v>9.5427702789665965</v>
      </c>
      <c r="O36" s="97">
        <v>46.519283744320546</v>
      </c>
      <c r="P36" s="131">
        <v>46.631046511816656</v>
      </c>
      <c r="Q36" s="131">
        <v>6.6684306299783929</v>
      </c>
      <c r="R36" s="131">
        <v>0.15559130376909175</v>
      </c>
      <c r="S36" s="131">
        <v>0</v>
      </c>
      <c r="T36" s="191">
        <v>2.5647810115301515E-2</v>
      </c>
      <c r="U36" s="97">
        <v>36.413513524265717</v>
      </c>
      <c r="V36" s="131">
        <v>59.824914565787346</v>
      </c>
      <c r="W36" s="131">
        <v>2.6859163838751137</v>
      </c>
      <c r="X36" s="131">
        <v>2.1960272593818504E-2</v>
      </c>
      <c r="Y36" s="131">
        <v>0</v>
      </c>
      <c r="Z36" s="191">
        <v>1.0536952534780379</v>
      </c>
      <c r="AA36" s="97">
        <v>33.417984939068482</v>
      </c>
      <c r="AB36" s="131">
        <v>64.059687681220311</v>
      </c>
      <c r="AC36" s="131">
        <v>1.1482430123522875</v>
      </c>
      <c r="AD36" s="131">
        <v>0.12853350429638022</v>
      </c>
      <c r="AE36" s="131">
        <v>2.1422250716063369E-2</v>
      </c>
      <c r="AF36" s="191">
        <v>1.2241286123464783</v>
      </c>
      <c r="AG36" s="97">
        <v>66.89037116446589</v>
      </c>
      <c r="AH36" s="131">
        <v>32.740041741944822</v>
      </c>
      <c r="AI36" s="131">
        <v>0.28473030584956838</v>
      </c>
      <c r="AJ36" s="131">
        <v>0</v>
      </c>
      <c r="AK36" s="131">
        <v>4.8489592994130151E-2</v>
      </c>
      <c r="AL36" s="191">
        <v>3.636719474559761E-2</v>
      </c>
      <c r="AM36" s="97">
        <v>33.846154296145471</v>
      </c>
      <c r="AN36" s="131">
        <v>44.524253210200918</v>
      </c>
      <c r="AO36" s="131">
        <v>13.005507380076498</v>
      </c>
      <c r="AP36" s="131">
        <v>0.63564917851440239</v>
      </c>
      <c r="AQ36" s="131">
        <v>0.41174459257993939</v>
      </c>
      <c r="AR36" s="131">
        <v>7.5766913424827571</v>
      </c>
      <c r="AS36" s="97">
        <v>100</v>
      </c>
      <c r="AT36" s="131">
        <v>0</v>
      </c>
      <c r="AU36" s="131">
        <v>0</v>
      </c>
      <c r="AV36" s="131">
        <v>0</v>
      </c>
      <c r="AW36" s="131">
        <v>0</v>
      </c>
      <c r="AX36" s="191">
        <v>0</v>
      </c>
      <c r="AY36" s="131">
        <v>15.950861281261632</v>
      </c>
      <c r="AZ36" s="131">
        <v>72.874885782936801</v>
      </c>
      <c r="BA36" s="131">
        <v>7.7149142102947614</v>
      </c>
      <c r="BB36" s="131">
        <v>3.3459000304578823</v>
      </c>
      <c r="BC36" s="131">
        <v>4.5483772716504778E-2</v>
      </c>
      <c r="BD36" s="191">
        <v>6.7954922332397028E-2</v>
      </c>
      <c r="BE36" s="97">
        <v>14.990453440186307</v>
      </c>
      <c r="BF36" s="131">
        <v>73.831723689167433</v>
      </c>
      <c r="BG36" s="131">
        <v>8.022963115175175</v>
      </c>
      <c r="BH36" s="131">
        <v>0.22025583067913287</v>
      </c>
      <c r="BI36" s="131">
        <v>1.0920750710640774</v>
      </c>
      <c r="BJ36" s="191">
        <v>1.842528853727867</v>
      </c>
      <c r="BK36" s="97">
        <v>13.706144256455927</v>
      </c>
      <c r="BL36" s="131">
        <v>81.610297093823391</v>
      </c>
      <c r="BM36" s="131">
        <v>1.1145470735853642</v>
      </c>
      <c r="BN36" s="131">
        <v>3.0913948028818923</v>
      </c>
      <c r="BO36" s="131">
        <v>5.7314012790415307E-2</v>
      </c>
      <c r="BP36" s="191">
        <v>0.4203027604630456</v>
      </c>
      <c r="BQ36" s="97">
        <v>14.08866395165999</v>
      </c>
      <c r="BR36" s="131">
        <v>84.381547983624003</v>
      </c>
      <c r="BS36" s="131">
        <v>1.0791972463098476</v>
      </c>
      <c r="BT36" s="131">
        <v>0</v>
      </c>
      <c r="BU36" s="131">
        <v>0</v>
      </c>
      <c r="BV36" s="191">
        <v>0.45059081840616932</v>
      </c>
      <c r="BW36" s="97">
        <v>13.624353819643883</v>
      </c>
      <c r="BX36" s="131">
        <v>79.908098793796668</v>
      </c>
      <c r="BY36" s="131">
        <v>2.2400919012062035</v>
      </c>
      <c r="BZ36" s="131">
        <v>0</v>
      </c>
      <c r="CA36" s="131">
        <v>0</v>
      </c>
      <c r="CB36" s="191">
        <v>4.2274554853532456</v>
      </c>
    </row>
    <row r="37" spans="1:80" ht="15.75" customHeight="1" x14ac:dyDescent="0.3">
      <c r="A37" s="101"/>
      <c r="B37" s="130" t="s">
        <v>11</v>
      </c>
      <c r="C37" s="192">
        <v>49.320709262963568</v>
      </c>
      <c r="D37" s="193">
        <v>43.681200490488251</v>
      </c>
      <c r="E37" s="193">
        <v>3.1013032658225965</v>
      </c>
      <c r="F37" s="193">
        <v>0.70978517456794332</v>
      </c>
      <c r="G37" s="193">
        <v>0.40871940757670294</v>
      </c>
      <c r="H37" s="194">
        <v>2.7782823985810579</v>
      </c>
      <c r="I37" s="192">
        <v>18.70919713957003</v>
      </c>
      <c r="J37" s="193">
        <v>66.131297473759503</v>
      </c>
      <c r="K37" s="193">
        <v>7.0893932704485598</v>
      </c>
      <c r="L37" s="193">
        <v>0.9962520504152389</v>
      </c>
      <c r="M37" s="193">
        <v>0.81094929794426707</v>
      </c>
      <c r="N37" s="194">
        <v>6.262910767862377</v>
      </c>
      <c r="O37" s="192">
        <v>70.3821946639343</v>
      </c>
      <c r="P37" s="193">
        <v>28.865026047053703</v>
      </c>
      <c r="Q37" s="193">
        <v>0.5525645314924319</v>
      </c>
      <c r="R37" s="193">
        <v>9.7247167938084106E-2</v>
      </c>
      <c r="S37" s="193">
        <v>0</v>
      </c>
      <c r="T37" s="194">
        <v>0.10296758958150082</v>
      </c>
      <c r="U37" s="192">
        <v>60.801058171011036</v>
      </c>
      <c r="V37" s="193">
        <v>31.843594421413297</v>
      </c>
      <c r="W37" s="193">
        <v>0.88315988982906468</v>
      </c>
      <c r="X37" s="193">
        <v>0.48625702765631212</v>
      </c>
      <c r="Y37" s="193">
        <v>0.51860021863819639</v>
      </c>
      <c r="Z37" s="194">
        <v>5.4673302714520986</v>
      </c>
      <c r="AA37" s="192">
        <v>62.653754984426456</v>
      </c>
      <c r="AB37" s="193">
        <v>35.458869887786868</v>
      </c>
      <c r="AC37" s="193">
        <v>1.2910748127290446</v>
      </c>
      <c r="AD37" s="193">
        <v>1.9821875878066129E-2</v>
      </c>
      <c r="AE37" s="193">
        <v>9.2589271302258011E-2</v>
      </c>
      <c r="AF37" s="194">
        <v>0.48388916787727693</v>
      </c>
      <c r="AG37" s="192">
        <v>72.68543123966343</v>
      </c>
      <c r="AH37" s="193">
        <v>26.662477016066475</v>
      </c>
      <c r="AI37" s="193">
        <v>9.4782935935483245E-2</v>
      </c>
      <c r="AJ37" s="193">
        <v>8.9129796090833158E-2</v>
      </c>
      <c r="AK37" s="193">
        <v>0</v>
      </c>
      <c r="AL37" s="194">
        <v>0.4681790122437931</v>
      </c>
      <c r="AM37" s="192">
        <v>42.007548874427592</v>
      </c>
      <c r="AN37" s="193">
        <v>43.913152011547098</v>
      </c>
      <c r="AO37" s="193">
        <v>6.7859449410887063</v>
      </c>
      <c r="AP37" s="193">
        <v>1.7733371838816157</v>
      </c>
      <c r="AQ37" s="193">
        <v>0.39461148848723471</v>
      </c>
      <c r="AR37" s="193">
        <v>5.1254055005677932</v>
      </c>
      <c r="AS37" s="192">
        <v>98.374359904212284</v>
      </c>
      <c r="AT37" s="193">
        <v>1.6256400957877164</v>
      </c>
      <c r="AU37" s="193">
        <v>0</v>
      </c>
      <c r="AV37" s="193">
        <v>0</v>
      </c>
      <c r="AW37" s="193">
        <v>0</v>
      </c>
      <c r="AX37" s="194">
        <v>0</v>
      </c>
      <c r="AY37" s="193">
        <v>38.014866678263452</v>
      </c>
      <c r="AZ37" s="193">
        <v>55.837174771998711</v>
      </c>
      <c r="BA37" s="193">
        <v>3.275810119032827</v>
      </c>
      <c r="BB37" s="193">
        <v>1.3836168335776942</v>
      </c>
      <c r="BC37" s="193">
        <v>0.96411309361099351</v>
      </c>
      <c r="BD37" s="194">
        <v>0.52441850351631414</v>
      </c>
      <c r="BE37" s="192">
        <v>29.521869731947142</v>
      </c>
      <c r="BF37" s="193">
        <v>63.154074279246785</v>
      </c>
      <c r="BG37" s="193">
        <v>4.0834722228854945</v>
      </c>
      <c r="BH37" s="193">
        <v>0.82736784798399221</v>
      </c>
      <c r="BI37" s="193">
        <v>0.70953060902869647</v>
      </c>
      <c r="BJ37" s="194">
        <v>1.7036853089078745</v>
      </c>
      <c r="BK37" s="192">
        <v>43.285102014796308</v>
      </c>
      <c r="BL37" s="193">
        <v>54.155456099801548</v>
      </c>
      <c r="BM37" s="193">
        <v>1.75914635143043</v>
      </c>
      <c r="BN37" s="193">
        <v>0.20383344176117321</v>
      </c>
      <c r="BO37" s="193">
        <v>0.4035804071438146</v>
      </c>
      <c r="BP37" s="194">
        <v>0.19288168506670764</v>
      </c>
      <c r="BQ37" s="192">
        <v>29.507983786083798</v>
      </c>
      <c r="BR37" s="193">
        <v>69.535753476810058</v>
      </c>
      <c r="BS37" s="193">
        <v>0.9562627371061293</v>
      </c>
      <c r="BT37" s="193">
        <v>0</v>
      </c>
      <c r="BU37" s="193">
        <v>0</v>
      </c>
      <c r="BV37" s="194">
        <v>0</v>
      </c>
      <c r="BW37" s="192">
        <v>8.4972677595628419</v>
      </c>
      <c r="BX37" s="193">
        <v>86.557377049180332</v>
      </c>
      <c r="BY37" s="193">
        <v>4.7814207650273222</v>
      </c>
      <c r="BZ37" s="193">
        <v>0</v>
      </c>
      <c r="CA37" s="193">
        <v>0</v>
      </c>
      <c r="CB37" s="194">
        <v>0.16393442622950818</v>
      </c>
    </row>
    <row r="38" spans="1:80" ht="15.75" customHeight="1" x14ac:dyDescent="0.3">
      <c r="A38" s="101"/>
      <c r="B38" s="148" t="s">
        <v>12</v>
      </c>
      <c r="C38" s="97">
        <v>49.741060839113807</v>
      </c>
      <c r="D38" s="131">
        <v>42.884471637189684</v>
      </c>
      <c r="E38" s="131">
        <v>3.4721256668129792</v>
      </c>
      <c r="F38" s="131">
        <v>1.0949261943965301</v>
      </c>
      <c r="G38" s="131">
        <v>0.27583620986416535</v>
      </c>
      <c r="H38" s="191">
        <v>2.5315794526227653</v>
      </c>
      <c r="I38" s="97">
        <v>20.178009245660313</v>
      </c>
      <c r="J38" s="131">
        <v>61.487193289495892</v>
      </c>
      <c r="K38" s="131">
        <v>9.4594280733441067</v>
      </c>
      <c r="L38" s="131">
        <v>1.485490069636189</v>
      </c>
      <c r="M38" s="131">
        <v>0.66726142739843164</v>
      </c>
      <c r="N38" s="191">
        <v>6.7226178944650341</v>
      </c>
      <c r="O38" s="97">
        <v>74.400369509486097</v>
      </c>
      <c r="P38" s="131">
        <v>24.585905140401962</v>
      </c>
      <c r="Q38" s="131">
        <v>6.0377584198817336E-2</v>
      </c>
      <c r="R38" s="131">
        <v>0.95334776591308179</v>
      </c>
      <c r="S38" s="131">
        <v>0</v>
      </c>
      <c r="T38" s="191">
        <v>0</v>
      </c>
      <c r="U38" s="97">
        <v>59.975992867124958</v>
      </c>
      <c r="V38" s="131">
        <v>34.42537605262558</v>
      </c>
      <c r="W38" s="131">
        <v>1.7925568914506589</v>
      </c>
      <c r="X38" s="131">
        <v>0.2446422464686506</v>
      </c>
      <c r="Y38" s="131">
        <v>0.49515938411510746</v>
      </c>
      <c r="Z38" s="191">
        <v>3.0662725582150538</v>
      </c>
      <c r="AA38" s="97">
        <v>62.768854732149592</v>
      </c>
      <c r="AB38" s="131">
        <v>33.344716622370498</v>
      </c>
      <c r="AC38" s="131">
        <v>0.71515918344265994</v>
      </c>
      <c r="AD38" s="131">
        <v>2.7802910352107368E-2</v>
      </c>
      <c r="AE38" s="131">
        <v>8.9490617695845584E-2</v>
      </c>
      <c r="AF38" s="191">
        <v>3.0539759339892933</v>
      </c>
      <c r="AG38" s="97">
        <v>73.105708203956482</v>
      </c>
      <c r="AH38" s="131">
        <v>24.265237174605037</v>
      </c>
      <c r="AI38" s="131">
        <v>0.94811256273556344</v>
      </c>
      <c r="AJ38" s="131">
        <v>0.85101646259300479</v>
      </c>
      <c r="AK38" s="131">
        <v>0</v>
      </c>
      <c r="AL38" s="191">
        <v>0.82992559610990668</v>
      </c>
      <c r="AM38" s="97">
        <v>51.110911081335253</v>
      </c>
      <c r="AN38" s="131">
        <v>39.387103051625679</v>
      </c>
      <c r="AO38" s="131">
        <v>4.9566692641961838</v>
      </c>
      <c r="AP38" s="131">
        <v>1.406900855813108</v>
      </c>
      <c r="AQ38" s="131">
        <v>0.32838602546264745</v>
      </c>
      <c r="AR38" s="131">
        <v>2.8100297215671244</v>
      </c>
      <c r="AS38" s="97">
        <v>98.706960363406864</v>
      </c>
      <c r="AT38" s="131">
        <v>1.2930396365931385</v>
      </c>
      <c r="AU38" s="131">
        <v>0</v>
      </c>
      <c r="AV38" s="131">
        <v>0</v>
      </c>
      <c r="AW38" s="131">
        <v>0</v>
      </c>
      <c r="AX38" s="191">
        <v>0</v>
      </c>
      <c r="AY38" s="131">
        <v>29.475775913780833</v>
      </c>
      <c r="AZ38" s="131">
        <v>62.195006721555771</v>
      </c>
      <c r="BA38" s="131">
        <v>3.4844001208305233</v>
      </c>
      <c r="BB38" s="131">
        <v>4.2284240922320571</v>
      </c>
      <c r="BC38" s="131">
        <v>0</v>
      </c>
      <c r="BD38" s="191">
        <v>0.61639315160078956</v>
      </c>
      <c r="BE38" s="97">
        <v>25.531967125081195</v>
      </c>
      <c r="BF38" s="131">
        <v>66.756031074674354</v>
      </c>
      <c r="BG38" s="131">
        <v>6.2364150586358038</v>
      </c>
      <c r="BH38" s="131">
        <v>0.38449539454505477</v>
      </c>
      <c r="BI38" s="131">
        <v>0.47225731221455641</v>
      </c>
      <c r="BJ38" s="191">
        <v>0.61883403484905064</v>
      </c>
      <c r="BK38" s="97">
        <v>37.130113453498886</v>
      </c>
      <c r="BL38" s="131">
        <v>60.205844043143664</v>
      </c>
      <c r="BM38" s="131">
        <v>0.69962710145098472</v>
      </c>
      <c r="BN38" s="131">
        <v>1.5647247745842592</v>
      </c>
      <c r="BO38" s="131">
        <v>0.36986548354646226</v>
      </c>
      <c r="BP38" s="191">
        <v>2.9825143775728397E-2</v>
      </c>
      <c r="BQ38" s="97">
        <v>31.320948573853073</v>
      </c>
      <c r="BR38" s="131">
        <v>66.474836004542368</v>
      </c>
      <c r="BS38" s="131">
        <v>2.1168621023864098</v>
      </c>
      <c r="BT38" s="131">
        <v>8.7353319218146208E-2</v>
      </c>
      <c r="BU38" s="131">
        <v>0</v>
      </c>
      <c r="BV38" s="191">
        <v>0</v>
      </c>
      <c r="BW38" s="97">
        <v>11.329693271238156</v>
      </c>
      <c r="BX38" s="131">
        <v>83.3065681708688</v>
      </c>
      <c r="BY38" s="131">
        <v>4.8177292436165082</v>
      </c>
      <c r="BZ38" s="131">
        <v>0</v>
      </c>
      <c r="CA38" s="131">
        <v>0</v>
      </c>
      <c r="CB38" s="191">
        <v>0.54600931427653765</v>
      </c>
    </row>
    <row r="39" spans="1:80" ht="15.75" customHeight="1" x14ac:dyDescent="0.3">
      <c r="A39" s="101"/>
      <c r="B39" s="130" t="s">
        <v>13</v>
      </c>
      <c r="C39" s="192">
        <v>59.430099393914723</v>
      </c>
      <c r="D39" s="193">
        <v>33.408050184266969</v>
      </c>
      <c r="E39" s="193">
        <v>3.1629689527082068</v>
      </c>
      <c r="F39" s="193">
        <v>1.4038245799286859</v>
      </c>
      <c r="G39" s="193">
        <v>0.39403820055314287</v>
      </c>
      <c r="H39" s="194">
        <v>2.2010186886282717</v>
      </c>
      <c r="I39" s="192">
        <v>25.940198779389206</v>
      </c>
      <c r="J39" s="193">
        <v>55.183918070188739</v>
      </c>
      <c r="K39" s="193">
        <v>7.8063458741080796</v>
      </c>
      <c r="L39" s="193">
        <v>1.9840738064972143</v>
      </c>
      <c r="M39" s="193">
        <v>1.5626895711206383</v>
      </c>
      <c r="N39" s="194">
        <v>7.522773898696153</v>
      </c>
      <c r="O39" s="192">
        <v>82.473165921938886</v>
      </c>
      <c r="P39" s="193">
        <v>16.69455677401584</v>
      </c>
      <c r="Q39" s="193">
        <v>0.14481309125781405</v>
      </c>
      <c r="R39" s="193">
        <v>0.63009613524635821</v>
      </c>
      <c r="S39" s="193">
        <v>0</v>
      </c>
      <c r="T39" s="194">
        <v>5.7368077541091064E-2</v>
      </c>
      <c r="U39" s="192">
        <v>71.94468799389027</v>
      </c>
      <c r="V39" s="193">
        <v>20.30016392158797</v>
      </c>
      <c r="W39" s="193">
        <v>2.4320848370550938</v>
      </c>
      <c r="X39" s="193">
        <v>1.5155752336978121</v>
      </c>
      <c r="Y39" s="193">
        <v>0.2438830265973029</v>
      </c>
      <c r="Z39" s="194">
        <v>3.5636049871715478</v>
      </c>
      <c r="AA39" s="192">
        <v>73.966144473838824</v>
      </c>
      <c r="AB39" s="193">
        <v>23.292012571922989</v>
      </c>
      <c r="AC39" s="193">
        <v>0.38181768948408124</v>
      </c>
      <c r="AD39" s="193">
        <v>2.9723240110253062E-2</v>
      </c>
      <c r="AE39" s="193">
        <v>1.4118539052370205E-2</v>
      </c>
      <c r="AF39" s="194">
        <v>2.3161834855914698</v>
      </c>
      <c r="AG39" s="192">
        <v>76.318730849250912</v>
      </c>
      <c r="AH39" s="193">
        <v>21.584317362548699</v>
      </c>
      <c r="AI39" s="193">
        <v>1.5907013788019471</v>
      </c>
      <c r="AJ39" s="193">
        <v>7.4341557346453493E-2</v>
      </c>
      <c r="AK39" s="193">
        <v>3.6460288265020548E-2</v>
      </c>
      <c r="AL39" s="194">
        <v>0.3954485637869623</v>
      </c>
      <c r="AM39" s="192">
        <v>59.355276576856284</v>
      </c>
      <c r="AN39" s="193">
        <v>30.800141886116201</v>
      </c>
      <c r="AO39" s="193">
        <v>6.5180942180300097</v>
      </c>
      <c r="AP39" s="193">
        <v>1.7464812990831413</v>
      </c>
      <c r="AQ39" s="193">
        <v>0.4538749668752412</v>
      </c>
      <c r="AR39" s="193">
        <v>1.1261310530392132</v>
      </c>
      <c r="AS39" s="192">
        <v>99.234684536233459</v>
      </c>
      <c r="AT39" s="193">
        <v>0.76531546376652382</v>
      </c>
      <c r="AU39" s="193">
        <v>0</v>
      </c>
      <c r="AV39" s="193">
        <v>0</v>
      </c>
      <c r="AW39" s="193">
        <v>0</v>
      </c>
      <c r="AX39" s="194">
        <v>0</v>
      </c>
      <c r="AY39" s="193">
        <v>34.837529492970233</v>
      </c>
      <c r="AZ39" s="193">
        <v>56.734698430278485</v>
      </c>
      <c r="BA39" s="193">
        <v>2.0586027615130837</v>
      </c>
      <c r="BB39" s="193">
        <v>5.93015382273511</v>
      </c>
      <c r="BC39" s="193">
        <v>9.5073000842468808E-2</v>
      </c>
      <c r="BD39" s="194">
        <v>0.34394249166060836</v>
      </c>
      <c r="BE39" s="192">
        <v>35.804965978048536</v>
      </c>
      <c r="BF39" s="193">
        <v>58.213588018233118</v>
      </c>
      <c r="BG39" s="193">
        <v>4.5383678900727622</v>
      </c>
      <c r="BH39" s="193">
        <v>0.23187776634799601</v>
      </c>
      <c r="BI39" s="193">
        <v>0.56869980464510517</v>
      </c>
      <c r="BJ39" s="194">
        <v>0.64250054265248546</v>
      </c>
      <c r="BK39" s="192">
        <v>45.655106757761189</v>
      </c>
      <c r="BL39" s="193">
        <v>51.409691181411844</v>
      </c>
      <c r="BM39" s="193">
        <v>0.5397707024528321</v>
      </c>
      <c r="BN39" s="193">
        <v>1.088832435624612</v>
      </c>
      <c r="BO39" s="193">
        <v>4.5055135267225321E-2</v>
      </c>
      <c r="BP39" s="194">
        <v>1.261543787482309</v>
      </c>
      <c r="BQ39" s="192">
        <v>47.301193194821536</v>
      </c>
      <c r="BR39" s="193">
        <v>49.738458676141548</v>
      </c>
      <c r="BS39" s="193">
        <v>0.95692677007578697</v>
      </c>
      <c r="BT39" s="193">
        <v>1.2608646258156189</v>
      </c>
      <c r="BU39" s="193">
        <v>0.74255673314552639</v>
      </c>
      <c r="BV39" s="194">
        <v>0</v>
      </c>
      <c r="BW39" s="192">
        <v>25.956507521255723</v>
      </c>
      <c r="BX39" s="193">
        <v>70.43001962066711</v>
      </c>
      <c r="BY39" s="193">
        <v>0.57226945716154354</v>
      </c>
      <c r="BZ39" s="193">
        <v>0</v>
      </c>
      <c r="CA39" s="193">
        <v>0</v>
      </c>
      <c r="CB39" s="194">
        <v>3.0412034009156312</v>
      </c>
    </row>
    <row r="40" spans="1:80" ht="15.75" customHeight="1" x14ac:dyDescent="0.3">
      <c r="A40" s="148" t="s">
        <v>124</v>
      </c>
      <c r="B40" s="148" t="s">
        <v>54</v>
      </c>
      <c r="C40" s="97">
        <v>62.46987906399125</v>
      </c>
      <c r="D40" s="131">
        <v>31.700972944137423</v>
      </c>
      <c r="E40" s="131">
        <v>2.275912874109828</v>
      </c>
      <c r="F40" s="131">
        <v>0.96204506780668808</v>
      </c>
      <c r="G40" s="131">
        <v>0.21640957148891996</v>
      </c>
      <c r="H40" s="191">
        <v>2.3747804784658673</v>
      </c>
      <c r="I40" s="97">
        <v>25.464523850838315</v>
      </c>
      <c r="J40" s="131">
        <v>53.839224852936553</v>
      </c>
      <c r="K40" s="131">
        <v>7.5170693082910436</v>
      </c>
      <c r="L40" s="131">
        <v>0.77036191256794995</v>
      </c>
      <c r="M40" s="131">
        <v>1.482804548499103</v>
      </c>
      <c r="N40" s="191">
        <v>10.926015526867022</v>
      </c>
      <c r="O40" s="97">
        <v>82.688711165892087</v>
      </c>
      <c r="P40" s="131">
        <v>16.671387254958113</v>
      </c>
      <c r="Q40" s="131">
        <v>0.37772763736465265</v>
      </c>
      <c r="R40" s="131">
        <v>0.21937861223532343</v>
      </c>
      <c r="S40" s="131">
        <v>0</v>
      </c>
      <c r="T40" s="191">
        <v>4.2795329549786196E-2</v>
      </c>
      <c r="U40" s="97">
        <v>74.08522146244259</v>
      </c>
      <c r="V40" s="131">
        <v>20.934390567021907</v>
      </c>
      <c r="W40" s="131">
        <v>0.87249455582262214</v>
      </c>
      <c r="X40" s="131">
        <v>1.1029277827152628</v>
      </c>
      <c r="Y40" s="131">
        <v>0.14914123061707643</v>
      </c>
      <c r="Z40" s="191">
        <v>2.8558244013805378</v>
      </c>
      <c r="AA40" s="97">
        <v>73.958691531203783</v>
      </c>
      <c r="AB40" s="131">
        <v>23.438697260839366</v>
      </c>
      <c r="AC40" s="131">
        <v>0.75187693771179109</v>
      </c>
      <c r="AD40" s="131">
        <v>0.12189248761218813</v>
      </c>
      <c r="AE40" s="131">
        <v>3.1827482876515788E-2</v>
      </c>
      <c r="AF40" s="191">
        <v>1.6970142997563524</v>
      </c>
      <c r="AG40" s="97">
        <v>79.446947182396627</v>
      </c>
      <c r="AH40" s="131">
        <v>19.686214340370466</v>
      </c>
      <c r="AI40" s="131">
        <v>0.13882574474090575</v>
      </c>
      <c r="AJ40" s="131">
        <v>0.62152483303078965</v>
      </c>
      <c r="AK40" s="131">
        <v>0</v>
      </c>
      <c r="AL40" s="191">
        <v>0.10648789946121139</v>
      </c>
      <c r="AM40" s="97">
        <v>52.92054478675491</v>
      </c>
      <c r="AN40" s="131">
        <v>37.292220711358702</v>
      </c>
      <c r="AO40" s="131">
        <v>4.3960526060134288</v>
      </c>
      <c r="AP40" s="131">
        <v>2.5172994559966058</v>
      </c>
      <c r="AQ40" s="131">
        <v>0.16555418244823428</v>
      </c>
      <c r="AR40" s="131">
        <v>2.7083282574281187</v>
      </c>
      <c r="AS40" s="97">
        <v>99.540058099890715</v>
      </c>
      <c r="AT40" s="131">
        <v>0.41884229896223507</v>
      </c>
      <c r="AU40" s="131">
        <v>0</v>
      </c>
      <c r="AV40" s="131">
        <v>0</v>
      </c>
      <c r="AW40" s="131">
        <v>4.1099601147052509E-2</v>
      </c>
      <c r="AX40" s="191">
        <v>0</v>
      </c>
      <c r="AY40" s="131">
        <v>41.17012548074382</v>
      </c>
      <c r="AZ40" s="131">
        <v>53.335684165929479</v>
      </c>
      <c r="BA40" s="131">
        <v>2.1992703177349515</v>
      </c>
      <c r="BB40" s="131">
        <v>2.9095452178606664</v>
      </c>
      <c r="BC40" s="131">
        <v>0</v>
      </c>
      <c r="BD40" s="191">
        <v>0.3853748177310537</v>
      </c>
      <c r="BE40" s="97">
        <v>37.621071687566491</v>
      </c>
      <c r="BF40" s="131">
        <v>56.286940825865315</v>
      </c>
      <c r="BG40" s="131">
        <v>4.7113811885642898</v>
      </c>
      <c r="BH40" s="131">
        <v>0.47798768771471062</v>
      </c>
      <c r="BI40" s="131">
        <v>7.781194916285987E-2</v>
      </c>
      <c r="BJ40" s="191">
        <v>0.82480666112631462</v>
      </c>
      <c r="BK40" s="97">
        <v>46.90696126025378</v>
      </c>
      <c r="BL40" s="131">
        <v>50.715389239749442</v>
      </c>
      <c r="BM40" s="131">
        <v>1.5612253472873128</v>
      </c>
      <c r="BN40" s="131">
        <v>0.61112224384126601</v>
      </c>
      <c r="BO40" s="131">
        <v>0</v>
      </c>
      <c r="BP40" s="191">
        <v>0.20530190886818919</v>
      </c>
      <c r="BQ40" s="97">
        <v>54.996079511106053</v>
      </c>
      <c r="BR40" s="131">
        <v>44.252742845855948</v>
      </c>
      <c r="BS40" s="131">
        <v>0.25797415470069607</v>
      </c>
      <c r="BT40" s="131">
        <v>4.1898354591760383E-2</v>
      </c>
      <c r="BU40" s="131">
        <v>8.3796709183520772E-3</v>
      </c>
      <c r="BV40" s="191">
        <v>0.4429254628271812</v>
      </c>
      <c r="BW40" s="97">
        <v>29.938800489596083</v>
      </c>
      <c r="BX40" s="131">
        <v>50.428396572827417</v>
      </c>
      <c r="BY40" s="131">
        <v>5.434516523867809</v>
      </c>
      <c r="BZ40" s="131">
        <v>4.5532435740514074</v>
      </c>
      <c r="CA40" s="131">
        <v>0</v>
      </c>
      <c r="CB40" s="191">
        <v>9.6450428396572825</v>
      </c>
    </row>
    <row r="41" spans="1:80" ht="15.75" customHeight="1" x14ac:dyDescent="0.3">
      <c r="A41" s="130"/>
      <c r="B41" s="130" t="s">
        <v>48</v>
      </c>
      <c r="C41" s="192">
        <v>55.657413495299387</v>
      </c>
      <c r="D41" s="193">
        <v>36.897657712168588</v>
      </c>
      <c r="E41" s="193">
        <v>2.5786727814626413</v>
      </c>
      <c r="F41" s="193">
        <v>1.7331702750539784</v>
      </c>
      <c r="G41" s="193">
        <v>0.35168431562630925</v>
      </c>
      <c r="H41" s="194">
        <v>2.7814014203891109</v>
      </c>
      <c r="I41" s="192">
        <v>29.886534113274077</v>
      </c>
      <c r="J41" s="193">
        <v>54.793331685769118</v>
      </c>
      <c r="K41" s="193">
        <v>4.8892610252873014</v>
      </c>
      <c r="L41" s="193">
        <v>1.0481880921153512</v>
      </c>
      <c r="M41" s="193">
        <v>2.0911067890360751</v>
      </c>
      <c r="N41" s="194">
        <v>7.2915782945180894</v>
      </c>
      <c r="O41" s="192">
        <v>74.498783743608541</v>
      </c>
      <c r="P41" s="193">
        <v>23.664613353792571</v>
      </c>
      <c r="Q41" s="193">
        <v>9.9116801856270448E-2</v>
      </c>
      <c r="R41" s="193">
        <v>1.7155482127741379</v>
      </c>
      <c r="S41" s="193">
        <v>0</v>
      </c>
      <c r="T41" s="194">
        <v>2.1937887968458879E-2</v>
      </c>
      <c r="U41" s="192">
        <v>68.853670251926559</v>
      </c>
      <c r="V41" s="193">
        <v>25.778484521698886</v>
      </c>
      <c r="W41" s="193">
        <v>1.1684492520156284</v>
      </c>
      <c r="X41" s="193">
        <v>1.2182605372274729</v>
      </c>
      <c r="Y41" s="193">
        <v>2.7334457339392371E-2</v>
      </c>
      <c r="Z41" s="194">
        <v>2.9538009797920974</v>
      </c>
      <c r="AA41" s="192">
        <v>69.224393390677818</v>
      </c>
      <c r="AB41" s="193">
        <v>27.546040857575122</v>
      </c>
      <c r="AC41" s="193">
        <v>0.93306364829109667</v>
      </c>
      <c r="AD41" s="193">
        <v>0.34709571634725289</v>
      </c>
      <c r="AE41" s="193">
        <v>8.5914781274072493E-3</v>
      </c>
      <c r="AF41" s="194">
        <v>1.9408149089812976</v>
      </c>
      <c r="AG41" s="192">
        <v>74.285347845975608</v>
      </c>
      <c r="AH41" s="193">
        <v>24.059407210434745</v>
      </c>
      <c r="AI41" s="193">
        <v>1.037232109648542</v>
      </c>
      <c r="AJ41" s="193">
        <v>0.27895225106985139</v>
      </c>
      <c r="AK41" s="193">
        <v>0</v>
      </c>
      <c r="AL41" s="194">
        <v>0.33906058287126306</v>
      </c>
      <c r="AM41" s="192">
        <v>47.88523133341279</v>
      </c>
      <c r="AN41" s="193">
        <v>37.993013161898439</v>
      </c>
      <c r="AO41" s="193">
        <v>5.6192630508738342</v>
      </c>
      <c r="AP41" s="193">
        <v>2.398627371683077</v>
      </c>
      <c r="AQ41" s="193">
        <v>0.28268839343800822</v>
      </c>
      <c r="AR41" s="193">
        <v>5.8211766886938436</v>
      </c>
      <c r="AS41" s="192">
        <v>99.712953357438536</v>
      </c>
      <c r="AT41" s="193">
        <v>0.28704664256146323</v>
      </c>
      <c r="AU41" s="193">
        <v>0</v>
      </c>
      <c r="AV41" s="193">
        <v>0</v>
      </c>
      <c r="AW41" s="193">
        <v>0</v>
      </c>
      <c r="AX41" s="194">
        <v>0</v>
      </c>
      <c r="AY41" s="193">
        <v>30.132371326082861</v>
      </c>
      <c r="AZ41" s="193">
        <v>61.586331434921505</v>
      </c>
      <c r="BA41" s="193">
        <v>3.4748290203704757</v>
      </c>
      <c r="BB41" s="193">
        <v>4.1913501058153484</v>
      </c>
      <c r="BC41" s="193">
        <v>2.0100830997769291E-2</v>
      </c>
      <c r="BD41" s="194">
        <v>0.59501728181201619</v>
      </c>
      <c r="BE41" s="192">
        <v>30.727541169789902</v>
      </c>
      <c r="BF41" s="193">
        <v>59.333787620670066</v>
      </c>
      <c r="BG41" s="193">
        <v>5.2697331061896655</v>
      </c>
      <c r="BH41" s="193">
        <v>3.2724588302101072</v>
      </c>
      <c r="BI41" s="193">
        <v>0.20636002271436685</v>
      </c>
      <c r="BJ41" s="194">
        <v>1.1901192504258946</v>
      </c>
      <c r="BK41" s="192">
        <v>36.595708898931747</v>
      </c>
      <c r="BL41" s="193">
        <v>61.423453160783545</v>
      </c>
      <c r="BM41" s="193">
        <v>0.14542192969294862</v>
      </c>
      <c r="BN41" s="193">
        <v>1.5922217404136112</v>
      </c>
      <c r="BO41" s="193">
        <v>4.8638854035623416E-2</v>
      </c>
      <c r="BP41" s="194">
        <v>0.19455541614249366</v>
      </c>
      <c r="BQ41" s="192">
        <v>46.412917284924028</v>
      </c>
      <c r="BR41" s="193">
        <v>46.117550645367579</v>
      </c>
      <c r="BS41" s="193">
        <v>0.55518994729032545</v>
      </c>
      <c r="BT41" s="193">
        <v>6.6979779103625114</v>
      </c>
      <c r="BU41" s="193">
        <v>2.545461318300625E-2</v>
      </c>
      <c r="BV41" s="194">
        <v>0.19090959887254688</v>
      </c>
      <c r="BW41" s="192">
        <v>11.759987165089042</v>
      </c>
      <c r="BX41" s="193">
        <v>82.207604684742492</v>
      </c>
      <c r="BY41" s="193">
        <v>5.133964383122092</v>
      </c>
      <c r="BZ41" s="193">
        <v>0.12834910957805229</v>
      </c>
      <c r="CA41" s="193">
        <v>0</v>
      </c>
      <c r="CB41" s="194">
        <v>0.77009465746831385</v>
      </c>
    </row>
    <row r="42" spans="1:80" ht="15.75" customHeight="1" x14ac:dyDescent="0.3">
      <c r="A42" s="130"/>
      <c r="B42" s="148" t="s">
        <v>49</v>
      </c>
      <c r="C42" s="97">
        <v>56.568538985058311</v>
      </c>
      <c r="D42" s="131">
        <v>37.173435305604791</v>
      </c>
      <c r="E42" s="131">
        <v>2.7556057394674918</v>
      </c>
      <c r="F42" s="131">
        <v>1.3642190887701011</v>
      </c>
      <c r="G42" s="131">
        <v>0.22802341228019352</v>
      </c>
      <c r="H42" s="191">
        <v>1.9101774688191846</v>
      </c>
      <c r="I42" s="97">
        <v>26.404723306208744</v>
      </c>
      <c r="J42" s="131">
        <v>61.484433718991937</v>
      </c>
      <c r="K42" s="131">
        <v>4.3559095893642006</v>
      </c>
      <c r="L42" s="131">
        <v>1.5402582909566487</v>
      </c>
      <c r="M42" s="131">
        <v>0.88793016955954673</v>
      </c>
      <c r="N42" s="191">
        <v>5.3267449249188994</v>
      </c>
      <c r="O42" s="97">
        <v>74.90714779750995</v>
      </c>
      <c r="P42" s="131">
        <v>22.634664171343346</v>
      </c>
      <c r="Q42" s="131">
        <v>8.1029628578368901E-2</v>
      </c>
      <c r="R42" s="131">
        <v>2.1872969882837427</v>
      </c>
      <c r="S42" s="131">
        <v>0</v>
      </c>
      <c r="T42" s="191">
        <v>0.18986141428458861</v>
      </c>
      <c r="U42" s="97">
        <v>75.691831359156836</v>
      </c>
      <c r="V42" s="131">
        <v>19.807992290195489</v>
      </c>
      <c r="W42" s="131">
        <v>0.98421284885485705</v>
      </c>
      <c r="X42" s="131">
        <v>0.96693721012579659</v>
      </c>
      <c r="Y42" s="131">
        <v>5.9664722751506048E-2</v>
      </c>
      <c r="Z42" s="191">
        <v>2.4893615689155371</v>
      </c>
      <c r="AA42" s="97">
        <v>67.134270028436589</v>
      </c>
      <c r="AB42" s="131">
        <v>28.191436863481297</v>
      </c>
      <c r="AC42" s="131">
        <v>1.3737134817800969</v>
      </c>
      <c r="AD42" s="131">
        <v>0.22097558898662445</v>
      </c>
      <c r="AE42" s="131">
        <v>3.4171734375947393E-2</v>
      </c>
      <c r="AF42" s="191">
        <v>3.0454323029394397</v>
      </c>
      <c r="AG42" s="97">
        <v>72.377415219818815</v>
      </c>
      <c r="AH42" s="131">
        <v>25.408726945988519</v>
      </c>
      <c r="AI42" s="131">
        <v>0.98905077036257949</v>
      </c>
      <c r="AJ42" s="131">
        <v>0.4583243552336797</v>
      </c>
      <c r="AK42" s="131">
        <v>8.7888241059561167E-2</v>
      </c>
      <c r="AL42" s="191">
        <v>0.67859446753680108</v>
      </c>
      <c r="AM42" s="97">
        <v>48.565064010541455</v>
      </c>
      <c r="AN42" s="131">
        <v>39.054361340757573</v>
      </c>
      <c r="AO42" s="131">
        <v>7.8413991779051937</v>
      </c>
      <c r="AP42" s="131">
        <v>2.4637756761933503</v>
      </c>
      <c r="AQ42" s="131">
        <v>0.31353862739874427</v>
      </c>
      <c r="AR42" s="131">
        <v>1.7618611672036548</v>
      </c>
      <c r="AS42" s="97">
        <v>99.872595087832835</v>
      </c>
      <c r="AT42" s="131">
        <v>0.12740491216716915</v>
      </c>
      <c r="AU42" s="131">
        <v>0</v>
      </c>
      <c r="AV42" s="131">
        <v>0</v>
      </c>
      <c r="AW42" s="131">
        <v>0</v>
      </c>
      <c r="AX42" s="191">
        <v>0</v>
      </c>
      <c r="AY42" s="131">
        <v>33.117548041887673</v>
      </c>
      <c r="AZ42" s="131">
        <v>60.520049016142949</v>
      </c>
      <c r="BA42" s="131">
        <v>2.4875880191936117</v>
      </c>
      <c r="BB42" s="131">
        <v>2.70045419373887</v>
      </c>
      <c r="BC42" s="131">
        <v>0.47702540319780928</v>
      </c>
      <c r="BD42" s="191">
        <v>0.6973353258391265</v>
      </c>
      <c r="BE42" s="97">
        <v>37.156393339817242</v>
      </c>
      <c r="BF42" s="131">
        <v>56.933169187758651</v>
      </c>
      <c r="BG42" s="131">
        <v>4.0988256357516084</v>
      </c>
      <c r="BH42" s="131">
        <v>0.79251036614409764</v>
      </c>
      <c r="BI42" s="131">
        <v>9.6700147364003439E-2</v>
      </c>
      <c r="BJ42" s="191">
        <v>0.92240132316439238</v>
      </c>
      <c r="BK42" s="97">
        <v>37.118799542123419</v>
      </c>
      <c r="BL42" s="131">
        <v>60.26529907133181</v>
      </c>
      <c r="BM42" s="131">
        <v>1.6333653817496223</v>
      </c>
      <c r="BN42" s="131">
        <v>0.40787220960768089</v>
      </c>
      <c r="BO42" s="131">
        <v>9.769063748384238E-2</v>
      </c>
      <c r="BP42" s="191">
        <v>0.4769731577035965</v>
      </c>
      <c r="BQ42" s="97">
        <v>44.946818845447133</v>
      </c>
      <c r="BR42" s="131">
        <v>53.423328651763356</v>
      </c>
      <c r="BS42" s="131">
        <v>1.4363907871143953</v>
      </c>
      <c r="BT42" s="131">
        <v>0</v>
      </c>
      <c r="BU42" s="131">
        <v>0</v>
      </c>
      <c r="BV42" s="191">
        <v>0.19346171567511755</v>
      </c>
      <c r="BW42" s="97">
        <v>7.3325079103040309</v>
      </c>
      <c r="BX42" s="131">
        <v>89.572155729811527</v>
      </c>
      <c r="BY42" s="131">
        <v>3.095336359884441</v>
      </c>
      <c r="BZ42" s="131">
        <v>0</v>
      </c>
      <c r="CA42" s="131">
        <v>0</v>
      </c>
      <c r="CB42" s="191">
        <v>0</v>
      </c>
    </row>
    <row r="43" spans="1:80" ht="15.75" customHeight="1" x14ac:dyDescent="0.3">
      <c r="A43" s="130"/>
      <c r="B43" s="130" t="s">
        <v>14</v>
      </c>
      <c r="C43" s="192">
        <v>55.279367449855044</v>
      </c>
      <c r="D43" s="193">
        <v>37.73582276417504</v>
      </c>
      <c r="E43" s="193">
        <v>3.2108288274255292</v>
      </c>
      <c r="F43" s="193">
        <v>1.0701133649615739</v>
      </c>
      <c r="G43" s="193">
        <v>0.34510385922607745</v>
      </c>
      <c r="H43" s="194">
        <v>2.3587637343567014</v>
      </c>
      <c r="I43" s="192">
        <v>32.514929314516621</v>
      </c>
      <c r="J43" s="193">
        <v>51.602441750494357</v>
      </c>
      <c r="K43" s="193">
        <v>5.6558212658290019</v>
      </c>
      <c r="L43" s="193">
        <v>1.1392215384993303</v>
      </c>
      <c r="M43" s="193">
        <v>1.5862043553557605</v>
      </c>
      <c r="N43" s="194">
        <v>7.5013817753049103</v>
      </c>
      <c r="O43" s="192">
        <v>77.063778898474496</v>
      </c>
      <c r="P43" s="193">
        <v>22.289094377950335</v>
      </c>
      <c r="Q43" s="193">
        <v>0.16923864034457642</v>
      </c>
      <c r="R43" s="193">
        <v>0.47609866499318243</v>
      </c>
      <c r="S43" s="193">
        <v>0</v>
      </c>
      <c r="T43" s="194">
        <v>1.7894182374482389E-3</v>
      </c>
      <c r="U43" s="192">
        <v>64.329599808897271</v>
      </c>
      <c r="V43" s="193">
        <v>29.626657197735017</v>
      </c>
      <c r="W43" s="193">
        <v>1.9388284102658513</v>
      </c>
      <c r="X43" s="193">
        <v>1.2764342190266655</v>
      </c>
      <c r="Y43" s="193">
        <v>1.129738371989158E-2</v>
      </c>
      <c r="Z43" s="194">
        <v>2.8171829803553128</v>
      </c>
      <c r="AA43" s="192">
        <v>69.629112829154352</v>
      </c>
      <c r="AB43" s="193">
        <v>27.113124388288945</v>
      </c>
      <c r="AC43" s="193">
        <v>1.3444130524582476</v>
      </c>
      <c r="AD43" s="193">
        <v>0.17669732480143918</v>
      </c>
      <c r="AE43" s="193">
        <v>2.8229750116206261E-2</v>
      </c>
      <c r="AF43" s="194">
        <v>1.7084226551807788</v>
      </c>
      <c r="AG43" s="192">
        <v>72.028181801735329</v>
      </c>
      <c r="AH43" s="193">
        <v>26.99864063953471</v>
      </c>
      <c r="AI43" s="193">
        <v>0.64513876121072711</v>
      </c>
      <c r="AJ43" s="193">
        <v>0.27157758599290749</v>
      </c>
      <c r="AK43" s="193">
        <v>7.5730388038301073E-3</v>
      </c>
      <c r="AL43" s="194">
        <v>4.8888172722503259E-2</v>
      </c>
      <c r="AM43" s="192">
        <v>47.677360286710659</v>
      </c>
      <c r="AN43" s="193">
        <v>35.852266297806537</v>
      </c>
      <c r="AO43" s="193">
        <v>8.625613568903697</v>
      </c>
      <c r="AP43" s="193">
        <v>3.1492712348452532</v>
      </c>
      <c r="AQ43" s="193">
        <v>0.25872171925112736</v>
      </c>
      <c r="AR43" s="193">
        <v>4.4367668924827068</v>
      </c>
      <c r="AS43" s="192">
        <v>99.567138741836715</v>
      </c>
      <c r="AT43" s="193">
        <v>0.43286125816328069</v>
      </c>
      <c r="AU43" s="193">
        <v>0</v>
      </c>
      <c r="AV43" s="193">
        <v>0</v>
      </c>
      <c r="AW43" s="193">
        <v>0</v>
      </c>
      <c r="AX43" s="194">
        <v>0</v>
      </c>
      <c r="AY43" s="193">
        <v>32.54588098927745</v>
      </c>
      <c r="AZ43" s="193">
        <v>62.168823212290732</v>
      </c>
      <c r="BA43" s="193">
        <v>3.194550986681219</v>
      </c>
      <c r="BB43" s="193">
        <v>1.5903252212503285</v>
      </c>
      <c r="BC43" s="193">
        <v>0.31162225234415392</v>
      </c>
      <c r="BD43" s="194">
        <v>0.18879733815611122</v>
      </c>
      <c r="BE43" s="192">
        <v>32.947105676513509</v>
      </c>
      <c r="BF43" s="193">
        <v>59.611559105369253</v>
      </c>
      <c r="BG43" s="193">
        <v>5.4828846376279277</v>
      </c>
      <c r="BH43" s="193">
        <v>0.60816949634418449</v>
      </c>
      <c r="BI43" s="193">
        <v>0.59704444458179073</v>
      </c>
      <c r="BJ43" s="194">
        <v>0.75323663956333298</v>
      </c>
      <c r="BK43" s="192">
        <v>33.64352664510367</v>
      </c>
      <c r="BL43" s="193">
        <v>64.210307849932107</v>
      </c>
      <c r="BM43" s="193">
        <v>0.51534864958484183</v>
      </c>
      <c r="BN43" s="193">
        <v>0.89009451956088659</v>
      </c>
      <c r="BO43" s="193">
        <v>0</v>
      </c>
      <c r="BP43" s="194">
        <v>0.74072233581848501</v>
      </c>
      <c r="BQ43" s="192">
        <v>41.102402650043324</v>
      </c>
      <c r="BR43" s="193">
        <v>58.003941520140891</v>
      </c>
      <c r="BS43" s="193">
        <v>0.89365582981578273</v>
      </c>
      <c r="BT43" s="193">
        <v>0</v>
      </c>
      <c r="BU43" s="193">
        <v>0</v>
      </c>
      <c r="BV43" s="194">
        <v>0</v>
      </c>
      <c r="BW43" s="192">
        <v>24.130218687872766</v>
      </c>
      <c r="BX43" s="193">
        <v>72.949801192842941</v>
      </c>
      <c r="BY43" s="193">
        <v>2.9199801192842942</v>
      </c>
      <c r="BZ43" s="193">
        <v>0</v>
      </c>
      <c r="CA43" s="193">
        <v>0</v>
      </c>
      <c r="CB43" s="194">
        <v>0</v>
      </c>
    </row>
    <row r="44" spans="1:80" ht="15.75" customHeight="1" x14ac:dyDescent="0.3">
      <c r="A44" s="130"/>
      <c r="B44" s="148" t="s">
        <v>15</v>
      </c>
      <c r="C44" s="97">
        <v>56.773328979805861</v>
      </c>
      <c r="D44" s="131">
        <v>36.090863016660528</v>
      </c>
      <c r="E44" s="131">
        <v>3.4371216408026934</v>
      </c>
      <c r="F44" s="131">
        <v>1.0522384973006589</v>
      </c>
      <c r="G44" s="131">
        <v>0.37737847013455006</v>
      </c>
      <c r="H44" s="191">
        <v>2.2690693952958099</v>
      </c>
      <c r="I44" s="97">
        <v>29.886818498224422</v>
      </c>
      <c r="J44" s="131">
        <v>54.11250013499702</v>
      </c>
      <c r="K44" s="131">
        <v>7.0526370563384271</v>
      </c>
      <c r="L44" s="131">
        <v>1.3701461207747156</v>
      </c>
      <c r="M44" s="131">
        <v>1.4405900204311852</v>
      </c>
      <c r="N44" s="191">
        <v>6.1373081692342275</v>
      </c>
      <c r="O44" s="97">
        <v>78.689104734235272</v>
      </c>
      <c r="P44" s="131">
        <v>18.507318634511453</v>
      </c>
      <c r="Q44" s="131">
        <v>0.35011264172544959</v>
      </c>
      <c r="R44" s="131">
        <v>2.4178289897535006</v>
      </c>
      <c r="S44" s="131">
        <v>1.8153988830208499E-2</v>
      </c>
      <c r="T44" s="191">
        <v>1.7481010944097694E-2</v>
      </c>
      <c r="U44" s="97">
        <v>76.084852129510693</v>
      </c>
      <c r="V44" s="131">
        <v>19.436691886078876</v>
      </c>
      <c r="W44" s="131">
        <v>1.2393269419950961</v>
      </c>
      <c r="X44" s="131">
        <v>1.1286028941662962</v>
      </c>
      <c r="Y44" s="131">
        <v>0.13576831635398404</v>
      </c>
      <c r="Z44" s="191">
        <v>1.9747578318950454</v>
      </c>
      <c r="AA44" s="97">
        <v>68.425780347326253</v>
      </c>
      <c r="AB44" s="131">
        <v>29.639668540334775</v>
      </c>
      <c r="AC44" s="131">
        <v>0.44790227280566508</v>
      </c>
      <c r="AD44" s="131">
        <v>9.6498414391299692E-2</v>
      </c>
      <c r="AE44" s="131">
        <v>3.4395474436502857E-2</v>
      </c>
      <c r="AF44" s="191">
        <v>1.3557549507054878</v>
      </c>
      <c r="AG44" s="97">
        <v>68.901110924601596</v>
      </c>
      <c r="AH44" s="131">
        <v>27.697204917236206</v>
      </c>
      <c r="AI44" s="131">
        <v>1.5748802053990647</v>
      </c>
      <c r="AJ44" s="131">
        <v>1.6666927175891972</v>
      </c>
      <c r="AK44" s="131">
        <v>0</v>
      </c>
      <c r="AL44" s="191">
        <v>0.16011123517391024</v>
      </c>
      <c r="AM44" s="97">
        <v>51.063374022595731</v>
      </c>
      <c r="AN44" s="131">
        <v>35.560196977951428</v>
      </c>
      <c r="AO44" s="131">
        <v>7.732643024210395</v>
      </c>
      <c r="AP44" s="131">
        <v>0.74827320808725239</v>
      </c>
      <c r="AQ44" s="131">
        <v>0.57939100628308071</v>
      </c>
      <c r="AR44" s="131">
        <v>4.3161217608721127</v>
      </c>
      <c r="AS44" s="97">
        <v>99.709249589975286</v>
      </c>
      <c r="AT44" s="131">
        <v>0.2907504100247188</v>
      </c>
      <c r="AU44" s="131">
        <v>0</v>
      </c>
      <c r="AV44" s="131">
        <v>0</v>
      </c>
      <c r="AW44" s="131">
        <v>0</v>
      </c>
      <c r="AX44" s="191">
        <v>0</v>
      </c>
      <c r="AY44" s="131">
        <v>27.075039876371942</v>
      </c>
      <c r="AZ44" s="131">
        <v>67.386775955790341</v>
      </c>
      <c r="BA44" s="131">
        <v>3.5898901535861625</v>
      </c>
      <c r="BB44" s="131">
        <v>1.6576370594959984</v>
      </c>
      <c r="BC44" s="131">
        <v>0.15419616915715129</v>
      </c>
      <c r="BD44" s="191">
        <v>0.13646078559841668</v>
      </c>
      <c r="BE44" s="97">
        <v>28.035013034647584</v>
      </c>
      <c r="BF44" s="131">
        <v>63.256358405188159</v>
      </c>
      <c r="BG44" s="131">
        <v>6.0930609605106625</v>
      </c>
      <c r="BH44" s="131">
        <v>0.76103736746631701</v>
      </c>
      <c r="BI44" s="131">
        <v>0.18416838505478536</v>
      </c>
      <c r="BJ44" s="191">
        <v>1.6703618471324879</v>
      </c>
      <c r="BK44" s="97">
        <v>32.66507444664434</v>
      </c>
      <c r="BL44" s="131">
        <v>62.209338459216355</v>
      </c>
      <c r="BM44" s="131">
        <v>3.552751906668679</v>
      </c>
      <c r="BN44" s="131">
        <v>1.4032548765437578</v>
      </c>
      <c r="BO44" s="131">
        <v>0.14383251502694641</v>
      </c>
      <c r="BP44" s="191">
        <v>2.5747795899885465E-2</v>
      </c>
      <c r="BQ44" s="97">
        <v>50.245020069220992</v>
      </c>
      <c r="BR44" s="131">
        <v>48.024976575768463</v>
      </c>
      <c r="BS44" s="131">
        <v>1.066476143789145</v>
      </c>
      <c r="BT44" s="131">
        <v>3.5636122164103466E-2</v>
      </c>
      <c r="BU44" s="131">
        <v>0</v>
      </c>
      <c r="BV44" s="191">
        <v>0.62789108905727664</v>
      </c>
      <c r="BW44" s="97">
        <v>18.842936802973977</v>
      </c>
      <c r="BX44" s="131">
        <v>79.809479553903344</v>
      </c>
      <c r="BY44" s="131">
        <v>1.3475836431226766</v>
      </c>
      <c r="BZ44" s="131">
        <v>0</v>
      </c>
      <c r="CA44" s="131">
        <v>0</v>
      </c>
      <c r="CB44" s="191">
        <v>0</v>
      </c>
    </row>
    <row r="45" spans="1:80" ht="15.75" customHeight="1" x14ac:dyDescent="0.3">
      <c r="A45" s="130"/>
      <c r="B45" s="130" t="s">
        <v>16</v>
      </c>
      <c r="C45" s="192">
        <v>61.842101874668487</v>
      </c>
      <c r="D45" s="193">
        <v>32.244537492066314</v>
      </c>
      <c r="E45" s="193">
        <v>2.5490895954615089</v>
      </c>
      <c r="F45" s="193">
        <v>0.77488479232240026</v>
      </c>
      <c r="G45" s="193">
        <v>0.37096078678200439</v>
      </c>
      <c r="H45" s="194">
        <v>2.2184254586993166</v>
      </c>
      <c r="I45" s="192">
        <v>31.036060132279587</v>
      </c>
      <c r="J45" s="193">
        <v>53.69340740310934</v>
      </c>
      <c r="K45" s="193">
        <v>5.1796250356690656</v>
      </c>
      <c r="L45" s="193">
        <v>1.1309577272904314</v>
      </c>
      <c r="M45" s="193">
        <v>2.2690691387679611</v>
      </c>
      <c r="N45" s="194">
        <v>6.6908805628836694</v>
      </c>
      <c r="O45" s="192">
        <v>82.507840928720015</v>
      </c>
      <c r="P45" s="193">
        <v>16.366550646006065</v>
      </c>
      <c r="Q45" s="193">
        <v>0.27283923501005525</v>
      </c>
      <c r="R45" s="193">
        <v>0.55877132713237687</v>
      </c>
      <c r="S45" s="193">
        <v>5.1555674111852572E-2</v>
      </c>
      <c r="T45" s="194">
        <v>0.24244218901966116</v>
      </c>
      <c r="U45" s="192">
        <v>73.288965023077495</v>
      </c>
      <c r="V45" s="193">
        <v>21.286991434683618</v>
      </c>
      <c r="W45" s="193">
        <v>1.8829781413636633</v>
      </c>
      <c r="X45" s="193">
        <v>1.456974551079645</v>
      </c>
      <c r="Y45" s="193">
        <v>4.5684916524850794E-2</v>
      </c>
      <c r="Z45" s="194">
        <v>2.0384059332707403</v>
      </c>
      <c r="AA45" s="192">
        <v>73.462110600757029</v>
      </c>
      <c r="AB45" s="193">
        <v>23.100589507602123</v>
      </c>
      <c r="AC45" s="193">
        <v>1.0980133665500433</v>
      </c>
      <c r="AD45" s="193">
        <v>0.33777433839754123</v>
      </c>
      <c r="AE45" s="193">
        <v>6.1302057785397671E-3</v>
      </c>
      <c r="AF45" s="194">
        <v>1.9953819809146944</v>
      </c>
      <c r="AG45" s="192">
        <v>73.152473904127547</v>
      </c>
      <c r="AH45" s="193">
        <v>25.289483016482411</v>
      </c>
      <c r="AI45" s="193">
        <v>0.2477758761583175</v>
      </c>
      <c r="AJ45" s="193">
        <v>0.91678616032193905</v>
      </c>
      <c r="AK45" s="193">
        <v>6.3986925081332777E-3</v>
      </c>
      <c r="AL45" s="194">
        <v>0.38708235040165279</v>
      </c>
      <c r="AM45" s="192">
        <v>58.088273998761998</v>
      </c>
      <c r="AN45" s="193">
        <v>32.470609129070844</v>
      </c>
      <c r="AO45" s="193">
        <v>5.2038697248969017</v>
      </c>
      <c r="AP45" s="193">
        <v>0.31050503641884908</v>
      </c>
      <c r="AQ45" s="193">
        <v>0.15704527246126548</v>
      </c>
      <c r="AR45" s="193">
        <v>3.7696968383901464</v>
      </c>
      <c r="AS45" s="192">
        <v>99.780802012823685</v>
      </c>
      <c r="AT45" s="193">
        <v>0.14241677132923344</v>
      </c>
      <c r="AU45" s="193">
        <v>7.6781215847065001E-2</v>
      </c>
      <c r="AV45" s="193">
        <v>0</v>
      </c>
      <c r="AW45" s="193">
        <v>0</v>
      </c>
      <c r="AX45" s="194">
        <v>0</v>
      </c>
      <c r="AY45" s="193">
        <v>37.899900315152721</v>
      </c>
      <c r="AZ45" s="193">
        <v>56.019788370926705</v>
      </c>
      <c r="BA45" s="193">
        <v>4.0366945495297486</v>
      </c>
      <c r="BB45" s="193">
        <v>1.5052566730027428</v>
      </c>
      <c r="BC45" s="193">
        <v>3.0880632039081417E-2</v>
      </c>
      <c r="BD45" s="194">
        <v>0.50747945934901462</v>
      </c>
      <c r="BE45" s="192">
        <v>34.79769269352952</v>
      </c>
      <c r="BF45" s="193">
        <v>58.697942791060576</v>
      </c>
      <c r="BG45" s="193">
        <v>4.79687412918687</v>
      </c>
      <c r="BH45" s="193">
        <v>0.83998634565011432</v>
      </c>
      <c r="BI45" s="193">
        <v>0.19184013264225602</v>
      </c>
      <c r="BJ45" s="194">
        <v>0.67566390793066944</v>
      </c>
      <c r="BK45" s="192">
        <v>43.296342491887216</v>
      </c>
      <c r="BL45" s="193">
        <v>53.154638274876696</v>
      </c>
      <c r="BM45" s="193">
        <v>1.8063739604854838</v>
      </c>
      <c r="BN45" s="193">
        <v>1.4286416100568509</v>
      </c>
      <c r="BO45" s="193">
        <v>0</v>
      </c>
      <c r="BP45" s="194">
        <v>0.31400366269374475</v>
      </c>
      <c r="BQ45" s="192">
        <v>44.576020783224969</v>
      </c>
      <c r="BR45" s="193">
        <v>53.942603470056305</v>
      </c>
      <c r="BS45" s="193">
        <v>0.96964592864330934</v>
      </c>
      <c r="BT45" s="193">
        <v>0.43564836953030767</v>
      </c>
      <c r="BU45" s="193">
        <v>0</v>
      </c>
      <c r="BV45" s="194">
        <v>7.6081448545102875E-2</v>
      </c>
      <c r="BW45" s="192">
        <v>26.702849389416556</v>
      </c>
      <c r="BX45" s="193">
        <v>71.953867028493889</v>
      </c>
      <c r="BY45" s="193">
        <v>1.0176390773405699</v>
      </c>
      <c r="BZ45" s="193">
        <v>0.32564450474898232</v>
      </c>
      <c r="CA45" s="193">
        <v>0</v>
      </c>
      <c r="CB45" s="194">
        <v>0</v>
      </c>
    </row>
    <row r="46" spans="1:80" ht="15.75" customHeight="1" x14ac:dyDescent="0.3">
      <c r="A46" s="130"/>
      <c r="B46" s="148" t="s">
        <v>8</v>
      </c>
      <c r="C46" s="97">
        <v>61.584753352115207</v>
      </c>
      <c r="D46" s="131">
        <v>32.062598836355157</v>
      </c>
      <c r="E46" s="131">
        <v>2.1549017369171191</v>
      </c>
      <c r="F46" s="131">
        <v>1.2669370018901307</v>
      </c>
      <c r="G46" s="131">
        <v>0.58860949454781175</v>
      </c>
      <c r="H46" s="191">
        <v>2.3421995781745744</v>
      </c>
      <c r="I46" s="97">
        <v>29.634620065553651</v>
      </c>
      <c r="J46" s="131">
        <v>53.23697012740616</v>
      </c>
      <c r="K46" s="131">
        <v>4.7913853294521296</v>
      </c>
      <c r="L46" s="131">
        <v>3.0172019992864461</v>
      </c>
      <c r="M46" s="131">
        <v>2.4429573167681977</v>
      </c>
      <c r="N46" s="191">
        <v>6.8768651615334102</v>
      </c>
      <c r="O46" s="97">
        <v>80.879967567011519</v>
      </c>
      <c r="P46" s="131">
        <v>17.44024825330456</v>
      </c>
      <c r="Q46" s="131">
        <v>0.52120395724580437</v>
      </c>
      <c r="R46" s="131">
        <v>1.1365073219253565</v>
      </c>
      <c r="S46" s="131">
        <v>6.3991161119618519E-3</v>
      </c>
      <c r="T46" s="191">
        <v>1.5673784400817955E-2</v>
      </c>
      <c r="U46" s="97">
        <v>75.96277017026047</v>
      </c>
      <c r="V46" s="131">
        <v>18.811154813230797</v>
      </c>
      <c r="W46" s="131">
        <v>0.70901306954666798</v>
      </c>
      <c r="X46" s="131">
        <v>2.25517421306813</v>
      </c>
      <c r="Y46" s="131">
        <v>3.0956790474558286E-2</v>
      </c>
      <c r="Z46" s="191">
        <v>2.2309309434193798</v>
      </c>
      <c r="AA46" s="97">
        <v>72.808071163149464</v>
      </c>
      <c r="AB46" s="131">
        <v>24.215446104558485</v>
      </c>
      <c r="AC46" s="131">
        <v>0.34163216429650389</v>
      </c>
      <c r="AD46" s="131">
        <v>0.141566246724775</v>
      </c>
      <c r="AE46" s="131">
        <v>1.6140239199040632E-2</v>
      </c>
      <c r="AF46" s="191">
        <v>2.4771440820717245</v>
      </c>
      <c r="AG46" s="97">
        <v>74.455551987297568</v>
      </c>
      <c r="AH46" s="131">
        <v>23.167629866594613</v>
      </c>
      <c r="AI46" s="131">
        <v>0.15933114000328027</v>
      </c>
      <c r="AJ46" s="131">
        <v>0.63360315795422095</v>
      </c>
      <c r="AK46" s="131">
        <v>2.4809347059334297E-2</v>
      </c>
      <c r="AL46" s="191">
        <v>1.5590745010909213</v>
      </c>
      <c r="AM46" s="97">
        <v>58.960594233683103</v>
      </c>
      <c r="AN46" s="131">
        <v>31.03177576204682</v>
      </c>
      <c r="AO46" s="131">
        <v>5.3127136554815975</v>
      </c>
      <c r="AP46" s="131">
        <v>0.6113394547277331</v>
      </c>
      <c r="AQ46" s="131">
        <v>0.54221609132075133</v>
      </c>
      <c r="AR46" s="131">
        <v>3.5413608027399848</v>
      </c>
      <c r="AS46" s="97">
        <v>99.952668349085087</v>
      </c>
      <c r="AT46" s="131">
        <v>4.7331650914896828E-2</v>
      </c>
      <c r="AU46" s="131">
        <v>0</v>
      </c>
      <c r="AV46" s="131">
        <v>0</v>
      </c>
      <c r="AW46" s="131">
        <v>0</v>
      </c>
      <c r="AX46" s="191">
        <v>0</v>
      </c>
      <c r="AY46" s="131">
        <v>38.120892997492824</v>
      </c>
      <c r="AZ46" s="131">
        <v>54.066966456613173</v>
      </c>
      <c r="BA46" s="131">
        <v>3.3357341038079782</v>
      </c>
      <c r="BB46" s="131">
        <v>1.9259081011799419</v>
      </c>
      <c r="BC46" s="131">
        <v>1.6598737673770383</v>
      </c>
      <c r="BD46" s="191">
        <v>0.89062457352902658</v>
      </c>
      <c r="BE46" s="97">
        <v>34.19809826688752</v>
      </c>
      <c r="BF46" s="131">
        <v>60.406326583051509</v>
      </c>
      <c r="BG46" s="131">
        <v>3.4699974162395399</v>
      </c>
      <c r="BH46" s="131">
        <v>0.98702496709798149</v>
      </c>
      <c r="BI46" s="131">
        <v>0.85036325679091262</v>
      </c>
      <c r="BJ46" s="191">
        <v>8.8189509932530399E-2</v>
      </c>
      <c r="BK46" s="97">
        <v>47.252340385436128</v>
      </c>
      <c r="BL46" s="131">
        <v>50.229077868738884</v>
      </c>
      <c r="BM46" s="131">
        <v>0.86764697731391927</v>
      </c>
      <c r="BN46" s="131">
        <v>1.5462894706211654</v>
      </c>
      <c r="BO46" s="131">
        <v>3.2701655590597442E-2</v>
      </c>
      <c r="BP46" s="191">
        <v>7.1943642299314367E-2</v>
      </c>
      <c r="BQ46" s="97">
        <v>46.285821161590484</v>
      </c>
      <c r="BR46" s="131">
        <v>51.881140666187399</v>
      </c>
      <c r="BS46" s="131">
        <v>0.8305424535194309</v>
      </c>
      <c r="BT46" s="131">
        <v>0.77571846890287743</v>
      </c>
      <c r="BU46" s="131">
        <v>0</v>
      </c>
      <c r="BV46" s="191">
        <v>0.22677724979981642</v>
      </c>
      <c r="BW46" s="97">
        <v>57.166185152619022</v>
      </c>
      <c r="BX46" s="131">
        <v>39.530209772641626</v>
      </c>
      <c r="BY46" s="131">
        <v>0.81648034166561989</v>
      </c>
      <c r="BZ46" s="131">
        <v>0</v>
      </c>
      <c r="CA46" s="131">
        <v>0</v>
      </c>
      <c r="CB46" s="191">
        <v>2.4871247330737343</v>
      </c>
    </row>
    <row r="47" spans="1:80" ht="15.75" customHeight="1" x14ac:dyDescent="0.3">
      <c r="A47" s="130"/>
      <c r="B47" s="130" t="s">
        <v>9</v>
      </c>
      <c r="C47" s="192">
        <v>57.768993199209987</v>
      </c>
      <c r="D47" s="193">
        <v>35.736390875538667</v>
      </c>
      <c r="E47" s="193">
        <v>2.2439356025652706</v>
      </c>
      <c r="F47" s="193">
        <v>1.7110534357823048</v>
      </c>
      <c r="G47" s="193">
        <v>0.43348709362709037</v>
      </c>
      <c r="H47" s="194">
        <v>2.1061397932767632</v>
      </c>
      <c r="I47" s="192">
        <v>31.052721066112483</v>
      </c>
      <c r="J47" s="193">
        <v>55.279447932631989</v>
      </c>
      <c r="K47" s="193">
        <v>3.6900136966773562</v>
      </c>
      <c r="L47" s="193">
        <v>2.3562131235964108</v>
      </c>
      <c r="M47" s="193">
        <v>1.7719904626925034</v>
      </c>
      <c r="N47" s="194">
        <v>5.8496137182892296</v>
      </c>
      <c r="O47" s="192">
        <v>73.836580881677719</v>
      </c>
      <c r="P47" s="193">
        <v>22.283465145409608</v>
      </c>
      <c r="Q47" s="193">
        <v>0.26843012000837535</v>
      </c>
      <c r="R47" s="193">
        <v>3.6115238529043356</v>
      </c>
      <c r="S47" s="193">
        <v>0</v>
      </c>
      <c r="T47" s="194">
        <v>0</v>
      </c>
      <c r="U47" s="192">
        <v>71.988500330815583</v>
      </c>
      <c r="V47" s="193">
        <v>23.03994940358492</v>
      </c>
      <c r="W47" s="193">
        <v>0.95907355654490245</v>
      </c>
      <c r="X47" s="193">
        <v>2.0348820841660875</v>
      </c>
      <c r="Y47" s="193">
        <v>3.9085689692997132E-2</v>
      </c>
      <c r="Z47" s="194">
        <v>1.9385089351954548</v>
      </c>
      <c r="AA47" s="192">
        <v>67.814817343703652</v>
      </c>
      <c r="AB47" s="193">
        <v>29.292831001893965</v>
      </c>
      <c r="AC47" s="193">
        <v>0.86411623227321699</v>
      </c>
      <c r="AD47" s="193">
        <v>9.6404419139869246E-2</v>
      </c>
      <c r="AE47" s="193">
        <v>2.6928608698287499E-3</v>
      </c>
      <c r="AF47" s="194">
        <v>1.9291381421195217</v>
      </c>
      <c r="AG47" s="192">
        <v>71.724242148426626</v>
      </c>
      <c r="AH47" s="193">
        <v>26.313214588278129</v>
      </c>
      <c r="AI47" s="193">
        <v>0.34409343704855055</v>
      </c>
      <c r="AJ47" s="193">
        <v>1.0785484070472202</v>
      </c>
      <c r="AK47" s="193">
        <v>0</v>
      </c>
      <c r="AL47" s="194">
        <v>0.53990141919945112</v>
      </c>
      <c r="AM47" s="192">
        <v>56.647486701173243</v>
      </c>
      <c r="AN47" s="193">
        <v>33.583564111482431</v>
      </c>
      <c r="AO47" s="193">
        <v>5.2795212658980022</v>
      </c>
      <c r="AP47" s="193">
        <v>0.83102667855119217</v>
      </c>
      <c r="AQ47" s="193">
        <v>0.47402896565757496</v>
      </c>
      <c r="AR47" s="193">
        <v>3.1843722772375398</v>
      </c>
      <c r="AS47" s="192">
        <v>99.934007524710765</v>
      </c>
      <c r="AT47" s="193">
        <v>1.3893152692470587E-2</v>
      </c>
      <c r="AU47" s="193">
        <v>5.2099322596764704E-2</v>
      </c>
      <c r="AV47" s="193">
        <v>0</v>
      </c>
      <c r="AW47" s="193">
        <v>0</v>
      </c>
      <c r="AX47" s="194">
        <v>0</v>
      </c>
      <c r="AY47" s="193">
        <v>35.89768805297004</v>
      </c>
      <c r="AZ47" s="193">
        <v>55.211636419939722</v>
      </c>
      <c r="BA47" s="193">
        <v>3.4383137297159321</v>
      </c>
      <c r="BB47" s="193">
        <v>3.5219555981465929</v>
      </c>
      <c r="BC47" s="193">
        <v>4.2840957001070247E-2</v>
      </c>
      <c r="BD47" s="194">
        <v>1.887565242226642</v>
      </c>
      <c r="BE47" s="192">
        <v>33.416093281590442</v>
      </c>
      <c r="BF47" s="193">
        <v>59.370256255062614</v>
      </c>
      <c r="BG47" s="193">
        <v>4.0069743245184855</v>
      </c>
      <c r="BH47" s="193">
        <v>0.64343141208554389</v>
      </c>
      <c r="BI47" s="193">
        <v>1.5827579816382589</v>
      </c>
      <c r="BJ47" s="194">
        <v>0.98048674510468081</v>
      </c>
      <c r="BK47" s="192">
        <v>38.892126964756947</v>
      </c>
      <c r="BL47" s="193">
        <v>57.026472951910414</v>
      </c>
      <c r="BM47" s="193">
        <v>2.7216060645270046</v>
      </c>
      <c r="BN47" s="193">
        <v>1.3494664692957206</v>
      </c>
      <c r="BO47" s="193">
        <v>1.0327549509916229E-2</v>
      </c>
      <c r="BP47" s="194">
        <v>0</v>
      </c>
      <c r="BQ47" s="192">
        <v>38.72543142481792</v>
      </c>
      <c r="BR47" s="193">
        <v>58.175962654490263</v>
      </c>
      <c r="BS47" s="193">
        <v>1.2819662512914047</v>
      </c>
      <c r="BT47" s="193">
        <v>1.8166396694004054</v>
      </c>
      <c r="BU47" s="193">
        <v>0</v>
      </c>
      <c r="BV47" s="194">
        <v>0</v>
      </c>
      <c r="BW47" s="192">
        <v>65.308286623238899</v>
      </c>
      <c r="BX47" s="193">
        <v>33.787809927788722</v>
      </c>
      <c r="BY47" s="193">
        <v>0.45952633439377877</v>
      </c>
      <c r="BZ47" s="193">
        <v>0.38378023531788114</v>
      </c>
      <c r="CA47" s="193">
        <v>0</v>
      </c>
      <c r="CB47" s="194">
        <v>6.0596879260718078E-2</v>
      </c>
    </row>
    <row r="48" spans="1:80" ht="15.75" customHeight="1" x14ac:dyDescent="0.3">
      <c r="A48" s="130"/>
      <c r="B48" s="148" t="s">
        <v>10</v>
      </c>
      <c r="C48" s="97">
        <v>54.70164113623207</v>
      </c>
      <c r="D48" s="131">
        <v>37.704206271662308</v>
      </c>
      <c r="E48" s="131">
        <v>2.8210642491928661</v>
      </c>
      <c r="F48" s="131">
        <v>2.1509645460868714</v>
      </c>
      <c r="G48" s="131">
        <v>0.38527295871595829</v>
      </c>
      <c r="H48" s="191">
        <v>2.2368508381099077</v>
      </c>
      <c r="I48" s="97">
        <v>30.213969681584089</v>
      </c>
      <c r="J48" s="131">
        <v>54.106863041612883</v>
      </c>
      <c r="K48" s="131">
        <v>4.762758464016553</v>
      </c>
      <c r="L48" s="131">
        <v>2.9507151254052553</v>
      </c>
      <c r="M48" s="131">
        <v>1.595432393928653</v>
      </c>
      <c r="N48" s="191">
        <v>6.3702612934525398</v>
      </c>
      <c r="O48" s="97">
        <v>75.657163572334881</v>
      </c>
      <c r="P48" s="131">
        <v>21.245301734698149</v>
      </c>
      <c r="Q48" s="131">
        <v>0.42674889004415928</v>
      </c>
      <c r="R48" s="131">
        <v>2.670785802922834</v>
      </c>
      <c r="S48" s="131">
        <v>0</v>
      </c>
      <c r="T48" s="191">
        <v>0</v>
      </c>
      <c r="U48" s="97">
        <v>66.16548333578082</v>
      </c>
      <c r="V48" s="131">
        <v>28.061134184290665</v>
      </c>
      <c r="W48" s="131">
        <v>1.0173299784111052</v>
      </c>
      <c r="X48" s="131">
        <v>2.7468993715407035</v>
      </c>
      <c r="Y48" s="131">
        <v>6.5140511635966625E-2</v>
      </c>
      <c r="Z48" s="191">
        <v>1.9440126183408353</v>
      </c>
      <c r="AA48" s="97">
        <v>64.674775080262378</v>
      </c>
      <c r="AB48" s="131">
        <v>31.440455992482409</v>
      </c>
      <c r="AC48" s="131">
        <v>0.54577819672815175</v>
      </c>
      <c r="AD48" s="131">
        <v>0.60218565939922308</v>
      </c>
      <c r="AE48" s="131">
        <v>2.0206389215214404E-2</v>
      </c>
      <c r="AF48" s="191">
        <v>2.7165986819126475</v>
      </c>
      <c r="AG48" s="97">
        <v>68.139275091719739</v>
      </c>
      <c r="AH48" s="131">
        <v>28.417274989864051</v>
      </c>
      <c r="AI48" s="131">
        <v>0.35940508339269417</v>
      </c>
      <c r="AJ48" s="131">
        <v>1.1285809054970992</v>
      </c>
      <c r="AK48" s="131">
        <v>2.4703312228040356E-2</v>
      </c>
      <c r="AL48" s="191">
        <v>1.9307606172984042</v>
      </c>
      <c r="AM48" s="97">
        <v>51.612479622572529</v>
      </c>
      <c r="AN48" s="131">
        <v>37.560150237730369</v>
      </c>
      <c r="AO48" s="131">
        <v>7.0888896499035834</v>
      </c>
      <c r="AP48" s="131">
        <v>1.3851992266523914</v>
      </c>
      <c r="AQ48" s="131">
        <v>0.4117411249598999</v>
      </c>
      <c r="AR48" s="131">
        <v>1.9415401381812434</v>
      </c>
      <c r="AS48" s="97">
        <v>99.989299348986222</v>
      </c>
      <c r="AT48" s="131">
        <v>1.070065101380039E-2</v>
      </c>
      <c r="AU48" s="131">
        <v>0</v>
      </c>
      <c r="AV48" s="131">
        <v>0</v>
      </c>
      <c r="AW48" s="131">
        <v>0</v>
      </c>
      <c r="AX48" s="191">
        <v>0</v>
      </c>
      <c r="AY48" s="131">
        <v>33.399638403797347</v>
      </c>
      <c r="AZ48" s="131">
        <v>54.9118416095667</v>
      </c>
      <c r="BA48" s="131">
        <v>3.8911289570565879</v>
      </c>
      <c r="BB48" s="131">
        <v>5.8121820513790601</v>
      </c>
      <c r="BC48" s="131">
        <v>0.34577037415562284</v>
      </c>
      <c r="BD48" s="191">
        <v>1.6394386040446982</v>
      </c>
      <c r="BE48" s="97">
        <v>32.232739552899936</v>
      </c>
      <c r="BF48" s="131">
        <v>60.551447768182854</v>
      </c>
      <c r="BG48" s="131">
        <v>6.4471372284253619</v>
      </c>
      <c r="BH48" s="131">
        <v>0.30740612390920152</v>
      </c>
      <c r="BI48" s="131">
        <v>0.10479608641705643</v>
      </c>
      <c r="BJ48" s="191">
        <v>0.35647324016559845</v>
      </c>
      <c r="BK48" s="97">
        <v>40.686816383523386</v>
      </c>
      <c r="BL48" s="131">
        <v>53.928501100946988</v>
      </c>
      <c r="BM48" s="131">
        <v>0.28105476092443743</v>
      </c>
      <c r="BN48" s="131">
        <v>3.7638065913606988</v>
      </c>
      <c r="BO48" s="131">
        <v>0.55450135156907321</v>
      </c>
      <c r="BP48" s="191">
        <v>0.78531981167540843</v>
      </c>
      <c r="BQ48" s="97">
        <v>31.101804634449227</v>
      </c>
      <c r="BR48" s="131">
        <v>64.790340053372802</v>
      </c>
      <c r="BS48" s="131">
        <v>2.0286944804079585</v>
      </c>
      <c r="BT48" s="131">
        <v>2.0791608317700212</v>
      </c>
      <c r="BU48" s="131">
        <v>0</v>
      </c>
      <c r="BV48" s="191">
        <v>0</v>
      </c>
      <c r="BW48" s="97">
        <v>80.763692910211375</v>
      </c>
      <c r="BX48" s="131">
        <v>18.741000979093474</v>
      </c>
      <c r="BY48" s="131">
        <v>0.20733744168634455</v>
      </c>
      <c r="BZ48" s="131">
        <v>0.28796866900881185</v>
      </c>
      <c r="CA48" s="131">
        <v>0</v>
      </c>
      <c r="CB48" s="191">
        <v>0</v>
      </c>
    </row>
    <row r="49" spans="1:80" s="109" customFormat="1" ht="15.75" customHeight="1" x14ac:dyDescent="0.3">
      <c r="A49" s="360"/>
      <c r="B49" s="401" t="s">
        <v>11</v>
      </c>
      <c r="C49" s="402">
        <v>56.317923961308161</v>
      </c>
      <c r="D49" s="405">
        <v>35.277983074210013</v>
      </c>
      <c r="E49" s="405">
        <v>3.0825323836799225</v>
      </c>
      <c r="F49" s="405">
        <v>2.5606448069054153</v>
      </c>
      <c r="G49" s="405">
        <v>0.41647926032952676</v>
      </c>
      <c r="H49" s="407">
        <v>2.3444365135670742</v>
      </c>
      <c r="I49" s="402">
        <v>33.192945318064027</v>
      </c>
      <c r="J49" s="405">
        <v>50.682719204087135</v>
      </c>
      <c r="K49" s="405">
        <v>5.0866911638723309</v>
      </c>
      <c r="L49" s="405">
        <v>2.539412689672937</v>
      </c>
      <c r="M49" s="405">
        <v>0.80059903533638321</v>
      </c>
      <c r="N49" s="407">
        <v>7.697632588967128</v>
      </c>
      <c r="O49" s="402">
        <v>69.709499879266332</v>
      </c>
      <c r="P49" s="405">
        <v>26.437071298631381</v>
      </c>
      <c r="Q49" s="405">
        <v>0.28730061233215937</v>
      </c>
      <c r="R49" s="405">
        <v>3.5623310497783591</v>
      </c>
      <c r="S49" s="405">
        <v>0</v>
      </c>
      <c r="T49" s="407">
        <v>3.7971599917318161E-3</v>
      </c>
      <c r="U49" s="402">
        <v>70.501361528622056</v>
      </c>
      <c r="V49" s="405">
        <v>23.689339266498713</v>
      </c>
      <c r="W49" s="405">
        <v>1.6265385207179086</v>
      </c>
      <c r="X49" s="405">
        <v>3.7419387750200843</v>
      </c>
      <c r="Y49" s="405">
        <v>5.7737227377515805E-2</v>
      </c>
      <c r="Z49" s="407">
        <v>0.38308468176369825</v>
      </c>
      <c r="AA49" s="402">
        <v>67.441240715658878</v>
      </c>
      <c r="AB49" s="405">
        <v>28.414752062489484</v>
      </c>
      <c r="AC49" s="405">
        <v>1.3212074642699743</v>
      </c>
      <c r="AD49" s="405">
        <v>0.68035855117656596</v>
      </c>
      <c r="AE49" s="405">
        <v>6.1920499406992119E-3</v>
      </c>
      <c r="AF49" s="407">
        <v>2.1362491564643826</v>
      </c>
      <c r="AG49" s="402">
        <v>72.457795235594702</v>
      </c>
      <c r="AH49" s="405">
        <v>24.931450761336212</v>
      </c>
      <c r="AI49" s="405">
        <v>0.24136197505387297</v>
      </c>
      <c r="AJ49" s="405">
        <v>0.86604746196801419</v>
      </c>
      <c r="AK49" s="405">
        <v>4.4924222090827019E-2</v>
      </c>
      <c r="AL49" s="407">
        <v>1.458420343956361</v>
      </c>
      <c r="AM49" s="402">
        <v>52.888960747335346</v>
      </c>
      <c r="AN49" s="405">
        <v>32.870650896641976</v>
      </c>
      <c r="AO49" s="405">
        <v>8.1643889846201265</v>
      </c>
      <c r="AP49" s="405">
        <v>2.370172861137616</v>
      </c>
      <c r="AQ49" s="405">
        <v>0.27614442100261716</v>
      </c>
      <c r="AR49" s="405">
        <v>3.4296820892623132</v>
      </c>
      <c r="AS49" s="402">
        <v>99.810761608480249</v>
      </c>
      <c r="AT49" s="405">
        <v>0.18923839151976035</v>
      </c>
      <c r="AU49" s="405">
        <v>0</v>
      </c>
      <c r="AV49" s="405">
        <v>0</v>
      </c>
      <c r="AW49" s="405">
        <v>0</v>
      </c>
      <c r="AX49" s="407">
        <v>0</v>
      </c>
      <c r="AY49" s="405">
        <v>31.131042452430851</v>
      </c>
      <c r="AZ49" s="405">
        <v>58.283398322479684</v>
      </c>
      <c r="BA49" s="405">
        <v>3.3376926717316393</v>
      </c>
      <c r="BB49" s="405">
        <v>2.598162601317608</v>
      </c>
      <c r="BC49" s="405">
        <v>3.2136666415314639</v>
      </c>
      <c r="BD49" s="407">
        <v>1.4360373105087194</v>
      </c>
      <c r="BE49" s="402">
        <v>37.032469506151628</v>
      </c>
      <c r="BF49" s="405">
        <v>49.766383422975771</v>
      </c>
      <c r="BG49" s="405">
        <v>5.9411399347173921</v>
      </c>
      <c r="BH49" s="405">
        <v>6.5773149555311798</v>
      </c>
      <c r="BI49" s="405">
        <v>9.7686035601485366E-2</v>
      </c>
      <c r="BJ49" s="407">
        <v>0.58500614502253168</v>
      </c>
      <c r="BK49" s="402">
        <v>38.781799467070826</v>
      </c>
      <c r="BL49" s="405">
        <v>58.076581985094101</v>
      </c>
      <c r="BM49" s="405">
        <v>0.23693771170823319</v>
      </c>
      <c r="BN49" s="405">
        <v>1.5987875396573852</v>
      </c>
      <c r="BO49" s="405">
        <v>7.6088493912404298E-2</v>
      </c>
      <c r="BP49" s="407">
        <v>1.2298048025570689</v>
      </c>
      <c r="BQ49" s="402">
        <v>36.309947037857462</v>
      </c>
      <c r="BR49" s="405">
        <v>59.337084438610411</v>
      </c>
      <c r="BS49" s="405">
        <v>2.3863729592255316</v>
      </c>
      <c r="BT49" s="405">
        <v>1.9665955643066155</v>
      </c>
      <c r="BU49" s="405">
        <v>0</v>
      </c>
      <c r="BV49" s="407">
        <v>0</v>
      </c>
      <c r="BW49" s="402">
        <v>76.712016417116374</v>
      </c>
      <c r="BX49" s="405">
        <v>20.589800106407235</v>
      </c>
      <c r="BY49" s="405">
        <v>0.36735831369866484</v>
      </c>
      <c r="BZ49" s="405">
        <v>2.1281447138405412</v>
      </c>
      <c r="CA49" s="405">
        <v>3.040206734057916E-2</v>
      </c>
      <c r="CB49" s="407">
        <v>0.17227838159661524</v>
      </c>
    </row>
    <row r="50" spans="1:80" s="109" customFormat="1" ht="15" customHeight="1" x14ac:dyDescent="0.3">
      <c r="A50" s="108"/>
      <c r="I50" s="110"/>
      <c r="J50" s="110"/>
      <c r="K50" s="110"/>
      <c r="L50" s="110"/>
      <c r="M50" s="110"/>
      <c r="N50" s="110"/>
      <c r="CB50" s="111"/>
    </row>
    <row r="51" spans="1:80" s="109" customFormat="1" x14ac:dyDescent="0.3">
      <c r="A51" s="108"/>
      <c r="B51" s="109" t="s">
        <v>84</v>
      </c>
      <c r="C51" s="140"/>
      <c r="D51" s="140"/>
      <c r="E51" s="140"/>
      <c r="F51" s="140"/>
      <c r="G51" s="140"/>
      <c r="H51" s="140"/>
      <c r="I51" s="140"/>
      <c r="J51" s="140"/>
      <c r="K51" s="140"/>
      <c r="L51" s="141"/>
      <c r="M51" s="141"/>
      <c r="N51" s="141"/>
      <c r="O51" s="140"/>
      <c r="P51" s="140"/>
      <c r="Q51" s="140"/>
      <c r="R51" s="140"/>
      <c r="S51" s="140"/>
      <c r="T51" s="140"/>
      <c r="U51" s="140"/>
      <c r="V51" s="140"/>
      <c r="W51" s="140"/>
      <c r="X51" s="140"/>
      <c r="Y51" s="140"/>
      <c r="Z51" s="140"/>
      <c r="CB51" s="111"/>
    </row>
    <row r="52" spans="1:80" s="114" customFormat="1" ht="14.25" customHeight="1" x14ac:dyDescent="0.3">
      <c r="A52" s="113"/>
      <c r="B52" s="140" t="s">
        <v>17</v>
      </c>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36"/>
      <c r="BA52" s="136"/>
      <c r="BB52" s="136"/>
      <c r="BC52" s="136"/>
      <c r="BD52" s="136"/>
      <c r="CB52" s="115"/>
    </row>
    <row r="53" spans="1:80" s="117" customFormat="1" x14ac:dyDescent="0.3">
      <c r="A53" s="116"/>
      <c r="B53" s="140" t="s">
        <v>60</v>
      </c>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36"/>
      <c r="BA53" s="136"/>
      <c r="BB53" s="136"/>
      <c r="BC53" s="136"/>
      <c r="BD53" s="136"/>
      <c r="CB53" s="118"/>
    </row>
    <row r="54" spans="1:80" s="117" customFormat="1" x14ac:dyDescent="0.3">
      <c r="A54" s="116"/>
      <c r="B54" s="437" t="s">
        <v>113</v>
      </c>
      <c r="C54" s="437"/>
      <c r="D54" s="437"/>
      <c r="E54" s="437"/>
      <c r="F54" s="437"/>
      <c r="G54" s="437"/>
      <c r="H54" s="437"/>
      <c r="I54" s="437"/>
      <c r="J54" s="437"/>
      <c r="K54" s="437"/>
      <c r="L54" s="437"/>
      <c r="M54" s="437"/>
      <c r="N54" s="437"/>
      <c r="O54" s="437"/>
      <c r="P54" s="140"/>
      <c r="Q54" s="140"/>
      <c r="R54" s="140"/>
      <c r="S54" s="140"/>
      <c r="T54" s="140"/>
      <c r="U54" s="140"/>
      <c r="V54" s="140"/>
      <c r="W54" s="140"/>
      <c r="X54" s="140"/>
      <c r="Y54" s="140"/>
      <c r="Z54" s="140"/>
      <c r="AA54" s="112"/>
      <c r="AB54" s="112"/>
      <c r="AC54" s="112"/>
      <c r="AD54" s="112"/>
      <c r="AE54" s="112"/>
      <c r="AF54" s="112"/>
      <c r="AG54" s="112"/>
      <c r="AH54" s="112"/>
      <c r="AI54" s="112"/>
      <c r="AJ54" s="112"/>
      <c r="AK54" s="112"/>
      <c r="AL54" s="112"/>
      <c r="AM54" s="112"/>
      <c r="AN54" s="112"/>
      <c r="AO54" s="112"/>
      <c r="AP54" s="112"/>
      <c r="AQ54" s="112"/>
      <c r="AR54" s="112"/>
      <c r="AS54" s="112"/>
      <c r="AT54" s="112"/>
      <c r="AU54" s="112"/>
      <c r="AV54" s="112"/>
      <c r="AW54" s="112"/>
      <c r="AX54" s="112"/>
      <c r="AY54" s="112"/>
      <c r="AZ54" s="284"/>
      <c r="BA54" s="284"/>
      <c r="BB54" s="284"/>
      <c r="BC54" s="284"/>
      <c r="BD54" s="284"/>
      <c r="CB54" s="118"/>
    </row>
    <row r="55" spans="1:80" ht="15" customHeight="1" x14ac:dyDescent="0.3">
      <c r="A55" s="123"/>
      <c r="B55" s="124" t="str">
        <f>'1.1 V.A Ing.real'!B45</f>
        <v>Actualizado el 15 de diciembre de 2021</v>
      </c>
      <c r="C55" s="124"/>
      <c r="D55" s="124"/>
      <c r="E55" s="124"/>
      <c r="F55" s="124"/>
      <c r="G55" s="124"/>
      <c r="H55" s="124"/>
      <c r="I55" s="124"/>
      <c r="J55" s="124"/>
      <c r="K55" s="124"/>
      <c r="L55" s="124"/>
      <c r="M55" s="124"/>
      <c r="N55" s="124"/>
      <c r="O55" s="124"/>
      <c r="P55" s="124"/>
      <c r="Q55" s="124"/>
      <c r="R55" s="143"/>
      <c r="S55" s="143"/>
      <c r="T55" s="143"/>
      <c r="U55" s="143"/>
      <c r="V55" s="143"/>
      <c r="W55" s="83"/>
      <c r="X55" s="83"/>
      <c r="Y55" s="83"/>
      <c r="Z55" s="83"/>
      <c r="AA55" s="124"/>
      <c r="AB55" s="124"/>
      <c r="AC55" s="195"/>
      <c r="AD55" s="195"/>
      <c r="AE55" s="195"/>
      <c r="AF55" s="195"/>
      <c r="AG55" s="195"/>
      <c r="AH55" s="195"/>
      <c r="AI55" s="195"/>
      <c r="AJ55" s="195"/>
      <c r="AK55" s="195"/>
      <c r="AL55" s="195"/>
      <c r="AM55" s="124"/>
      <c r="AN55" s="124"/>
      <c r="AO55" s="124"/>
      <c r="AP55" s="124"/>
      <c r="AQ55" s="124"/>
      <c r="AR55" s="124"/>
      <c r="AS55" s="124"/>
      <c r="AT55" s="124"/>
      <c r="AU55" s="144"/>
      <c r="AV55" s="144"/>
      <c r="AW55" s="144"/>
      <c r="AX55" s="144"/>
      <c r="CB55" s="102"/>
    </row>
    <row r="56" spans="1:80" s="83" customFormat="1" x14ac:dyDescent="0.3">
      <c r="A56" s="125"/>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c r="AC56" s="196"/>
      <c r="AD56" s="196"/>
      <c r="AE56" s="196"/>
      <c r="AF56" s="196"/>
      <c r="AG56" s="196"/>
      <c r="AH56" s="196"/>
      <c r="AI56" s="196"/>
      <c r="AJ56" s="196"/>
      <c r="AK56" s="196"/>
      <c r="AL56" s="19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6"/>
      <c r="BZ56" s="126"/>
      <c r="CA56" s="126"/>
      <c r="CB56" s="127"/>
    </row>
  </sheetData>
  <mergeCells count="17">
    <mergeCell ref="B54:O54"/>
    <mergeCell ref="BW14:CB14"/>
    <mergeCell ref="BQ14:BV14"/>
    <mergeCell ref="BK14:BP14"/>
    <mergeCell ref="BE14:BJ14"/>
    <mergeCell ref="AY14:BD14"/>
    <mergeCell ref="AS14:AX14"/>
    <mergeCell ref="AM14:AR14"/>
    <mergeCell ref="A7:K8"/>
    <mergeCell ref="A14:A15"/>
    <mergeCell ref="B14:B15"/>
    <mergeCell ref="I14:N14"/>
    <mergeCell ref="AG14:AL14"/>
    <mergeCell ref="AA14:AF14"/>
    <mergeCell ref="U14:Z14"/>
    <mergeCell ref="O14:T14"/>
    <mergeCell ref="C14:H14"/>
  </mergeCells>
  <hyperlinks>
    <hyperlink ref="L3" location="Contenido!A1" display="Inicio" xr:uid="{00000000-0004-0000-0F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B55"/>
  <sheetViews>
    <sheetView showGridLines="0" zoomScale="80" zoomScaleNormal="80" zoomScaleSheetLayoutView="90" workbookViewId="0">
      <pane ySplit="15" topLeftCell="A16" activePane="bottomLeft" state="frozen"/>
      <selection pane="bottomLeft" activeCell="A7" sqref="A7:K8"/>
    </sheetView>
  </sheetViews>
  <sheetFormatPr baseColWidth="10" defaultColWidth="11.42578125" defaultRowHeight="16.5" x14ac:dyDescent="0.3"/>
  <cols>
    <col min="1" max="1" width="9" style="100" customWidth="1"/>
    <col min="2" max="2" width="19.85546875" style="128" bestFit="1" customWidth="1"/>
    <col min="3" max="3" width="15.42578125" style="128" customWidth="1"/>
    <col min="4" max="4" width="13.7109375" style="128" customWidth="1"/>
    <col min="5" max="5" width="13.28515625" style="128" bestFit="1" customWidth="1"/>
    <col min="6" max="6" width="17.7109375" style="128" customWidth="1"/>
    <col min="7" max="7" width="13.85546875" style="128" customWidth="1"/>
    <col min="8" max="8" width="14" style="128" customWidth="1"/>
    <col min="9" max="9" width="16.28515625" style="128" customWidth="1"/>
    <col min="10" max="10" width="14.42578125" style="128" customWidth="1"/>
    <col min="11" max="11" width="12.140625" style="128" bestFit="1" customWidth="1"/>
    <col min="12" max="12" width="17.85546875" style="128" customWidth="1"/>
    <col min="13" max="13" width="11.7109375" style="128" customWidth="1"/>
    <col min="14" max="14" width="12.140625" style="128" bestFit="1" customWidth="1"/>
    <col min="15" max="15" width="15.85546875" style="100" customWidth="1"/>
    <col min="16" max="16" width="14.42578125" style="100" customWidth="1"/>
    <col min="17" max="17" width="12.140625" style="100" bestFit="1" customWidth="1"/>
    <col min="18" max="18" width="17.7109375" style="100" customWidth="1"/>
    <col min="19" max="19" width="11.85546875" style="100" customWidth="1"/>
    <col min="20" max="20" width="12.140625" style="100" bestFit="1" customWidth="1"/>
    <col min="21" max="21" width="16.28515625" style="100" customWidth="1"/>
    <col min="22" max="23" width="14.7109375" style="100" customWidth="1"/>
    <col min="24" max="24" width="17.42578125" style="100" customWidth="1"/>
    <col min="25" max="26" width="14.7109375" style="100" customWidth="1"/>
    <col min="27" max="27" width="16.7109375" style="100" customWidth="1"/>
    <col min="28" max="29" width="14.7109375" style="100" customWidth="1"/>
    <col min="30" max="30" width="17.42578125" style="100" customWidth="1"/>
    <col min="31" max="32" width="14.7109375" style="100" customWidth="1"/>
    <col min="33" max="33" width="16" style="100" customWidth="1"/>
    <col min="34" max="35" width="14.7109375" style="100" customWidth="1"/>
    <col min="36" max="36" width="17.42578125" style="100" customWidth="1"/>
    <col min="37" max="38" width="14.7109375" style="100" customWidth="1"/>
    <col min="39" max="39" width="16.28515625" style="100" customWidth="1"/>
    <col min="40" max="41" width="14.7109375" style="100" customWidth="1"/>
    <col min="42" max="42" width="18.28515625" style="100" customWidth="1"/>
    <col min="43" max="44" width="14.7109375" style="100" customWidth="1"/>
    <col min="45" max="45" width="15.7109375" style="100" customWidth="1"/>
    <col min="46" max="47" width="14.7109375" style="100" customWidth="1"/>
    <col min="48" max="48" width="18" style="100" customWidth="1"/>
    <col min="49" max="50" width="14.7109375" style="100" customWidth="1"/>
    <col min="51" max="51" width="17" style="100" customWidth="1"/>
    <col min="52" max="53" width="14.7109375" style="100" customWidth="1"/>
    <col min="54" max="54" width="18" style="100" customWidth="1"/>
    <col min="55" max="56" width="14.7109375" style="100" customWidth="1"/>
    <col min="57" max="57" width="16.28515625" style="100" customWidth="1"/>
    <col min="58" max="59" width="14.7109375" style="100" customWidth="1"/>
    <col min="60" max="60" width="18.42578125" style="100" customWidth="1"/>
    <col min="61" max="62" width="14.7109375" style="100" customWidth="1"/>
    <col min="63" max="63" width="16.28515625" style="100" customWidth="1"/>
    <col min="64" max="65" width="14.7109375" style="100" customWidth="1"/>
    <col min="66" max="66" width="18.42578125" style="100" customWidth="1"/>
    <col min="67" max="68" width="14.7109375" style="100" customWidth="1"/>
    <col min="69" max="69" width="15.42578125" style="100" customWidth="1"/>
    <col min="70" max="71" width="14.7109375" style="100" customWidth="1"/>
    <col min="72" max="72" width="17.28515625" style="100" customWidth="1"/>
    <col min="73" max="74" width="14.7109375" style="100" customWidth="1"/>
    <col min="75" max="75" width="15.7109375" style="100" customWidth="1"/>
    <col min="76" max="77" width="14.7109375" style="100" customWidth="1"/>
    <col min="78" max="78" width="17.85546875" style="100" customWidth="1"/>
    <col min="79" max="80" width="12.140625" style="100" bestFit="1" customWidth="1"/>
    <col min="81" max="16384" width="11.42578125" style="100"/>
  </cols>
  <sheetData>
    <row r="1" spans="1:80" s="83" customFormat="1" ht="12" customHeight="1" x14ac:dyDescent="0.3">
      <c r="A1" s="369"/>
      <c r="B1" s="81"/>
      <c r="C1" s="81"/>
      <c r="D1" s="81"/>
      <c r="E1" s="81"/>
      <c r="F1" s="81"/>
      <c r="G1" s="81"/>
      <c r="H1" s="81"/>
      <c r="I1" s="81"/>
      <c r="J1" s="81"/>
      <c r="K1" s="81"/>
      <c r="L1" s="85"/>
      <c r="M1" s="85"/>
      <c r="N1" s="85"/>
      <c r="O1" s="85"/>
      <c r="P1" s="85"/>
      <c r="Q1" s="85"/>
      <c r="R1" s="85"/>
      <c r="S1" s="85"/>
      <c r="T1" s="85"/>
    </row>
    <row r="2" spans="1:80" s="87" customFormat="1" x14ac:dyDescent="0.3">
      <c r="A2" s="84"/>
      <c r="B2" s="85"/>
      <c r="C2" s="85"/>
      <c r="D2" s="85"/>
      <c r="E2" s="85"/>
      <c r="F2" s="85"/>
      <c r="G2" s="85"/>
      <c r="H2" s="85"/>
      <c r="I2" s="85"/>
      <c r="J2" s="85"/>
      <c r="K2" s="85"/>
      <c r="L2" s="85"/>
      <c r="M2" s="85"/>
      <c r="N2" s="85"/>
      <c r="O2" s="85"/>
      <c r="P2" s="85"/>
      <c r="Q2" s="85"/>
      <c r="R2" s="85"/>
      <c r="S2" s="85"/>
      <c r="T2" s="85"/>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0"/>
      <c r="BP2" s="130"/>
      <c r="BQ2" s="130"/>
      <c r="BR2" s="130"/>
      <c r="BS2" s="130"/>
      <c r="BT2" s="130"/>
      <c r="BU2" s="130"/>
      <c r="BV2" s="130"/>
      <c r="BW2" s="130"/>
      <c r="BX2" s="130"/>
      <c r="BY2" s="130"/>
      <c r="BZ2" s="130"/>
      <c r="CA2" s="130"/>
      <c r="CB2" s="130"/>
    </row>
    <row r="3" spans="1:80" s="87" customFormat="1" x14ac:dyDescent="0.3">
      <c r="A3" s="84"/>
      <c r="B3" s="85"/>
      <c r="C3" s="85"/>
      <c r="D3" s="85"/>
      <c r="E3" s="85"/>
      <c r="F3" s="85"/>
      <c r="G3" s="85"/>
      <c r="H3" s="85"/>
      <c r="I3" s="85"/>
      <c r="J3" s="85"/>
      <c r="K3" s="85"/>
      <c r="L3" s="224" t="s">
        <v>0</v>
      </c>
      <c r="M3" s="85"/>
      <c r="N3" s="85"/>
      <c r="O3" s="85"/>
      <c r="P3" s="85"/>
      <c r="Q3" s="85"/>
      <c r="R3" s="85"/>
      <c r="S3" s="85"/>
      <c r="T3" s="85"/>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c r="BI3" s="130"/>
      <c r="BJ3" s="130"/>
      <c r="BK3" s="130"/>
      <c r="BL3" s="130"/>
      <c r="BM3" s="130"/>
      <c r="BN3" s="130"/>
      <c r="BO3" s="130"/>
      <c r="BP3" s="130"/>
      <c r="BQ3" s="130"/>
      <c r="BR3" s="130"/>
      <c r="BS3" s="130"/>
      <c r="BT3" s="130"/>
      <c r="BU3" s="130"/>
      <c r="BV3" s="130"/>
      <c r="BW3" s="130"/>
      <c r="BX3" s="130"/>
      <c r="BY3" s="130"/>
      <c r="BZ3" s="130"/>
      <c r="CA3" s="130"/>
      <c r="CB3" s="130"/>
    </row>
    <row r="4" spans="1:80" s="87" customFormat="1" x14ac:dyDescent="0.3">
      <c r="A4" s="84"/>
      <c r="B4" s="85"/>
      <c r="C4" s="85"/>
      <c r="D4" s="85"/>
      <c r="E4" s="85"/>
      <c r="F4" s="85"/>
      <c r="G4" s="85"/>
      <c r="H4" s="85"/>
      <c r="I4" s="85"/>
      <c r="J4" s="85"/>
      <c r="K4" s="85"/>
      <c r="L4" s="130"/>
      <c r="M4" s="85"/>
      <c r="N4" s="85"/>
      <c r="O4" s="85"/>
      <c r="P4" s="85"/>
      <c r="Q4" s="85"/>
      <c r="R4" s="85"/>
      <c r="S4" s="85"/>
      <c r="T4" s="85"/>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130"/>
      <c r="BW4" s="130"/>
      <c r="BX4" s="130"/>
      <c r="BY4" s="130"/>
      <c r="BZ4" s="130"/>
      <c r="CA4" s="130"/>
      <c r="CB4" s="130"/>
    </row>
    <row r="5" spans="1:80" s="87" customFormat="1" x14ac:dyDescent="0.3">
      <c r="A5" s="84"/>
      <c r="B5" s="85"/>
      <c r="C5" s="85"/>
      <c r="D5" s="85"/>
      <c r="E5" s="85"/>
      <c r="F5" s="85"/>
      <c r="G5" s="85"/>
      <c r="H5" s="85"/>
      <c r="I5" s="85"/>
      <c r="J5" s="85"/>
      <c r="K5" s="85"/>
      <c r="L5" s="85"/>
      <c r="M5" s="85"/>
      <c r="N5" s="85"/>
      <c r="O5" s="85"/>
      <c r="P5" s="85"/>
      <c r="Q5" s="85"/>
      <c r="R5" s="85"/>
      <c r="S5" s="85"/>
      <c r="T5" s="85"/>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row>
    <row r="6" spans="1:80" s="87" customFormat="1" x14ac:dyDescent="0.3">
      <c r="A6" s="84"/>
      <c r="B6" s="85"/>
      <c r="C6" s="85"/>
      <c r="D6" s="85"/>
      <c r="E6" s="85"/>
      <c r="F6" s="85"/>
      <c r="G6" s="85"/>
      <c r="H6" s="85"/>
      <c r="I6" s="85"/>
      <c r="J6" s="85"/>
      <c r="K6" s="85"/>
      <c r="L6" s="85"/>
      <c r="M6" s="85"/>
      <c r="N6" s="85"/>
      <c r="O6" s="85"/>
      <c r="P6" s="85"/>
      <c r="Q6" s="85"/>
      <c r="R6" s="85"/>
      <c r="S6" s="85"/>
      <c r="T6" s="85"/>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0"/>
      <c r="BK6" s="130"/>
      <c r="BL6" s="130"/>
      <c r="BM6" s="130"/>
      <c r="BN6" s="130"/>
      <c r="BO6" s="130"/>
      <c r="BP6" s="130"/>
      <c r="BQ6" s="130"/>
      <c r="BR6" s="130"/>
      <c r="BS6" s="130"/>
      <c r="BT6" s="130"/>
      <c r="BU6" s="130"/>
      <c r="BV6" s="130"/>
      <c r="BW6" s="130"/>
      <c r="BX6" s="130"/>
      <c r="BY6" s="130"/>
      <c r="BZ6" s="130"/>
      <c r="CA6" s="130"/>
      <c r="CB6" s="130"/>
    </row>
    <row r="7" spans="1:80" s="87" customFormat="1" ht="15" customHeight="1" x14ac:dyDescent="0.3">
      <c r="A7" s="421" t="s">
        <v>4</v>
      </c>
      <c r="B7" s="421"/>
      <c r="C7" s="421"/>
      <c r="D7" s="421"/>
      <c r="E7" s="421"/>
      <c r="F7" s="421"/>
      <c r="G7" s="421"/>
      <c r="H7" s="421"/>
      <c r="I7" s="421"/>
      <c r="J7" s="421"/>
      <c r="K7" s="421"/>
      <c r="L7" s="197"/>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row>
    <row r="8" spans="1:80" s="87" customFormat="1" ht="15" customHeight="1" x14ac:dyDescent="0.3">
      <c r="A8" s="421"/>
      <c r="B8" s="421"/>
      <c r="C8" s="421"/>
      <c r="D8" s="421"/>
      <c r="E8" s="421"/>
      <c r="F8" s="421"/>
      <c r="G8" s="421"/>
      <c r="H8" s="421"/>
      <c r="I8" s="421"/>
      <c r="J8" s="421"/>
      <c r="K8" s="421"/>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row>
    <row r="9" spans="1:80" s="89" customFormat="1" ht="15.75" customHeight="1" x14ac:dyDescent="0.3">
      <c r="A9" s="215"/>
      <c r="B9" s="216"/>
      <c r="C9" s="216"/>
      <c r="D9" s="216"/>
      <c r="E9" s="216"/>
      <c r="F9" s="216"/>
      <c r="G9" s="216"/>
      <c r="H9" s="216"/>
      <c r="I9" s="216"/>
      <c r="J9" s="216"/>
      <c r="K9" s="216"/>
      <c r="L9" s="129"/>
      <c r="M9" s="129"/>
      <c r="N9" s="129"/>
      <c r="O9" s="129"/>
      <c r="P9" s="129"/>
      <c r="Q9" s="129"/>
      <c r="R9" s="129"/>
      <c r="S9" s="129"/>
      <c r="T9" s="129"/>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c r="BZ9" s="130"/>
      <c r="CA9" s="130"/>
      <c r="CB9" s="130"/>
    </row>
    <row r="10" spans="1:80" s="83" customFormat="1" ht="15.75" customHeight="1" x14ac:dyDescent="0.3">
      <c r="A10" s="90" t="s">
        <v>143</v>
      </c>
      <c r="B10" s="164"/>
      <c r="C10" s="164"/>
      <c r="D10" s="164"/>
      <c r="E10" s="164"/>
      <c r="F10" s="164"/>
      <c r="G10" s="164"/>
      <c r="H10" s="164"/>
      <c r="I10" s="164"/>
      <c r="J10" s="164"/>
      <c r="K10" s="164"/>
      <c r="L10" s="137"/>
      <c r="M10" s="137"/>
      <c r="N10" s="137"/>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row>
    <row r="11" spans="1:80" s="83" customFormat="1" ht="15.75" customHeight="1" x14ac:dyDescent="0.3">
      <c r="A11" s="90" t="s">
        <v>77</v>
      </c>
      <c r="B11" s="164"/>
      <c r="C11" s="164"/>
      <c r="D11" s="164"/>
      <c r="E11" s="164"/>
      <c r="F11" s="164"/>
      <c r="G11" s="164"/>
      <c r="H11" s="164"/>
      <c r="I11" s="164"/>
      <c r="J11" s="164"/>
      <c r="K11" s="164"/>
      <c r="L11" s="137"/>
      <c r="M11" s="137"/>
      <c r="N11" s="137"/>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row>
    <row r="12" spans="1:80" s="83" customFormat="1" ht="15.75" customHeight="1" x14ac:dyDescent="0.3">
      <c r="A12" s="90" t="str">
        <f>'6.1 Porc Mens Motivo.viaje.reg'!A12</f>
        <v>Enero 2019 - octubre 2021</v>
      </c>
      <c r="B12" s="223"/>
      <c r="C12" s="223"/>
      <c r="D12" s="223"/>
      <c r="E12" s="223"/>
      <c r="F12" s="223"/>
      <c r="G12" s="223"/>
      <c r="H12" s="223"/>
      <c r="I12" s="223"/>
      <c r="J12" s="223"/>
      <c r="K12" s="223"/>
      <c r="L12" s="225"/>
      <c r="M12" s="225"/>
      <c r="N12" s="225"/>
      <c r="O12" s="225"/>
      <c r="P12" s="225"/>
      <c r="Q12" s="225"/>
      <c r="R12" s="225"/>
      <c r="S12" s="225"/>
      <c r="T12" s="225"/>
      <c r="U12" s="225"/>
      <c r="V12" s="225"/>
      <c r="W12" s="225"/>
      <c r="X12" s="225"/>
      <c r="Y12" s="225"/>
      <c r="Z12" s="225"/>
      <c r="AA12" s="225"/>
      <c r="AB12" s="225"/>
      <c r="AC12" s="225"/>
      <c r="AD12" s="225"/>
      <c r="AE12" s="225"/>
      <c r="AF12" s="225"/>
      <c r="AG12" s="225"/>
      <c r="AH12" s="225"/>
      <c r="AI12" s="225"/>
      <c r="AJ12" s="225"/>
      <c r="AK12" s="225"/>
      <c r="AL12" s="225"/>
      <c r="AM12" s="225"/>
      <c r="AN12" s="225"/>
      <c r="AO12" s="225"/>
      <c r="AP12" s="225"/>
      <c r="AQ12" s="225"/>
      <c r="AR12" s="225"/>
      <c r="AS12" s="225"/>
      <c r="AT12" s="225"/>
      <c r="AU12" s="225"/>
      <c r="AV12" s="225"/>
      <c r="AW12" s="225"/>
      <c r="AX12" s="225"/>
      <c r="AY12" s="225"/>
      <c r="AZ12" s="225"/>
      <c r="BA12" s="225"/>
      <c r="BB12" s="225"/>
      <c r="BC12" s="225"/>
      <c r="BD12" s="225"/>
      <c r="BE12" s="225"/>
      <c r="BF12" s="225"/>
      <c r="BG12" s="225"/>
      <c r="BH12" s="225"/>
      <c r="BI12" s="225"/>
      <c r="BJ12" s="225"/>
      <c r="BK12" s="225"/>
      <c r="BL12" s="225"/>
      <c r="BM12" s="225"/>
      <c r="BN12" s="225"/>
      <c r="BO12" s="225"/>
      <c r="BP12" s="225"/>
      <c r="BQ12" s="225"/>
      <c r="BR12" s="225"/>
      <c r="BS12" s="225"/>
      <c r="BT12" s="225"/>
      <c r="BU12" s="225"/>
      <c r="BV12" s="225"/>
      <c r="BW12" s="225"/>
      <c r="BX12" s="225"/>
      <c r="BY12" s="225"/>
      <c r="BZ12" s="225"/>
      <c r="CA12" s="225"/>
      <c r="CB12" s="225"/>
    </row>
    <row r="13" spans="1:80" s="83" customFormat="1" ht="15.75" customHeight="1" x14ac:dyDescent="0.3">
      <c r="A13" s="218"/>
      <c r="B13" s="219"/>
      <c r="C13" s="219"/>
      <c r="D13" s="219"/>
      <c r="E13" s="219"/>
      <c r="F13" s="219"/>
      <c r="G13" s="219"/>
      <c r="H13" s="219"/>
      <c r="I13" s="220"/>
      <c r="J13" s="220"/>
      <c r="K13" s="220"/>
      <c r="L13" s="242"/>
      <c r="M13" s="242"/>
      <c r="N13" s="242"/>
      <c r="O13" s="93"/>
      <c r="P13" s="93"/>
      <c r="Q13" s="93"/>
      <c r="R13" s="93"/>
      <c r="S13" s="93"/>
      <c r="T13" s="93"/>
    </row>
    <row r="14" spans="1:80" s="95" customFormat="1" ht="22.5" customHeight="1" x14ac:dyDescent="0.3">
      <c r="A14" s="427" t="s">
        <v>25</v>
      </c>
      <c r="B14" s="429" t="s">
        <v>26</v>
      </c>
      <c r="C14" s="425" t="s">
        <v>24</v>
      </c>
      <c r="D14" s="425"/>
      <c r="E14" s="425"/>
      <c r="F14" s="425"/>
      <c r="G14" s="425"/>
      <c r="H14" s="425"/>
      <c r="I14" s="425" t="s">
        <v>5</v>
      </c>
      <c r="J14" s="425"/>
      <c r="K14" s="425"/>
      <c r="L14" s="425"/>
      <c r="M14" s="425"/>
      <c r="N14" s="425"/>
      <c r="O14" s="425" t="s">
        <v>6</v>
      </c>
      <c r="P14" s="425"/>
      <c r="Q14" s="425"/>
      <c r="R14" s="425"/>
      <c r="S14" s="425"/>
      <c r="T14" s="425"/>
      <c r="U14" s="425" t="s">
        <v>20</v>
      </c>
      <c r="V14" s="425"/>
      <c r="W14" s="425"/>
      <c r="X14" s="425"/>
      <c r="Y14" s="425"/>
      <c r="Z14" s="425"/>
      <c r="AA14" s="425" t="s">
        <v>21</v>
      </c>
      <c r="AB14" s="425"/>
      <c r="AC14" s="425"/>
      <c r="AD14" s="425"/>
      <c r="AE14" s="425"/>
      <c r="AF14" s="425"/>
      <c r="AG14" s="425" t="s">
        <v>22</v>
      </c>
      <c r="AH14" s="425"/>
      <c r="AI14" s="425"/>
      <c r="AJ14" s="425"/>
      <c r="AK14" s="425"/>
      <c r="AL14" s="425"/>
      <c r="AM14" s="425" t="s">
        <v>3</v>
      </c>
      <c r="AN14" s="425"/>
      <c r="AO14" s="425"/>
      <c r="AP14" s="425"/>
      <c r="AQ14" s="425"/>
      <c r="AR14" s="425"/>
      <c r="AS14" s="425" t="s">
        <v>7</v>
      </c>
      <c r="AT14" s="425"/>
      <c r="AU14" s="425"/>
      <c r="AV14" s="425"/>
      <c r="AW14" s="425"/>
      <c r="AX14" s="425"/>
      <c r="AY14" s="425" t="s">
        <v>41</v>
      </c>
      <c r="AZ14" s="425"/>
      <c r="BA14" s="425"/>
      <c r="BB14" s="425"/>
      <c r="BC14" s="425"/>
      <c r="BD14" s="425"/>
      <c r="BE14" s="425" t="s">
        <v>38</v>
      </c>
      <c r="BF14" s="425"/>
      <c r="BG14" s="425"/>
      <c r="BH14" s="425"/>
      <c r="BI14" s="425"/>
      <c r="BJ14" s="425"/>
      <c r="BK14" s="425" t="s">
        <v>42</v>
      </c>
      <c r="BL14" s="425"/>
      <c r="BM14" s="425"/>
      <c r="BN14" s="425"/>
      <c r="BO14" s="425"/>
      <c r="BP14" s="425"/>
      <c r="BQ14" s="425" t="s">
        <v>23</v>
      </c>
      <c r="BR14" s="425"/>
      <c r="BS14" s="425"/>
      <c r="BT14" s="425"/>
      <c r="BU14" s="425"/>
      <c r="BV14" s="425"/>
      <c r="BW14" s="425" t="s">
        <v>40</v>
      </c>
      <c r="BX14" s="425"/>
      <c r="BY14" s="425"/>
      <c r="BZ14" s="425"/>
      <c r="CA14" s="425"/>
      <c r="CB14" s="426"/>
    </row>
    <row r="15" spans="1:80" s="95" customFormat="1" ht="51.75" customHeight="1" x14ac:dyDescent="0.3">
      <c r="A15" s="428"/>
      <c r="B15" s="430"/>
      <c r="C15" s="298" t="s">
        <v>34</v>
      </c>
      <c r="D15" s="298" t="s">
        <v>1</v>
      </c>
      <c r="E15" s="298" t="s">
        <v>35</v>
      </c>
      <c r="F15" s="298" t="s">
        <v>36</v>
      </c>
      <c r="G15" s="298" t="s">
        <v>119</v>
      </c>
      <c r="H15" s="298" t="s">
        <v>2</v>
      </c>
      <c r="I15" s="298" t="s">
        <v>34</v>
      </c>
      <c r="J15" s="298" t="s">
        <v>1</v>
      </c>
      <c r="K15" s="298" t="s">
        <v>35</v>
      </c>
      <c r="L15" s="298" t="s">
        <v>36</v>
      </c>
      <c r="M15" s="298" t="s">
        <v>119</v>
      </c>
      <c r="N15" s="298" t="s">
        <v>2</v>
      </c>
      <c r="O15" s="298" t="s">
        <v>34</v>
      </c>
      <c r="P15" s="298" t="s">
        <v>1</v>
      </c>
      <c r="Q15" s="298" t="s">
        <v>35</v>
      </c>
      <c r="R15" s="298" t="s">
        <v>36</v>
      </c>
      <c r="S15" s="298" t="s">
        <v>119</v>
      </c>
      <c r="T15" s="298" t="s">
        <v>2</v>
      </c>
      <c r="U15" s="298" t="s">
        <v>34</v>
      </c>
      <c r="V15" s="298" t="s">
        <v>1</v>
      </c>
      <c r="W15" s="298" t="s">
        <v>35</v>
      </c>
      <c r="X15" s="298" t="s">
        <v>36</v>
      </c>
      <c r="Y15" s="298" t="s">
        <v>119</v>
      </c>
      <c r="Z15" s="298" t="s">
        <v>2</v>
      </c>
      <c r="AA15" s="298" t="s">
        <v>34</v>
      </c>
      <c r="AB15" s="298" t="s">
        <v>1</v>
      </c>
      <c r="AC15" s="298" t="s">
        <v>35</v>
      </c>
      <c r="AD15" s="298" t="s">
        <v>36</v>
      </c>
      <c r="AE15" s="298" t="s">
        <v>119</v>
      </c>
      <c r="AF15" s="298" t="s">
        <v>2</v>
      </c>
      <c r="AG15" s="298" t="s">
        <v>34</v>
      </c>
      <c r="AH15" s="298" t="s">
        <v>1</v>
      </c>
      <c r="AI15" s="298" t="s">
        <v>35</v>
      </c>
      <c r="AJ15" s="298" t="s">
        <v>36</v>
      </c>
      <c r="AK15" s="298" t="s">
        <v>119</v>
      </c>
      <c r="AL15" s="298" t="s">
        <v>2</v>
      </c>
      <c r="AM15" s="298" t="s">
        <v>34</v>
      </c>
      <c r="AN15" s="298" t="s">
        <v>1</v>
      </c>
      <c r="AO15" s="298" t="s">
        <v>35</v>
      </c>
      <c r="AP15" s="298" t="s">
        <v>36</v>
      </c>
      <c r="AQ15" s="298" t="s">
        <v>119</v>
      </c>
      <c r="AR15" s="298" t="s">
        <v>2</v>
      </c>
      <c r="AS15" s="298" t="s">
        <v>34</v>
      </c>
      <c r="AT15" s="298" t="s">
        <v>1</v>
      </c>
      <c r="AU15" s="298" t="s">
        <v>35</v>
      </c>
      <c r="AV15" s="298" t="s">
        <v>36</v>
      </c>
      <c r="AW15" s="298" t="s">
        <v>119</v>
      </c>
      <c r="AX15" s="298" t="s">
        <v>2</v>
      </c>
      <c r="AY15" s="298" t="s">
        <v>34</v>
      </c>
      <c r="AZ15" s="298" t="s">
        <v>1</v>
      </c>
      <c r="BA15" s="298" t="s">
        <v>35</v>
      </c>
      <c r="BB15" s="298" t="s">
        <v>36</v>
      </c>
      <c r="BC15" s="298" t="s">
        <v>119</v>
      </c>
      <c r="BD15" s="298" t="s">
        <v>2</v>
      </c>
      <c r="BE15" s="298" t="s">
        <v>34</v>
      </c>
      <c r="BF15" s="298" t="s">
        <v>1</v>
      </c>
      <c r="BG15" s="298" t="s">
        <v>35</v>
      </c>
      <c r="BH15" s="298" t="s">
        <v>36</v>
      </c>
      <c r="BI15" s="298" t="s">
        <v>119</v>
      </c>
      <c r="BJ15" s="298" t="s">
        <v>2</v>
      </c>
      <c r="BK15" s="298" t="s">
        <v>34</v>
      </c>
      <c r="BL15" s="298" t="s">
        <v>1</v>
      </c>
      <c r="BM15" s="298" t="s">
        <v>35</v>
      </c>
      <c r="BN15" s="298" t="s">
        <v>36</v>
      </c>
      <c r="BO15" s="298" t="s">
        <v>119</v>
      </c>
      <c r="BP15" s="298" t="s">
        <v>2</v>
      </c>
      <c r="BQ15" s="298" t="s">
        <v>34</v>
      </c>
      <c r="BR15" s="298" t="s">
        <v>1</v>
      </c>
      <c r="BS15" s="298" t="s">
        <v>35</v>
      </c>
      <c r="BT15" s="298" t="s">
        <v>36</v>
      </c>
      <c r="BU15" s="298" t="s">
        <v>119</v>
      </c>
      <c r="BV15" s="298" t="s">
        <v>2</v>
      </c>
      <c r="BW15" s="298" t="s">
        <v>34</v>
      </c>
      <c r="BX15" s="298" t="s">
        <v>1</v>
      </c>
      <c r="BY15" s="298" t="s">
        <v>35</v>
      </c>
      <c r="BZ15" s="298" t="s">
        <v>36</v>
      </c>
      <c r="CA15" s="298" t="s">
        <v>119</v>
      </c>
      <c r="CB15" s="299" t="s">
        <v>2</v>
      </c>
    </row>
    <row r="16" spans="1:80" ht="15.75" customHeight="1" x14ac:dyDescent="0.3">
      <c r="A16" s="292" t="s">
        <v>51</v>
      </c>
      <c r="B16" s="313" t="s">
        <v>47</v>
      </c>
      <c r="C16" s="271">
        <v>59.351586756579891</v>
      </c>
      <c r="D16" s="285">
        <v>31.651938824239977</v>
      </c>
      <c r="E16" s="285">
        <v>2.1107109255577168</v>
      </c>
      <c r="F16" s="285">
        <v>3.8053310195690608</v>
      </c>
      <c r="G16" s="285">
        <v>0.54023395646000849</v>
      </c>
      <c r="H16" s="300">
        <v>2.540198517593264</v>
      </c>
      <c r="I16" s="271">
        <v>22.930370991304365</v>
      </c>
      <c r="J16" s="285">
        <v>59.113074536851784</v>
      </c>
      <c r="K16" s="285">
        <v>3.5527492705284152</v>
      </c>
      <c r="L16" s="285">
        <v>5.6307111848387574</v>
      </c>
      <c r="M16" s="285">
        <v>1.8776881608633191</v>
      </c>
      <c r="N16" s="300">
        <v>6.8954058556134168</v>
      </c>
      <c r="O16" s="271">
        <v>72.491639146198978</v>
      </c>
      <c r="P16" s="285">
        <v>19.342518078955443</v>
      </c>
      <c r="Q16" s="285">
        <v>0.32908110673728391</v>
      </c>
      <c r="R16" s="285">
        <v>7.3531602828341089</v>
      </c>
      <c r="S16" s="285">
        <v>4.9433969541770578E-3</v>
      </c>
      <c r="T16" s="300">
        <v>0.47865798832005102</v>
      </c>
      <c r="U16" s="271">
        <v>77.89712392469032</v>
      </c>
      <c r="V16" s="285">
        <v>17.042770413433882</v>
      </c>
      <c r="W16" s="285">
        <v>1.1805062215176716</v>
      </c>
      <c r="X16" s="285">
        <v>2.1542722328904378</v>
      </c>
      <c r="Y16" s="285">
        <v>0.26314646547685877</v>
      </c>
      <c r="Z16" s="300">
        <v>1.4621807419908233</v>
      </c>
      <c r="AA16" s="271">
        <v>69.118496568843398</v>
      </c>
      <c r="AB16" s="285">
        <v>25.437720836608978</v>
      </c>
      <c r="AC16" s="285">
        <v>1.3598423654966461</v>
      </c>
      <c r="AD16" s="285">
        <v>1.3662280891207998</v>
      </c>
      <c r="AE16" s="285">
        <v>0.22298918098594991</v>
      </c>
      <c r="AF16" s="300">
        <v>2.4947229589441879</v>
      </c>
      <c r="AG16" s="271">
        <v>74.527485614576293</v>
      </c>
      <c r="AH16" s="285">
        <v>19.478441367610159</v>
      </c>
      <c r="AI16" s="285">
        <v>1.9213020795787714</v>
      </c>
      <c r="AJ16" s="285">
        <v>2.6771354960267888</v>
      </c>
      <c r="AK16" s="285">
        <v>6.294332631878316E-2</v>
      </c>
      <c r="AL16" s="300">
        <v>1.3326921158891905</v>
      </c>
      <c r="AM16" s="271">
        <v>50.748693941964675</v>
      </c>
      <c r="AN16" s="285">
        <v>39.059939047675648</v>
      </c>
      <c r="AO16" s="285">
        <v>3.6122003038768185</v>
      </c>
      <c r="AP16" s="285">
        <v>4.4399160215566367</v>
      </c>
      <c r="AQ16" s="285">
        <v>0.67025613637578219</v>
      </c>
      <c r="AR16" s="300">
        <v>1.4689945485503912</v>
      </c>
      <c r="AS16" s="271">
        <v>98.670451900299867</v>
      </c>
      <c r="AT16" s="285">
        <v>0.66738577991584636</v>
      </c>
      <c r="AU16" s="285">
        <v>0</v>
      </c>
      <c r="AV16" s="285">
        <v>5.3755997470425317E-2</v>
      </c>
      <c r="AW16" s="285">
        <v>0</v>
      </c>
      <c r="AX16" s="300">
        <v>0.60840632231386094</v>
      </c>
      <c r="AY16" s="271">
        <v>42.431444643634038</v>
      </c>
      <c r="AZ16" s="285">
        <v>43.659846257238975</v>
      </c>
      <c r="BA16" s="285">
        <v>5.6980212517795863</v>
      </c>
      <c r="BB16" s="285">
        <v>3.4771137936813452</v>
      </c>
      <c r="BC16" s="285">
        <v>9.6829838487152264E-2</v>
      </c>
      <c r="BD16" s="300">
        <v>4.6367442151789247</v>
      </c>
      <c r="BE16" s="271">
        <v>38.09231830005205</v>
      </c>
      <c r="BF16" s="285">
        <v>51.319390970487909</v>
      </c>
      <c r="BG16" s="285">
        <v>2.8530290134196665</v>
      </c>
      <c r="BH16" s="285">
        <v>2.616056959182711</v>
      </c>
      <c r="BI16" s="285">
        <v>1.7021667464923891</v>
      </c>
      <c r="BJ16" s="300">
        <v>3.4170380103652143</v>
      </c>
      <c r="BK16" s="271">
        <v>57.96845675103679</v>
      </c>
      <c r="BL16" s="285">
        <v>38.067744254102998</v>
      </c>
      <c r="BM16" s="285">
        <v>0.75414006925310473</v>
      </c>
      <c r="BN16" s="285">
        <v>2.5258986075220058</v>
      </c>
      <c r="BO16" s="285">
        <v>6.7313561400806618E-2</v>
      </c>
      <c r="BP16" s="300">
        <v>0.61644675668429372</v>
      </c>
      <c r="BQ16" s="271">
        <v>61.119958406137485</v>
      </c>
      <c r="BR16" s="285">
        <v>34.980021650240467</v>
      </c>
      <c r="BS16" s="285">
        <v>0.54919377163659744</v>
      </c>
      <c r="BT16" s="285">
        <v>0.50037654749112215</v>
      </c>
      <c r="BU16" s="285">
        <v>0</v>
      </c>
      <c r="BV16" s="300">
        <v>2.8504496244943405</v>
      </c>
      <c r="BW16" s="271">
        <v>80.425021878923943</v>
      </c>
      <c r="BX16" s="285">
        <v>11.211521631596971</v>
      </c>
      <c r="BY16" s="285">
        <v>4.2521213043643691</v>
      </c>
      <c r="BZ16" s="285">
        <v>0.31962254099920095</v>
      </c>
      <c r="CA16" s="285">
        <v>0.47562878124881092</v>
      </c>
      <c r="CB16" s="300">
        <v>3.3160838628667095</v>
      </c>
    </row>
    <row r="17" spans="1:80" s="109" customFormat="1" ht="15.75" customHeight="1" x14ac:dyDescent="0.3">
      <c r="A17" s="173"/>
      <c r="B17" s="130" t="s">
        <v>48</v>
      </c>
      <c r="C17" s="192">
        <v>54.436827105437914</v>
      </c>
      <c r="D17" s="193">
        <v>35.79506454772477</v>
      </c>
      <c r="E17" s="193">
        <v>2.3141867833849981</v>
      </c>
      <c r="F17" s="193">
        <v>4.3935296398067969</v>
      </c>
      <c r="G17" s="193">
        <v>0.55905426008366677</v>
      </c>
      <c r="H17" s="194">
        <v>2.501337663561805</v>
      </c>
      <c r="I17" s="192">
        <v>21.027740172041089</v>
      </c>
      <c r="J17" s="193">
        <v>60.886338367791424</v>
      </c>
      <c r="K17" s="193">
        <v>3.483827204365717</v>
      </c>
      <c r="L17" s="193">
        <v>6.0692165737929376</v>
      </c>
      <c r="M17" s="193">
        <v>1.9591704910192422</v>
      </c>
      <c r="N17" s="194">
        <v>6.5737071909896123</v>
      </c>
      <c r="O17" s="192">
        <v>69.25945299483945</v>
      </c>
      <c r="P17" s="193">
        <v>21.746763546013295</v>
      </c>
      <c r="Q17" s="193">
        <v>0.62707530177655468</v>
      </c>
      <c r="R17" s="193">
        <v>7.4198129714649248</v>
      </c>
      <c r="S17" s="193">
        <v>2.6345640377887737E-3</v>
      </c>
      <c r="T17" s="194">
        <v>0.94426062186799031</v>
      </c>
      <c r="U17" s="192">
        <v>70.892806971914879</v>
      </c>
      <c r="V17" s="193">
        <v>22.570582437503774</v>
      </c>
      <c r="W17" s="193">
        <v>0.98021967900595242</v>
      </c>
      <c r="X17" s="193">
        <v>3.9448814385663624</v>
      </c>
      <c r="Y17" s="193">
        <v>0.17591783964773922</v>
      </c>
      <c r="Z17" s="194">
        <v>1.4355916333613339</v>
      </c>
      <c r="AA17" s="192">
        <v>65.641243908463863</v>
      </c>
      <c r="AB17" s="193">
        <v>29.285940503827966</v>
      </c>
      <c r="AC17" s="193">
        <v>1.1977824558020578</v>
      </c>
      <c r="AD17" s="193">
        <v>1.8041055606918717</v>
      </c>
      <c r="AE17" s="193">
        <v>0.18241507225645473</v>
      </c>
      <c r="AF17" s="194">
        <v>1.8885124989577746</v>
      </c>
      <c r="AG17" s="192">
        <v>70.118254912496141</v>
      </c>
      <c r="AH17" s="193">
        <v>23.094464806570457</v>
      </c>
      <c r="AI17" s="193">
        <v>2.6077247083205406</v>
      </c>
      <c r="AJ17" s="193">
        <v>2.7977121392385631</v>
      </c>
      <c r="AK17" s="193">
        <v>3.8222962081670246E-2</v>
      </c>
      <c r="AL17" s="194">
        <v>1.3436204712926005</v>
      </c>
      <c r="AM17" s="192">
        <v>46.591208615379358</v>
      </c>
      <c r="AN17" s="193">
        <v>41.085534590248585</v>
      </c>
      <c r="AO17" s="193">
        <v>4.7245949158106528</v>
      </c>
      <c r="AP17" s="193">
        <v>5.1276715217331867</v>
      </c>
      <c r="AQ17" s="193">
        <v>0.63417064985763827</v>
      </c>
      <c r="AR17" s="194">
        <v>1.836819706970565</v>
      </c>
      <c r="AS17" s="192">
        <v>98.612476124396053</v>
      </c>
      <c r="AT17" s="193">
        <v>0.98820787295558943</v>
      </c>
      <c r="AU17" s="193">
        <v>0</v>
      </c>
      <c r="AV17" s="193">
        <v>6.2980257541621218E-2</v>
      </c>
      <c r="AW17" s="193">
        <v>0</v>
      </c>
      <c r="AX17" s="194">
        <v>0.33633574510672509</v>
      </c>
      <c r="AY17" s="192">
        <v>37.392533931611972</v>
      </c>
      <c r="AZ17" s="193">
        <v>50.184437567883265</v>
      </c>
      <c r="BA17" s="193">
        <v>4.8852121165681082</v>
      </c>
      <c r="BB17" s="193">
        <v>4.4260115776896463</v>
      </c>
      <c r="BC17" s="193">
        <v>8.9969002014557209E-2</v>
      </c>
      <c r="BD17" s="194">
        <v>3.0218358042324414</v>
      </c>
      <c r="BE17" s="192">
        <v>32.607858915168123</v>
      </c>
      <c r="BF17" s="193">
        <v>56.790075312120138</v>
      </c>
      <c r="BG17" s="193">
        <v>3.4554040266651964</v>
      </c>
      <c r="BH17" s="193">
        <v>2.7127771891211179</v>
      </c>
      <c r="BI17" s="193">
        <v>1.3841146403033027</v>
      </c>
      <c r="BJ17" s="194">
        <v>3.0497699166221217</v>
      </c>
      <c r="BK17" s="192">
        <v>49.959723014530191</v>
      </c>
      <c r="BL17" s="193">
        <v>45.910416737550911</v>
      </c>
      <c r="BM17" s="193">
        <v>0.81923786133846821</v>
      </c>
      <c r="BN17" s="193">
        <v>2.6463503925404273</v>
      </c>
      <c r="BO17" s="193">
        <v>8.0819096461060322E-2</v>
      </c>
      <c r="BP17" s="194">
        <v>0.58345289757891783</v>
      </c>
      <c r="BQ17" s="192">
        <v>53.455831734190539</v>
      </c>
      <c r="BR17" s="193">
        <v>42.718589178766166</v>
      </c>
      <c r="BS17" s="193">
        <v>0.83004507783268833</v>
      </c>
      <c r="BT17" s="193">
        <v>0.91519725469846147</v>
      </c>
      <c r="BU17" s="193">
        <v>0</v>
      </c>
      <c r="BV17" s="194">
        <v>2.0803367545121367</v>
      </c>
      <c r="BW17" s="192">
        <v>82.868359116998619</v>
      </c>
      <c r="BX17" s="193">
        <v>12.372438300603736</v>
      </c>
      <c r="BY17" s="193">
        <v>2.293087248946482</v>
      </c>
      <c r="BZ17" s="193">
        <v>0.30512479418030269</v>
      </c>
      <c r="CA17" s="193">
        <v>0.30233401862377557</v>
      </c>
      <c r="CB17" s="194">
        <v>1.8586565206470878</v>
      </c>
    </row>
    <row r="18" spans="1:80" ht="15.75" customHeight="1" x14ac:dyDescent="0.3">
      <c r="A18" s="152"/>
      <c r="B18" s="148" t="s">
        <v>49</v>
      </c>
      <c r="C18" s="97">
        <v>53.026418702994306</v>
      </c>
      <c r="D18" s="131">
        <v>37.089038927212151</v>
      </c>
      <c r="E18" s="131">
        <v>2.2675153658635918</v>
      </c>
      <c r="F18" s="131">
        <v>4.5011644527031534</v>
      </c>
      <c r="G18" s="131">
        <v>0.57567950887302155</v>
      </c>
      <c r="H18" s="191">
        <v>2.540183042353771</v>
      </c>
      <c r="I18" s="97">
        <v>19.958722046752829</v>
      </c>
      <c r="J18" s="131">
        <v>61.613599364410895</v>
      </c>
      <c r="K18" s="131">
        <v>3.743358971359497</v>
      </c>
      <c r="L18" s="131">
        <v>6.086173743931683</v>
      </c>
      <c r="M18" s="131">
        <v>1.9730008675986042</v>
      </c>
      <c r="N18" s="191">
        <v>6.6251450059464618</v>
      </c>
      <c r="O18" s="97">
        <v>69.008854014220162</v>
      </c>
      <c r="P18" s="131">
        <v>22.07325515834799</v>
      </c>
      <c r="Q18" s="131">
        <v>0.56275009281629285</v>
      </c>
      <c r="R18" s="131">
        <v>7.700852686295101</v>
      </c>
      <c r="S18" s="131">
        <v>1.1904313405763856E-2</v>
      </c>
      <c r="T18" s="191">
        <v>0.64238373491473644</v>
      </c>
      <c r="U18" s="97">
        <v>68.166710303599515</v>
      </c>
      <c r="V18" s="131">
        <v>23.815014907496238</v>
      </c>
      <c r="W18" s="131">
        <v>1.2633871480855112</v>
      </c>
      <c r="X18" s="131">
        <v>4.703299954787135</v>
      </c>
      <c r="Y18" s="131">
        <v>0.2251147801844012</v>
      </c>
      <c r="Z18" s="191">
        <v>1.8264729058472138</v>
      </c>
      <c r="AA18" s="97">
        <v>65.897889147735228</v>
      </c>
      <c r="AB18" s="131">
        <v>29.756540002569615</v>
      </c>
      <c r="AC18" s="131">
        <v>1.0750908654343931</v>
      </c>
      <c r="AD18" s="131">
        <v>1.8069922807477066</v>
      </c>
      <c r="AE18" s="131">
        <v>0.15074292418786736</v>
      </c>
      <c r="AF18" s="191">
        <v>1.3127447793251616</v>
      </c>
      <c r="AG18" s="97">
        <v>67.486480001323869</v>
      </c>
      <c r="AH18" s="131">
        <v>25.956088963908051</v>
      </c>
      <c r="AI18" s="131">
        <v>1.962749673170167</v>
      </c>
      <c r="AJ18" s="131">
        <v>3.2168991709278649</v>
      </c>
      <c r="AK18" s="131">
        <v>4.0104916513594463E-2</v>
      </c>
      <c r="AL18" s="191">
        <v>1.3376772741564478</v>
      </c>
      <c r="AM18" s="97">
        <v>45.488386192176655</v>
      </c>
      <c r="AN18" s="131">
        <v>41.752298455021212</v>
      </c>
      <c r="AO18" s="131">
        <v>4.5764268127708174</v>
      </c>
      <c r="AP18" s="131">
        <v>4.741039312067489</v>
      </c>
      <c r="AQ18" s="131">
        <v>0.74695954873828696</v>
      </c>
      <c r="AR18" s="191">
        <v>2.6948896792256276</v>
      </c>
      <c r="AS18" s="97">
        <v>98.63922663397625</v>
      </c>
      <c r="AT18" s="131">
        <v>0.87555516145601875</v>
      </c>
      <c r="AU18" s="131">
        <v>0</v>
      </c>
      <c r="AV18" s="131">
        <v>6.4318709643578012E-2</v>
      </c>
      <c r="AW18" s="131">
        <v>0</v>
      </c>
      <c r="AX18" s="191">
        <v>0.4208994949241745</v>
      </c>
      <c r="AY18" s="97">
        <v>35.806611820470891</v>
      </c>
      <c r="AZ18" s="131">
        <v>52.949323796828111</v>
      </c>
      <c r="BA18" s="131">
        <v>4.1483173770094339</v>
      </c>
      <c r="BB18" s="131">
        <v>4.2895554677057701</v>
      </c>
      <c r="BC18" s="131">
        <v>9.3995308702610691E-2</v>
      </c>
      <c r="BD18" s="191">
        <v>2.7121962292831854</v>
      </c>
      <c r="BE18" s="97">
        <v>29.936507481603154</v>
      </c>
      <c r="BF18" s="131">
        <v>59.890381461989719</v>
      </c>
      <c r="BG18" s="131">
        <v>3.6391156003557987</v>
      </c>
      <c r="BH18" s="131">
        <v>2.3678108950826076</v>
      </c>
      <c r="BI18" s="131">
        <v>1.054608442128816</v>
      </c>
      <c r="BJ18" s="191">
        <v>3.111576118839892</v>
      </c>
      <c r="BK18" s="97">
        <v>45.092247510010822</v>
      </c>
      <c r="BL18" s="131">
        <v>50.736192158422199</v>
      </c>
      <c r="BM18" s="131">
        <v>0.72691346150882097</v>
      </c>
      <c r="BN18" s="131">
        <v>2.5188733627415623</v>
      </c>
      <c r="BO18" s="131">
        <v>8.5481151298246918E-2</v>
      </c>
      <c r="BP18" s="191">
        <v>0.84029235601836005</v>
      </c>
      <c r="BQ18" s="97">
        <v>54.031663499916085</v>
      </c>
      <c r="BR18" s="131">
        <v>42.414502428301184</v>
      </c>
      <c r="BS18" s="131">
        <v>0.78304309272163164</v>
      </c>
      <c r="BT18" s="131">
        <v>1.4247185322702467</v>
      </c>
      <c r="BU18" s="131">
        <v>0</v>
      </c>
      <c r="BV18" s="191">
        <v>1.3460724467908909</v>
      </c>
      <c r="BW18" s="97">
        <v>80.625383200490504</v>
      </c>
      <c r="BX18" s="131">
        <v>14.521208405328579</v>
      </c>
      <c r="BY18" s="131">
        <v>1.9752243464689818</v>
      </c>
      <c r="BZ18" s="131">
        <v>0.8660331085223788</v>
      </c>
      <c r="CA18" s="131">
        <v>0.43545510283707711</v>
      </c>
      <c r="CB18" s="191">
        <v>1.5766958363524888</v>
      </c>
    </row>
    <row r="19" spans="1:80" s="109" customFormat="1" ht="15.75" customHeight="1" x14ac:dyDescent="0.3">
      <c r="A19" s="173"/>
      <c r="B19" s="130" t="s">
        <v>14</v>
      </c>
      <c r="C19" s="192">
        <v>53.019987428349793</v>
      </c>
      <c r="D19" s="193">
        <v>37.308563435440604</v>
      </c>
      <c r="E19" s="193">
        <v>2.2648261675182804</v>
      </c>
      <c r="F19" s="193">
        <v>4.4529121037856747</v>
      </c>
      <c r="G19" s="193">
        <v>0.54273681132428253</v>
      </c>
      <c r="H19" s="194">
        <v>2.4109740535815369</v>
      </c>
      <c r="I19" s="192">
        <v>20.307741658886041</v>
      </c>
      <c r="J19" s="193">
        <v>61.795352086806979</v>
      </c>
      <c r="K19" s="193">
        <v>3.7227451356719858</v>
      </c>
      <c r="L19" s="193">
        <v>6.0338075872836008</v>
      </c>
      <c r="M19" s="193">
        <v>1.7897297273173838</v>
      </c>
      <c r="N19" s="194">
        <v>6.350623804034039</v>
      </c>
      <c r="O19" s="192">
        <v>69.625465876277389</v>
      </c>
      <c r="P19" s="193">
        <v>21.656534150953881</v>
      </c>
      <c r="Q19" s="193">
        <v>0.51671137008759993</v>
      </c>
      <c r="R19" s="193">
        <v>7.6950084636424148</v>
      </c>
      <c r="S19" s="193">
        <v>9.1438675015262597E-3</v>
      </c>
      <c r="T19" s="194">
        <v>0.49713627153719969</v>
      </c>
      <c r="U19" s="192">
        <v>67.721733504971965</v>
      </c>
      <c r="V19" s="193">
        <v>24.890425147734614</v>
      </c>
      <c r="W19" s="193">
        <v>1.0995314123131088</v>
      </c>
      <c r="X19" s="193">
        <v>4.2823795415087424</v>
      </c>
      <c r="Y19" s="193">
        <v>0.20737079003820108</v>
      </c>
      <c r="Z19" s="194">
        <v>1.7985596034334002</v>
      </c>
      <c r="AA19" s="192">
        <v>65.638311092119693</v>
      </c>
      <c r="AB19" s="193">
        <v>29.865095849894658</v>
      </c>
      <c r="AC19" s="193">
        <v>1.2364305221064018</v>
      </c>
      <c r="AD19" s="193">
        <v>1.8374545317688131</v>
      </c>
      <c r="AE19" s="193">
        <v>0.1233687576615478</v>
      </c>
      <c r="AF19" s="194">
        <v>1.2993392464488784</v>
      </c>
      <c r="AG19" s="192">
        <v>66.923291083502079</v>
      </c>
      <c r="AH19" s="193">
        <v>26.746709658920722</v>
      </c>
      <c r="AI19" s="193">
        <v>1.5767652382281183</v>
      </c>
      <c r="AJ19" s="193">
        <v>3.4957745901954098</v>
      </c>
      <c r="AK19" s="193">
        <v>3.2084185626182433E-2</v>
      </c>
      <c r="AL19" s="194">
        <v>1.2253752435274812</v>
      </c>
      <c r="AM19" s="192">
        <v>46.87699810350184</v>
      </c>
      <c r="AN19" s="193">
        <v>40.97751062156955</v>
      </c>
      <c r="AO19" s="193">
        <v>4.5882172230287299</v>
      </c>
      <c r="AP19" s="193">
        <v>4.3423422594081869</v>
      </c>
      <c r="AQ19" s="193">
        <v>0.78143995777656194</v>
      </c>
      <c r="AR19" s="194">
        <v>2.4334918347151819</v>
      </c>
      <c r="AS19" s="192">
        <v>98.853638141388942</v>
      </c>
      <c r="AT19" s="193">
        <v>0.7575322371427442</v>
      </c>
      <c r="AU19" s="193">
        <v>0</v>
      </c>
      <c r="AV19" s="193">
        <v>6.3685246534569737E-2</v>
      </c>
      <c r="AW19" s="193">
        <v>0</v>
      </c>
      <c r="AX19" s="194">
        <v>0.3251443749337613</v>
      </c>
      <c r="AY19" s="192">
        <v>36.128436219139452</v>
      </c>
      <c r="AZ19" s="193">
        <v>53.156006746929052</v>
      </c>
      <c r="BA19" s="193">
        <v>3.643038765673233</v>
      </c>
      <c r="BB19" s="193">
        <v>4.6551117747598232</v>
      </c>
      <c r="BC19" s="193">
        <v>0.11854805279746818</v>
      </c>
      <c r="BD19" s="194">
        <v>2.2988584407010122</v>
      </c>
      <c r="BE19" s="192">
        <v>29.839125418347567</v>
      </c>
      <c r="BF19" s="193">
        <v>59.824377427706189</v>
      </c>
      <c r="BG19" s="193">
        <v>4.0502841647620587</v>
      </c>
      <c r="BH19" s="193">
        <v>2.1298666638131643</v>
      </c>
      <c r="BI19" s="193">
        <v>0.93136424893198211</v>
      </c>
      <c r="BJ19" s="194">
        <v>3.2249820764390291</v>
      </c>
      <c r="BK19" s="192">
        <v>42.455584858452625</v>
      </c>
      <c r="BL19" s="193">
        <v>51.526252241765377</v>
      </c>
      <c r="BM19" s="193">
        <v>1.7676280522407803</v>
      </c>
      <c r="BN19" s="193">
        <v>2.9648848885264503</v>
      </c>
      <c r="BO19" s="193">
        <v>0.10095708819786557</v>
      </c>
      <c r="BP19" s="194">
        <v>1.1846928708168849</v>
      </c>
      <c r="BQ19" s="192">
        <v>55.117564257931697</v>
      </c>
      <c r="BR19" s="193">
        <v>41.531324359560784</v>
      </c>
      <c r="BS19" s="193">
        <v>0.71824612235266039</v>
      </c>
      <c r="BT19" s="193">
        <v>1.6101827674005116</v>
      </c>
      <c r="BU19" s="193">
        <v>0</v>
      </c>
      <c r="BV19" s="194">
        <v>1.0226824927543343</v>
      </c>
      <c r="BW19" s="192">
        <v>79.884173011501701</v>
      </c>
      <c r="BX19" s="193">
        <v>15.509578000971974</v>
      </c>
      <c r="BY19" s="193">
        <v>1.6316013283654625</v>
      </c>
      <c r="BZ19" s="193">
        <v>1.3506398833630326</v>
      </c>
      <c r="CA19" s="193">
        <v>0.36702170743560669</v>
      </c>
      <c r="CB19" s="194">
        <v>1.2569860683622225</v>
      </c>
    </row>
    <row r="20" spans="1:80" ht="15.75" customHeight="1" x14ac:dyDescent="0.3">
      <c r="A20" s="152"/>
      <c r="B20" s="148" t="s">
        <v>15</v>
      </c>
      <c r="C20" s="97">
        <v>51.75049104131454</v>
      </c>
      <c r="D20" s="131">
        <v>38.346030887049857</v>
      </c>
      <c r="E20" s="131">
        <v>2.2970398806512375</v>
      </c>
      <c r="F20" s="131">
        <v>4.594135480901743</v>
      </c>
      <c r="G20" s="131">
        <v>0.54466842262505033</v>
      </c>
      <c r="H20" s="191">
        <v>2.4676342874575226</v>
      </c>
      <c r="I20" s="97">
        <v>20.196295565321641</v>
      </c>
      <c r="J20" s="131">
        <v>61.971866843422497</v>
      </c>
      <c r="K20" s="131">
        <v>3.8865423258883105</v>
      </c>
      <c r="L20" s="131">
        <v>6.030761030381548</v>
      </c>
      <c r="M20" s="131">
        <v>1.7814188328088989</v>
      </c>
      <c r="N20" s="191">
        <v>6.1331154021770837</v>
      </c>
      <c r="O20" s="97">
        <v>68.823908306516572</v>
      </c>
      <c r="P20" s="131">
        <v>21.946909184605403</v>
      </c>
      <c r="Q20" s="131">
        <v>0.50840474846396166</v>
      </c>
      <c r="R20" s="131">
        <v>7.9116542676153259</v>
      </c>
      <c r="S20" s="131">
        <v>7.6048785676564E-3</v>
      </c>
      <c r="T20" s="191">
        <v>0.80151861423108717</v>
      </c>
      <c r="U20" s="97">
        <v>65.969154992591541</v>
      </c>
      <c r="V20" s="131">
        <v>26.597874288971674</v>
      </c>
      <c r="W20" s="131">
        <v>0.9606801070791402</v>
      </c>
      <c r="X20" s="131">
        <v>4.4671591520869445</v>
      </c>
      <c r="Y20" s="131">
        <v>0.20519772763701402</v>
      </c>
      <c r="Z20" s="191">
        <v>1.7999337316336084</v>
      </c>
      <c r="AA20" s="97">
        <v>64.066877340208521</v>
      </c>
      <c r="AB20" s="131">
        <v>31.587401400836097</v>
      </c>
      <c r="AC20" s="131">
        <v>1.2361964762760651</v>
      </c>
      <c r="AD20" s="131">
        <v>1.8659984832996603</v>
      </c>
      <c r="AE20" s="131">
        <v>0.11996106521128932</v>
      </c>
      <c r="AF20" s="191">
        <v>1.1235652341683471</v>
      </c>
      <c r="AG20" s="97">
        <v>65.062431246375013</v>
      </c>
      <c r="AH20" s="131">
        <v>28.080130740584703</v>
      </c>
      <c r="AI20" s="131">
        <v>1.3231300069312941</v>
      </c>
      <c r="AJ20" s="131">
        <v>4.0445705003786454</v>
      </c>
      <c r="AK20" s="131">
        <v>3.3896645203012617E-2</v>
      </c>
      <c r="AL20" s="191">
        <v>1.4558408605273352</v>
      </c>
      <c r="AM20" s="97">
        <v>46.389439184767333</v>
      </c>
      <c r="AN20" s="131">
        <v>41.139245533933973</v>
      </c>
      <c r="AO20" s="131">
        <v>4.6262145768169827</v>
      </c>
      <c r="AP20" s="131">
        <v>4.52671171812342</v>
      </c>
      <c r="AQ20" s="131">
        <v>0.769994423339875</v>
      </c>
      <c r="AR20" s="191">
        <v>2.5483945630184781</v>
      </c>
      <c r="AS20" s="97">
        <v>98.938518160549364</v>
      </c>
      <c r="AT20" s="131">
        <v>0.71774448860594942</v>
      </c>
      <c r="AU20" s="131">
        <v>0</v>
      </c>
      <c r="AV20" s="131">
        <v>6.4210309100160581E-2</v>
      </c>
      <c r="AW20" s="131">
        <v>0</v>
      </c>
      <c r="AX20" s="191">
        <v>0.27952704174452736</v>
      </c>
      <c r="AY20" s="97">
        <v>35.462450452922823</v>
      </c>
      <c r="AZ20" s="131">
        <v>53.929988956341035</v>
      </c>
      <c r="BA20" s="131">
        <v>3.3388499987827642</v>
      </c>
      <c r="BB20" s="131">
        <v>4.9484356291897864</v>
      </c>
      <c r="BC20" s="131">
        <v>9.8937020159657288E-2</v>
      </c>
      <c r="BD20" s="191">
        <v>2.2213379426039586</v>
      </c>
      <c r="BE20" s="97">
        <v>28.397010658289538</v>
      </c>
      <c r="BF20" s="131">
        <v>60.880269122251228</v>
      </c>
      <c r="BG20" s="131">
        <v>4.4026032859013906</v>
      </c>
      <c r="BH20" s="131">
        <v>2.1792860482881662</v>
      </c>
      <c r="BI20" s="131">
        <v>0.80351575400990671</v>
      </c>
      <c r="BJ20" s="191">
        <v>3.3373151312597291</v>
      </c>
      <c r="BK20" s="97">
        <v>39.971868807603038</v>
      </c>
      <c r="BL20" s="131">
        <v>54.088162675827355</v>
      </c>
      <c r="BM20" s="131">
        <v>1.6367794931376727</v>
      </c>
      <c r="BN20" s="131">
        <v>2.8246746012167829</v>
      </c>
      <c r="BO20" s="131">
        <v>9.54007492054703E-2</v>
      </c>
      <c r="BP20" s="191">
        <v>1.3831136730096927</v>
      </c>
      <c r="BQ20" s="97">
        <v>54.231688378825694</v>
      </c>
      <c r="BR20" s="131">
        <v>42.083954801923277</v>
      </c>
      <c r="BS20" s="131">
        <v>0.7215184449280484</v>
      </c>
      <c r="BT20" s="131">
        <v>2.1402885569654004</v>
      </c>
      <c r="BU20" s="131">
        <v>0</v>
      </c>
      <c r="BV20" s="191">
        <v>0.82254981735755162</v>
      </c>
      <c r="BW20" s="97">
        <v>80.453442771072901</v>
      </c>
      <c r="BX20" s="131">
        <v>15.539829996924912</v>
      </c>
      <c r="BY20" s="131">
        <v>1.3165937123918499</v>
      </c>
      <c r="BZ20" s="131">
        <v>1.1286715994639474</v>
      </c>
      <c r="CA20" s="131">
        <v>0.3132035215465041</v>
      </c>
      <c r="CB20" s="191">
        <v>1.2482583985998854</v>
      </c>
    </row>
    <row r="21" spans="1:80" ht="15.75" customHeight="1" x14ac:dyDescent="0.3">
      <c r="A21" s="152"/>
      <c r="B21" s="130" t="s">
        <v>16</v>
      </c>
      <c r="C21" s="192">
        <v>52.018232543223796</v>
      </c>
      <c r="D21" s="193">
        <v>38.158653023418516</v>
      </c>
      <c r="E21" s="193">
        <v>2.2676085657357672</v>
      </c>
      <c r="F21" s="193">
        <v>4.5553643476101247</v>
      </c>
      <c r="G21" s="193">
        <v>0.51013681652909604</v>
      </c>
      <c r="H21" s="194">
        <v>2.4900047034825961</v>
      </c>
      <c r="I21" s="192">
        <v>20.335844654975823</v>
      </c>
      <c r="J21" s="193">
        <v>61.744584575190189</v>
      </c>
      <c r="K21" s="193">
        <v>3.8219886222133783</v>
      </c>
      <c r="L21" s="193">
        <v>6.3425064380898855</v>
      </c>
      <c r="M21" s="193">
        <v>1.6819882916226851</v>
      </c>
      <c r="N21" s="194">
        <v>6.0730874179080523</v>
      </c>
      <c r="O21" s="192">
        <v>68.363293443882924</v>
      </c>
      <c r="P21" s="193">
        <v>22.247105361561008</v>
      </c>
      <c r="Q21" s="193">
        <v>0.48805279427614695</v>
      </c>
      <c r="R21" s="193">
        <v>7.7720380811341636</v>
      </c>
      <c r="S21" s="193">
        <v>6.3685723478173473E-3</v>
      </c>
      <c r="T21" s="194">
        <v>1.1231417467979317</v>
      </c>
      <c r="U21" s="192">
        <v>67.235846146039165</v>
      </c>
      <c r="V21" s="193">
        <v>25.462820749165683</v>
      </c>
      <c r="W21" s="193">
        <v>0.84524168765140206</v>
      </c>
      <c r="X21" s="193">
        <v>4.5519957634802486</v>
      </c>
      <c r="Y21" s="193">
        <v>0.1885205795918152</v>
      </c>
      <c r="Z21" s="194">
        <v>1.715575074071692</v>
      </c>
      <c r="AA21" s="192">
        <v>64.470382285516592</v>
      </c>
      <c r="AB21" s="193">
        <v>31.425610451489462</v>
      </c>
      <c r="AC21" s="193">
        <v>1.1767824209374695</v>
      </c>
      <c r="AD21" s="193">
        <v>1.7744004869576304</v>
      </c>
      <c r="AE21" s="193">
        <v>0.11425505901070176</v>
      </c>
      <c r="AF21" s="194">
        <v>1.0385692960881645</v>
      </c>
      <c r="AG21" s="192">
        <v>65.368765425211933</v>
      </c>
      <c r="AH21" s="193">
        <v>28.306460452921772</v>
      </c>
      <c r="AI21" s="193">
        <v>1.1319772041585163</v>
      </c>
      <c r="AJ21" s="193">
        <v>3.7194316894756412</v>
      </c>
      <c r="AK21" s="193">
        <v>3.395979290551103E-2</v>
      </c>
      <c r="AL21" s="194">
        <v>1.4394054353266192</v>
      </c>
      <c r="AM21" s="192">
        <v>47.095376484528906</v>
      </c>
      <c r="AN21" s="193">
        <v>40.666609234479935</v>
      </c>
      <c r="AO21" s="193">
        <v>4.5919831921791676</v>
      </c>
      <c r="AP21" s="193">
        <v>4.2893694553362671</v>
      </c>
      <c r="AQ21" s="193">
        <v>0.7302091529773681</v>
      </c>
      <c r="AR21" s="194">
        <v>2.6264524804983962</v>
      </c>
      <c r="AS21" s="192">
        <v>99.023458983290752</v>
      </c>
      <c r="AT21" s="193">
        <v>0.67233646970793348</v>
      </c>
      <c r="AU21" s="193">
        <v>0</v>
      </c>
      <c r="AV21" s="193">
        <v>6.1297073669425842E-2</v>
      </c>
      <c r="AW21" s="193">
        <v>0</v>
      </c>
      <c r="AX21" s="194">
        <v>0.24290747333186427</v>
      </c>
      <c r="AY21" s="192">
        <v>35.681311880333347</v>
      </c>
      <c r="AZ21" s="193">
        <v>53.803096251264684</v>
      </c>
      <c r="BA21" s="193">
        <v>3.2502794018209284</v>
      </c>
      <c r="BB21" s="193">
        <v>4.9453886031682801</v>
      </c>
      <c r="BC21" s="193">
        <v>9.2997023179246269E-2</v>
      </c>
      <c r="BD21" s="194">
        <v>2.226926840233483</v>
      </c>
      <c r="BE21" s="192">
        <v>28.95298915090051</v>
      </c>
      <c r="BF21" s="193">
        <v>60.372795555208072</v>
      </c>
      <c r="BG21" s="193">
        <v>4.9579319585162063</v>
      </c>
      <c r="BH21" s="193">
        <v>2.0291963433156051</v>
      </c>
      <c r="BI21" s="193">
        <v>0.69439613342174</v>
      </c>
      <c r="BJ21" s="194">
        <v>2.9926908586378782</v>
      </c>
      <c r="BK21" s="192">
        <v>37.596679229612569</v>
      </c>
      <c r="BL21" s="193">
        <v>55.993495292937325</v>
      </c>
      <c r="BM21" s="193">
        <v>1.5573684698706289</v>
      </c>
      <c r="BN21" s="193">
        <v>2.6875230289946201</v>
      </c>
      <c r="BO21" s="193">
        <v>9.7400414755916043E-2</v>
      </c>
      <c r="BP21" s="194">
        <v>2.0675335638289263</v>
      </c>
      <c r="BQ21" s="192">
        <v>54.778527825220038</v>
      </c>
      <c r="BR21" s="193">
        <v>41.660671911913624</v>
      </c>
      <c r="BS21" s="193">
        <v>0.68346742218945322</v>
      </c>
      <c r="BT21" s="193">
        <v>2.2062690034971011</v>
      </c>
      <c r="BU21" s="193">
        <v>0</v>
      </c>
      <c r="BV21" s="194">
        <v>0.67106383717978357</v>
      </c>
      <c r="BW21" s="192">
        <v>80.909488829402349</v>
      </c>
      <c r="BX21" s="193">
        <v>15.818685850576323</v>
      </c>
      <c r="BY21" s="193">
        <v>1.074032938598189</v>
      </c>
      <c r="BZ21" s="193">
        <v>0.92842658789829591</v>
      </c>
      <c r="CA21" s="193">
        <v>0.29031941090469487</v>
      </c>
      <c r="CB21" s="194">
        <v>0.97904638262014021</v>
      </c>
    </row>
    <row r="22" spans="1:80" ht="15.75" customHeight="1" x14ac:dyDescent="0.3">
      <c r="A22" s="152"/>
      <c r="B22" s="148" t="s">
        <v>8</v>
      </c>
      <c r="C22" s="97">
        <v>52.096566040860694</v>
      </c>
      <c r="D22" s="131">
        <v>37.949066919260254</v>
      </c>
      <c r="E22" s="131">
        <v>2.3737184688199306</v>
      </c>
      <c r="F22" s="131">
        <v>4.5161710456592248</v>
      </c>
      <c r="G22" s="131">
        <v>0.48774752178520869</v>
      </c>
      <c r="H22" s="191">
        <v>2.5767300036147898</v>
      </c>
      <c r="I22" s="97">
        <v>21.51323575809614</v>
      </c>
      <c r="J22" s="131">
        <v>60.506711195393393</v>
      </c>
      <c r="K22" s="131">
        <v>4.0024808212172598</v>
      </c>
      <c r="L22" s="131">
        <v>6.3490064386815632</v>
      </c>
      <c r="M22" s="131">
        <v>1.5826932327837668</v>
      </c>
      <c r="N22" s="191">
        <v>6.0458725538278548</v>
      </c>
      <c r="O22" s="97">
        <v>68.667274070003643</v>
      </c>
      <c r="P22" s="131">
        <v>21.770057803694396</v>
      </c>
      <c r="Q22" s="131">
        <v>0.63504536702428049</v>
      </c>
      <c r="R22" s="131">
        <v>7.6186525822921656</v>
      </c>
      <c r="S22" s="131">
        <v>6.6919893268875263E-3</v>
      </c>
      <c r="T22" s="191">
        <v>1.3022781876586509</v>
      </c>
      <c r="U22" s="97">
        <v>67.624020221327626</v>
      </c>
      <c r="V22" s="131">
        <v>25.081733386567596</v>
      </c>
      <c r="W22" s="131">
        <v>0.9817938223401903</v>
      </c>
      <c r="X22" s="131">
        <v>4.4466130492747062</v>
      </c>
      <c r="Y22" s="131">
        <v>0.17667431080449544</v>
      </c>
      <c r="Z22" s="191">
        <v>1.6891652096853869</v>
      </c>
      <c r="AA22" s="97">
        <v>64.56351097834451</v>
      </c>
      <c r="AB22" s="131">
        <v>31.279651668972512</v>
      </c>
      <c r="AC22" s="131">
        <v>1.3379430625464726</v>
      </c>
      <c r="AD22" s="131">
        <v>1.8008707087645186</v>
      </c>
      <c r="AE22" s="131">
        <v>9.6594932975251152E-2</v>
      </c>
      <c r="AF22" s="191">
        <v>0.92142864839671301</v>
      </c>
      <c r="AG22" s="97">
        <v>65.520333721666987</v>
      </c>
      <c r="AH22" s="131">
        <v>28.199496088200032</v>
      </c>
      <c r="AI22" s="131">
        <v>1.177050904096564</v>
      </c>
      <c r="AJ22" s="131">
        <v>3.3846222109731072</v>
      </c>
      <c r="AK22" s="131">
        <v>0.15627841745028512</v>
      </c>
      <c r="AL22" s="191">
        <v>1.5622186576129824</v>
      </c>
      <c r="AM22" s="97">
        <v>46.799315746456202</v>
      </c>
      <c r="AN22" s="131">
        <v>40.898989644030145</v>
      </c>
      <c r="AO22" s="131">
        <v>4.6288078273132927</v>
      </c>
      <c r="AP22" s="131">
        <v>4.3668959652714303</v>
      </c>
      <c r="AQ22" s="131">
        <v>0.65956613021695276</v>
      </c>
      <c r="AR22" s="191">
        <v>2.6464246867119798</v>
      </c>
      <c r="AS22" s="97">
        <v>99.036756657287796</v>
      </c>
      <c r="AT22" s="131">
        <v>0.67238812952658722</v>
      </c>
      <c r="AU22" s="131">
        <v>0</v>
      </c>
      <c r="AV22" s="131">
        <v>6.3713365982184522E-2</v>
      </c>
      <c r="AW22" s="131">
        <v>0</v>
      </c>
      <c r="AX22" s="191">
        <v>0.2271418472034385</v>
      </c>
      <c r="AY22" s="97">
        <v>35.388668556863038</v>
      </c>
      <c r="AZ22" s="131">
        <v>53.497562850471034</v>
      </c>
      <c r="BA22" s="131">
        <v>3.1166735191920156</v>
      </c>
      <c r="BB22" s="131">
        <v>4.8358644017532155</v>
      </c>
      <c r="BC22" s="131">
        <v>8.2504445815694077E-2</v>
      </c>
      <c r="BD22" s="191">
        <v>3.0787262259050063</v>
      </c>
      <c r="BE22" s="97">
        <v>28.808258880227498</v>
      </c>
      <c r="BF22" s="131">
        <v>60.546727209687198</v>
      </c>
      <c r="BG22" s="131">
        <v>5.0489400613150552</v>
      </c>
      <c r="BH22" s="131">
        <v>2.0305866369876484</v>
      </c>
      <c r="BI22" s="131">
        <v>0.64307050310436908</v>
      </c>
      <c r="BJ22" s="191">
        <v>2.9224167086782558</v>
      </c>
      <c r="BK22" s="97">
        <v>35.949603164208803</v>
      </c>
      <c r="BL22" s="131">
        <v>57.955717541227138</v>
      </c>
      <c r="BM22" s="131">
        <v>1.4130871616792458</v>
      </c>
      <c r="BN22" s="131">
        <v>2.5916426868832767</v>
      </c>
      <c r="BO22" s="131">
        <v>0.11215428885753947</v>
      </c>
      <c r="BP22" s="191">
        <v>1.9777951571439796</v>
      </c>
      <c r="BQ22" s="97">
        <v>54.944923586236563</v>
      </c>
      <c r="BR22" s="131">
        <v>41.442192968756011</v>
      </c>
      <c r="BS22" s="131">
        <v>0.62730271832778173</v>
      </c>
      <c r="BT22" s="131">
        <v>2.4093730717334365</v>
      </c>
      <c r="BU22" s="131">
        <v>0</v>
      </c>
      <c r="BV22" s="191">
        <v>0.57620765494621984</v>
      </c>
      <c r="BW22" s="97">
        <v>81.26343079076554</v>
      </c>
      <c r="BX22" s="131">
        <v>15.878398359718471</v>
      </c>
      <c r="BY22" s="131">
        <v>0.96479900636791993</v>
      </c>
      <c r="BZ22" s="131">
        <v>0.8243301855174181</v>
      </c>
      <c r="CA22" s="131">
        <v>0.25875835419829268</v>
      </c>
      <c r="CB22" s="191">
        <v>0.81028330343236799</v>
      </c>
    </row>
    <row r="23" spans="1:80" ht="15.75" customHeight="1" x14ac:dyDescent="0.3">
      <c r="A23" s="152"/>
      <c r="B23" s="130" t="s">
        <v>9</v>
      </c>
      <c r="C23" s="192">
        <v>51.85466552445277</v>
      </c>
      <c r="D23" s="193">
        <v>38.10788070915018</v>
      </c>
      <c r="E23" s="193">
        <v>2.4273691388409211</v>
      </c>
      <c r="F23" s="193">
        <v>4.5257709789511757</v>
      </c>
      <c r="G23" s="193">
        <v>0.46972913583601905</v>
      </c>
      <c r="H23" s="194">
        <v>2.6145845127690928</v>
      </c>
      <c r="I23" s="192">
        <v>22.485862610386086</v>
      </c>
      <c r="J23" s="193">
        <v>59.690444882623893</v>
      </c>
      <c r="K23" s="193">
        <v>4.0080663972502952</v>
      </c>
      <c r="L23" s="193">
        <v>6.2945449644939808</v>
      </c>
      <c r="M23" s="193">
        <v>1.5025842020131439</v>
      </c>
      <c r="N23" s="194">
        <v>6.0184969432326065</v>
      </c>
      <c r="O23" s="192">
        <v>68.68776495629092</v>
      </c>
      <c r="P23" s="193">
        <v>22.01549247071635</v>
      </c>
      <c r="Q23" s="193">
        <v>0.63670808322011718</v>
      </c>
      <c r="R23" s="193">
        <v>7.2039485165727113</v>
      </c>
      <c r="S23" s="193">
        <v>1.5312470793046125E-2</v>
      </c>
      <c r="T23" s="194">
        <v>1.4407735024068768</v>
      </c>
      <c r="U23" s="192">
        <v>66.918688995489063</v>
      </c>
      <c r="V23" s="193">
        <v>25.385382098588128</v>
      </c>
      <c r="W23" s="193">
        <v>0.98362646077160898</v>
      </c>
      <c r="X23" s="193">
        <v>5.0472102418515101</v>
      </c>
      <c r="Y23" s="193">
        <v>0.16044712619596749</v>
      </c>
      <c r="Z23" s="194">
        <v>1.5046450771037654</v>
      </c>
      <c r="AA23" s="192">
        <v>64.043041673718022</v>
      </c>
      <c r="AB23" s="193">
        <v>31.687876805592829</v>
      </c>
      <c r="AC23" s="193">
        <v>1.3435825607930547</v>
      </c>
      <c r="AD23" s="193">
        <v>1.9431219828246657</v>
      </c>
      <c r="AE23" s="193">
        <v>8.6406009193071412E-2</v>
      </c>
      <c r="AF23" s="194">
        <v>0.89597096787837183</v>
      </c>
      <c r="AG23" s="192">
        <v>65.099079681660371</v>
      </c>
      <c r="AH23" s="193">
        <v>28.580985562061677</v>
      </c>
      <c r="AI23" s="193">
        <v>1.0078905514898249</v>
      </c>
      <c r="AJ23" s="193">
        <v>3.5286617945405183</v>
      </c>
      <c r="AK23" s="193">
        <v>0.13967427175488079</v>
      </c>
      <c r="AL23" s="194">
        <v>1.6437081384927312</v>
      </c>
      <c r="AM23" s="192">
        <v>46.656164005899484</v>
      </c>
      <c r="AN23" s="193">
        <v>40.753844455838546</v>
      </c>
      <c r="AO23" s="193">
        <v>4.7330174967505876</v>
      </c>
      <c r="AP23" s="193">
        <v>4.4683017799454472</v>
      </c>
      <c r="AQ23" s="193">
        <v>0.60891798261361996</v>
      </c>
      <c r="AR23" s="194">
        <v>2.7797542789523466</v>
      </c>
      <c r="AS23" s="192">
        <v>99.123310998665488</v>
      </c>
      <c r="AT23" s="193">
        <v>0.60275105649466187</v>
      </c>
      <c r="AU23" s="193">
        <v>0</v>
      </c>
      <c r="AV23" s="193">
        <v>6.7455794039145908E-2</v>
      </c>
      <c r="AW23" s="193">
        <v>0</v>
      </c>
      <c r="AX23" s="194">
        <v>0.20648215080071175</v>
      </c>
      <c r="AY23" s="192">
        <v>35.439844933808907</v>
      </c>
      <c r="AZ23" s="193">
        <v>53.217999662205415</v>
      </c>
      <c r="BA23" s="193">
        <v>3.4495747122184652</v>
      </c>
      <c r="BB23" s="193">
        <v>4.7151930816494012</v>
      </c>
      <c r="BC23" s="193">
        <v>0.12032562898329827</v>
      </c>
      <c r="BD23" s="194">
        <v>3.0570619811345323</v>
      </c>
      <c r="BE23" s="192">
        <v>28.661819614751565</v>
      </c>
      <c r="BF23" s="193">
        <v>60.748524964673813</v>
      </c>
      <c r="BG23" s="193">
        <v>5.0534661223961619</v>
      </c>
      <c r="BH23" s="193">
        <v>1.9945243944823381</v>
      </c>
      <c r="BI23" s="193">
        <v>0.57212356784698193</v>
      </c>
      <c r="BJ23" s="194">
        <v>2.9695413358491454</v>
      </c>
      <c r="BK23" s="192">
        <v>34.999881743346414</v>
      </c>
      <c r="BL23" s="193">
        <v>58.814912478455753</v>
      </c>
      <c r="BM23" s="193">
        <v>1.3806771909164124</v>
      </c>
      <c r="BN23" s="193">
        <v>2.6973180621384718</v>
      </c>
      <c r="BO23" s="193">
        <v>0.21071558399852133</v>
      </c>
      <c r="BP23" s="194">
        <v>1.8964949411444154</v>
      </c>
      <c r="BQ23" s="192">
        <v>54.617899030689429</v>
      </c>
      <c r="BR23" s="193">
        <v>41.863974384904004</v>
      </c>
      <c r="BS23" s="193">
        <v>0.66457984083369237</v>
      </c>
      <c r="BT23" s="193">
        <v>2.3312338139125677</v>
      </c>
      <c r="BU23" s="193">
        <v>0</v>
      </c>
      <c r="BV23" s="194">
        <v>0.52231292966031695</v>
      </c>
      <c r="BW23" s="192">
        <v>81.073279467434702</v>
      </c>
      <c r="BX23" s="193">
        <v>16.291272517181614</v>
      </c>
      <c r="BY23" s="193">
        <v>0.90004052877111596</v>
      </c>
      <c r="BZ23" s="193">
        <v>0.78944872248139564</v>
      </c>
      <c r="CA23" s="193">
        <v>0.23713642674209043</v>
      </c>
      <c r="CB23" s="194">
        <v>0.70882233738908484</v>
      </c>
    </row>
    <row r="24" spans="1:80" ht="15.75" customHeight="1" x14ac:dyDescent="0.3">
      <c r="A24" s="152"/>
      <c r="B24" s="148" t="s">
        <v>10</v>
      </c>
      <c r="C24" s="97">
        <v>51.425479850163605</v>
      </c>
      <c r="D24" s="131">
        <v>38.420592291316538</v>
      </c>
      <c r="E24" s="131">
        <v>2.4410198464004207</v>
      </c>
      <c r="F24" s="131">
        <v>4.5916949439818282</v>
      </c>
      <c r="G24" s="131">
        <v>0.47777206829831675</v>
      </c>
      <c r="H24" s="191">
        <v>2.6434409998392998</v>
      </c>
      <c r="I24" s="97">
        <v>23.350111413600306</v>
      </c>
      <c r="J24" s="131">
        <v>58.903887546776069</v>
      </c>
      <c r="K24" s="131">
        <v>3.8749602131506169</v>
      </c>
      <c r="L24" s="131">
        <v>6.290573929449474</v>
      </c>
      <c r="M24" s="131">
        <v>1.4738991187190256</v>
      </c>
      <c r="N24" s="191">
        <v>6.1065677783045178</v>
      </c>
      <c r="O24" s="97">
        <v>68.413336694984267</v>
      </c>
      <c r="P24" s="131">
        <v>22.313521387434271</v>
      </c>
      <c r="Q24" s="131">
        <v>0.72517485267261783</v>
      </c>
      <c r="R24" s="131">
        <v>7.1043000292948371</v>
      </c>
      <c r="S24" s="131">
        <v>1.8143225925315642E-2</v>
      </c>
      <c r="T24" s="191">
        <v>1.4255238096886738</v>
      </c>
      <c r="U24" s="97">
        <v>65.988227313459447</v>
      </c>
      <c r="V24" s="131">
        <v>25.662496989394214</v>
      </c>
      <c r="W24" s="131">
        <v>1.1273164760846759</v>
      </c>
      <c r="X24" s="131">
        <v>5.4812378365216778</v>
      </c>
      <c r="Y24" s="131">
        <v>0.21855249146869468</v>
      </c>
      <c r="Z24" s="191">
        <v>1.5221688930712576</v>
      </c>
      <c r="AA24" s="97">
        <v>63.20847492539481</v>
      </c>
      <c r="AB24" s="131">
        <v>32.280820800822916</v>
      </c>
      <c r="AC24" s="131">
        <v>1.3640701310359831</v>
      </c>
      <c r="AD24" s="131">
        <v>2.1674878005221916</v>
      </c>
      <c r="AE24" s="131">
        <v>8.6264262245430171E-2</v>
      </c>
      <c r="AF24" s="191">
        <v>0.89288207997864533</v>
      </c>
      <c r="AG24" s="97">
        <v>64.569198006630899</v>
      </c>
      <c r="AH24" s="131">
        <v>29.06572646454234</v>
      </c>
      <c r="AI24" s="131">
        <v>0.90414221906819792</v>
      </c>
      <c r="AJ24" s="131">
        <v>3.6531200758134661</v>
      </c>
      <c r="AK24" s="131">
        <v>0.13151802101252899</v>
      </c>
      <c r="AL24" s="191">
        <v>1.6762952129325166</v>
      </c>
      <c r="AM24" s="97">
        <v>46.302258742361211</v>
      </c>
      <c r="AN24" s="131">
        <v>41.135164798812482</v>
      </c>
      <c r="AO24" s="131">
        <v>4.8185029771692509</v>
      </c>
      <c r="AP24" s="131">
        <v>4.3546042864279215</v>
      </c>
      <c r="AQ24" s="131">
        <v>0.60044204972267323</v>
      </c>
      <c r="AR24" s="191">
        <v>2.7890271455064499</v>
      </c>
      <c r="AS24" s="97">
        <v>99.127029284252004</v>
      </c>
      <c r="AT24" s="131">
        <v>0.55574655546184715</v>
      </c>
      <c r="AU24" s="131">
        <v>0</v>
      </c>
      <c r="AV24" s="131">
        <v>0.11895983681034286</v>
      </c>
      <c r="AW24" s="131">
        <v>0</v>
      </c>
      <c r="AX24" s="191">
        <v>0.19826432347581197</v>
      </c>
      <c r="AY24" s="97">
        <v>35.176450635198883</v>
      </c>
      <c r="AZ24" s="131">
        <v>53.74066647269791</v>
      </c>
      <c r="BA24" s="131">
        <v>3.217380354670381</v>
      </c>
      <c r="BB24" s="131">
        <v>4.798779970729238</v>
      </c>
      <c r="BC24" s="131">
        <v>0.17766050304184894</v>
      </c>
      <c r="BD24" s="191">
        <v>2.8890620636617097</v>
      </c>
      <c r="BE24" s="97">
        <v>28.314705506912251</v>
      </c>
      <c r="BF24" s="131">
        <v>60.94457959159886</v>
      </c>
      <c r="BG24" s="131">
        <v>5.1078388882475787</v>
      </c>
      <c r="BH24" s="131">
        <v>2.0471502522229366</v>
      </c>
      <c r="BI24" s="131">
        <v>0.52798442233868181</v>
      </c>
      <c r="BJ24" s="191">
        <v>3.0577413386797141</v>
      </c>
      <c r="BK24" s="97">
        <v>33.860527082380962</v>
      </c>
      <c r="BL24" s="131">
        <v>59.231745561809092</v>
      </c>
      <c r="BM24" s="131">
        <v>1.2872524717313047</v>
      </c>
      <c r="BN24" s="131">
        <v>3.5233000525665479</v>
      </c>
      <c r="BO24" s="131">
        <v>0.31289960667150096</v>
      </c>
      <c r="BP24" s="191">
        <v>1.7842752248405778</v>
      </c>
      <c r="BQ24" s="97">
        <v>54.151273312716121</v>
      </c>
      <c r="BR24" s="131">
        <v>42.214644544646411</v>
      </c>
      <c r="BS24" s="131">
        <v>0.77826245307978092</v>
      </c>
      <c r="BT24" s="131">
        <v>2.383229366780268</v>
      </c>
      <c r="BU24" s="131">
        <v>0</v>
      </c>
      <c r="BV24" s="191">
        <v>0.47259032277741658</v>
      </c>
      <c r="BW24" s="97">
        <v>81.197473303694636</v>
      </c>
      <c r="BX24" s="131">
        <v>16.152408409126132</v>
      </c>
      <c r="BY24" s="131">
        <v>0.84584202359768534</v>
      </c>
      <c r="BZ24" s="131">
        <v>0.96627648391126308</v>
      </c>
      <c r="CA24" s="131">
        <v>0.22406411221130737</v>
      </c>
      <c r="CB24" s="191">
        <v>0.61393566745898231</v>
      </c>
    </row>
    <row r="25" spans="1:80" s="109" customFormat="1" ht="15.75" customHeight="1" x14ac:dyDescent="0.3">
      <c r="A25" s="173"/>
      <c r="B25" s="130" t="s">
        <v>11</v>
      </c>
      <c r="C25" s="192">
        <v>51.259822568484523</v>
      </c>
      <c r="D25" s="193">
        <v>38.451431998581924</v>
      </c>
      <c r="E25" s="193">
        <v>2.4544493387926325</v>
      </c>
      <c r="F25" s="193">
        <v>4.6409774918390596</v>
      </c>
      <c r="G25" s="193">
        <v>0.51903696297052737</v>
      </c>
      <c r="H25" s="194">
        <v>2.6742816393314945</v>
      </c>
      <c r="I25" s="192">
        <v>23.773523315449751</v>
      </c>
      <c r="J25" s="193">
        <v>58.470111616592035</v>
      </c>
      <c r="K25" s="193">
        <v>3.9025954267343113</v>
      </c>
      <c r="L25" s="193">
        <v>6.319580589469302</v>
      </c>
      <c r="M25" s="193">
        <v>1.5931684167675146</v>
      </c>
      <c r="N25" s="194">
        <v>5.9410206349870824</v>
      </c>
      <c r="O25" s="192">
        <v>68.151555770391582</v>
      </c>
      <c r="P25" s="193">
        <v>22.297320170900264</v>
      </c>
      <c r="Q25" s="193">
        <v>0.80505888346438015</v>
      </c>
      <c r="R25" s="193">
        <v>6.983307219880416</v>
      </c>
      <c r="S25" s="193">
        <v>5.8037692151418331E-2</v>
      </c>
      <c r="T25" s="194">
        <v>1.7047202632119216</v>
      </c>
      <c r="U25" s="192">
        <v>65.552807078864973</v>
      </c>
      <c r="V25" s="193">
        <v>25.503141579613249</v>
      </c>
      <c r="W25" s="193">
        <v>1.2075760226300418</v>
      </c>
      <c r="X25" s="193">
        <v>5.9123254336016515</v>
      </c>
      <c r="Y25" s="193">
        <v>0.25733796232274575</v>
      </c>
      <c r="Z25" s="194">
        <v>1.5668119229673829</v>
      </c>
      <c r="AA25" s="192">
        <v>62.734606640712109</v>
      </c>
      <c r="AB25" s="193">
        <v>32.479820099843622</v>
      </c>
      <c r="AC25" s="193">
        <v>1.3851758111994199</v>
      </c>
      <c r="AD25" s="193">
        <v>2.407252447733629</v>
      </c>
      <c r="AE25" s="193">
        <v>8.5867213437334042E-2</v>
      </c>
      <c r="AF25" s="194">
        <v>0.90727778707386397</v>
      </c>
      <c r="AG25" s="192">
        <v>64.072089671174808</v>
      </c>
      <c r="AH25" s="193">
        <v>29.570960710653111</v>
      </c>
      <c r="AI25" s="193">
        <v>0.82154561649305391</v>
      </c>
      <c r="AJ25" s="193">
        <v>3.6888546187539561</v>
      </c>
      <c r="AK25" s="193">
        <v>0.12238450397288696</v>
      </c>
      <c r="AL25" s="194">
        <v>1.7241648789522286</v>
      </c>
      <c r="AM25" s="192">
        <v>47.123249323630048</v>
      </c>
      <c r="AN25" s="193">
        <v>40.459998515604084</v>
      </c>
      <c r="AO25" s="193">
        <v>4.6950073212778136</v>
      </c>
      <c r="AP25" s="193">
        <v>4.2588809488648298</v>
      </c>
      <c r="AQ25" s="193">
        <v>0.60677145995803028</v>
      </c>
      <c r="AR25" s="194">
        <v>2.8560924306651634</v>
      </c>
      <c r="AS25" s="192">
        <v>99.160817115751527</v>
      </c>
      <c r="AT25" s="193">
        <v>0.50652026725862254</v>
      </c>
      <c r="AU25" s="193">
        <v>0</v>
      </c>
      <c r="AV25" s="193">
        <v>0.15297648655949658</v>
      </c>
      <c r="AW25" s="193">
        <v>0</v>
      </c>
      <c r="AX25" s="194">
        <v>0.17968613043034851</v>
      </c>
      <c r="AY25" s="192">
        <v>35.33235410962736</v>
      </c>
      <c r="AZ25" s="193">
        <v>53.853738399818916</v>
      </c>
      <c r="BA25" s="193">
        <v>3.0274554489673817</v>
      </c>
      <c r="BB25" s="193">
        <v>4.8404092176914704</v>
      </c>
      <c r="BC25" s="193">
        <v>0.24147013603377657</v>
      </c>
      <c r="BD25" s="194">
        <v>2.7045726878611029</v>
      </c>
      <c r="BE25" s="192">
        <v>28.328857594636762</v>
      </c>
      <c r="BF25" s="193">
        <v>60.745515670463377</v>
      </c>
      <c r="BG25" s="193">
        <v>5.2436668702764972</v>
      </c>
      <c r="BH25" s="193">
        <v>2.0488590039695027</v>
      </c>
      <c r="BI25" s="193">
        <v>0.48237616348544599</v>
      </c>
      <c r="BJ25" s="194">
        <v>3.1507246971684402</v>
      </c>
      <c r="BK25" s="192">
        <v>32.519940633054269</v>
      </c>
      <c r="BL25" s="193">
        <v>60.718512800929844</v>
      </c>
      <c r="BM25" s="193">
        <v>1.2787311091238212</v>
      </c>
      <c r="BN25" s="193">
        <v>3.522256473496209</v>
      </c>
      <c r="BO25" s="193">
        <v>0.3130361708862579</v>
      </c>
      <c r="BP25" s="194">
        <v>1.6475228125095969</v>
      </c>
      <c r="BQ25" s="192">
        <v>53.215104962145197</v>
      </c>
      <c r="BR25" s="193">
        <v>42.991937124366423</v>
      </c>
      <c r="BS25" s="193">
        <v>0.7959964282900559</v>
      </c>
      <c r="BT25" s="193">
        <v>2.3365793479102304</v>
      </c>
      <c r="BU25" s="193">
        <v>0</v>
      </c>
      <c r="BV25" s="194">
        <v>0.66038213728808681</v>
      </c>
      <c r="BW25" s="192">
        <v>80.927411452577914</v>
      </c>
      <c r="BX25" s="193">
        <v>16.412913340700278</v>
      </c>
      <c r="BY25" s="193">
        <v>1.0118293789534878</v>
      </c>
      <c r="BZ25" s="193">
        <v>0.88568007812692995</v>
      </c>
      <c r="CA25" s="193">
        <v>0.2206789335608193</v>
      </c>
      <c r="CB25" s="194">
        <v>0.54148681608057747</v>
      </c>
    </row>
    <row r="26" spans="1:80" ht="15.75" customHeight="1" x14ac:dyDescent="0.3">
      <c r="A26" s="152"/>
      <c r="B26" s="148" t="s">
        <v>12</v>
      </c>
      <c r="C26" s="97">
        <v>51.142591535545975</v>
      </c>
      <c r="D26" s="131">
        <v>38.411192622057314</v>
      </c>
      <c r="E26" s="131">
        <v>2.4750879116062134</v>
      </c>
      <c r="F26" s="131">
        <v>4.7087568138385363</v>
      </c>
      <c r="G26" s="131">
        <v>0.55681185747606876</v>
      </c>
      <c r="H26" s="191">
        <v>2.7055592594759856</v>
      </c>
      <c r="I26" s="97">
        <v>24.114148357099616</v>
      </c>
      <c r="J26" s="131">
        <v>57.817885941203052</v>
      </c>
      <c r="K26" s="131">
        <v>3.9579992460868643</v>
      </c>
      <c r="L26" s="131">
        <v>6.4848973851364313</v>
      </c>
      <c r="M26" s="131">
        <v>1.6376923717273197</v>
      </c>
      <c r="N26" s="191">
        <v>5.9873766987466741</v>
      </c>
      <c r="O26" s="97">
        <v>68.245213591881551</v>
      </c>
      <c r="P26" s="131">
        <v>22.43994643574834</v>
      </c>
      <c r="Q26" s="131">
        <v>0.79416552843989097</v>
      </c>
      <c r="R26" s="131">
        <v>6.8078351948143716</v>
      </c>
      <c r="S26" s="131">
        <v>5.9191855440228501E-2</v>
      </c>
      <c r="T26" s="191">
        <v>1.6536473936755967</v>
      </c>
      <c r="U26" s="97">
        <v>64.990679527205998</v>
      </c>
      <c r="V26" s="131">
        <v>25.466847891029907</v>
      </c>
      <c r="W26" s="131">
        <v>1.211155419218344</v>
      </c>
      <c r="X26" s="131">
        <v>6.5151492591361464</v>
      </c>
      <c r="Y26" s="131">
        <v>0.27728295060911057</v>
      </c>
      <c r="Z26" s="191">
        <v>1.5388849528005046</v>
      </c>
      <c r="AA26" s="97">
        <v>62.587500786936737</v>
      </c>
      <c r="AB26" s="131">
        <v>32.584456297769137</v>
      </c>
      <c r="AC26" s="131">
        <v>1.3781561010730392</v>
      </c>
      <c r="AD26" s="131">
        <v>2.3961748634300237</v>
      </c>
      <c r="AE26" s="131">
        <v>8.9406478037089912E-2</v>
      </c>
      <c r="AF26" s="191">
        <v>0.96430547275396861</v>
      </c>
      <c r="AG26" s="97">
        <v>63.681852218170832</v>
      </c>
      <c r="AH26" s="131">
        <v>29.974051756822895</v>
      </c>
      <c r="AI26" s="131">
        <v>0.76172069241716811</v>
      </c>
      <c r="AJ26" s="131">
        <v>3.6561978826816803</v>
      </c>
      <c r="AK26" s="131">
        <v>0.11424572397556322</v>
      </c>
      <c r="AL26" s="191">
        <v>1.8119317259318608</v>
      </c>
      <c r="AM26" s="97">
        <v>47.200339370718432</v>
      </c>
      <c r="AN26" s="131">
        <v>40.389669515290919</v>
      </c>
      <c r="AO26" s="131">
        <v>4.6494950654667182</v>
      </c>
      <c r="AP26" s="131">
        <v>4.2479199301158053</v>
      </c>
      <c r="AQ26" s="131">
        <v>0.61675031912577316</v>
      </c>
      <c r="AR26" s="191">
        <v>2.8958257992823335</v>
      </c>
      <c r="AS26" s="97">
        <v>99.142330898292172</v>
      </c>
      <c r="AT26" s="131">
        <v>0.47916184963502734</v>
      </c>
      <c r="AU26" s="131">
        <v>0</v>
      </c>
      <c r="AV26" s="131">
        <v>0.21408361520107552</v>
      </c>
      <c r="AW26" s="131">
        <v>0</v>
      </c>
      <c r="AX26" s="191">
        <v>0.16442363687172748</v>
      </c>
      <c r="AY26" s="97">
        <v>35.475890897066506</v>
      </c>
      <c r="AZ26" s="131">
        <v>53.704224141213622</v>
      </c>
      <c r="BA26" s="131">
        <v>2.994592198713248</v>
      </c>
      <c r="BB26" s="131">
        <v>4.9513573956935062</v>
      </c>
      <c r="BC26" s="131">
        <v>0.28242386506115041</v>
      </c>
      <c r="BD26" s="191">
        <v>2.5915115022520046</v>
      </c>
      <c r="BE26" s="97">
        <v>28.693634871965575</v>
      </c>
      <c r="BF26" s="131">
        <v>60.16772713015537</v>
      </c>
      <c r="BG26" s="131">
        <v>5.3671721471505105</v>
      </c>
      <c r="BH26" s="131">
        <v>1.9569445422403731</v>
      </c>
      <c r="BI26" s="131">
        <v>0.45701282157968504</v>
      </c>
      <c r="BJ26" s="191">
        <v>3.3575084869085026</v>
      </c>
      <c r="BK26" s="97">
        <v>32.094782734531243</v>
      </c>
      <c r="BL26" s="131">
        <v>59.797297887900548</v>
      </c>
      <c r="BM26" s="131">
        <v>1.5145211088546571</v>
      </c>
      <c r="BN26" s="131">
        <v>3.3880029796851141</v>
      </c>
      <c r="BO26" s="131">
        <v>1.3291648820606061</v>
      </c>
      <c r="BP26" s="191">
        <v>1.8762304069678795</v>
      </c>
      <c r="BQ26" s="97">
        <v>53.006114387964601</v>
      </c>
      <c r="BR26" s="131">
        <v>43.216683205182051</v>
      </c>
      <c r="BS26" s="131">
        <v>0.87621190507488245</v>
      </c>
      <c r="BT26" s="131">
        <v>2.2927516962827923</v>
      </c>
      <c r="BU26" s="131">
        <v>0</v>
      </c>
      <c r="BV26" s="191">
        <v>0.60823880549566023</v>
      </c>
      <c r="BW26" s="97">
        <v>81.055132841050309</v>
      </c>
      <c r="BX26" s="131">
        <v>16.196426539541992</v>
      </c>
      <c r="BY26" s="131">
        <v>0.95151401410646497</v>
      </c>
      <c r="BZ26" s="131">
        <v>1.1056418471105094</v>
      </c>
      <c r="CA26" s="131">
        <v>0.20540526162571615</v>
      </c>
      <c r="CB26" s="191">
        <v>0.48587949656500334</v>
      </c>
    </row>
    <row r="27" spans="1:80" s="109" customFormat="1" ht="15.75" customHeight="1" x14ac:dyDescent="0.3">
      <c r="A27" s="173"/>
      <c r="B27" s="130" t="s">
        <v>13</v>
      </c>
      <c r="C27" s="192">
        <v>51.804078692079294</v>
      </c>
      <c r="D27" s="193">
        <v>37.714738411048785</v>
      </c>
      <c r="E27" s="193">
        <v>2.531349567975187</v>
      </c>
      <c r="F27" s="193">
        <v>4.6158267435975082</v>
      </c>
      <c r="G27" s="193">
        <v>0.56572691287267129</v>
      </c>
      <c r="H27" s="194">
        <v>2.7682796724264427</v>
      </c>
      <c r="I27" s="192">
        <v>24.488333717150006</v>
      </c>
      <c r="J27" s="193">
        <v>57.243463342451214</v>
      </c>
      <c r="K27" s="193">
        <v>4.1238477569454348</v>
      </c>
      <c r="L27" s="193">
        <v>6.5071066109329969</v>
      </c>
      <c r="M27" s="193">
        <v>1.6617008774264905</v>
      </c>
      <c r="N27" s="194">
        <v>5.9755476950938107</v>
      </c>
      <c r="O27" s="192">
        <v>68.634017394822294</v>
      </c>
      <c r="P27" s="193">
        <v>22.288179205096608</v>
      </c>
      <c r="Q27" s="193">
        <v>0.76292150771123812</v>
      </c>
      <c r="R27" s="193">
        <v>6.5636194826509913</v>
      </c>
      <c r="S27" s="193">
        <v>5.9106936614896841E-2</v>
      </c>
      <c r="T27" s="194">
        <v>1.6921554731039532</v>
      </c>
      <c r="U27" s="192">
        <v>65.850909549950018</v>
      </c>
      <c r="V27" s="193">
        <v>24.651860254275125</v>
      </c>
      <c r="W27" s="193">
        <v>1.1573599086330333</v>
      </c>
      <c r="X27" s="193">
        <v>6.3988550050509545</v>
      </c>
      <c r="Y27" s="193">
        <v>0.3038827416999243</v>
      </c>
      <c r="Z27" s="194">
        <v>1.6371325403909855</v>
      </c>
      <c r="AA27" s="192">
        <v>63.168819174733379</v>
      </c>
      <c r="AB27" s="193">
        <v>32.103148834238922</v>
      </c>
      <c r="AC27" s="193">
        <v>1.3352234251295663</v>
      </c>
      <c r="AD27" s="193">
        <v>2.3519102622764274</v>
      </c>
      <c r="AE27" s="193">
        <v>8.5347598890246415E-2</v>
      </c>
      <c r="AF27" s="194">
        <v>0.95555070473148529</v>
      </c>
      <c r="AG27" s="192">
        <v>64.487530453394683</v>
      </c>
      <c r="AH27" s="193">
        <v>29.215706404326941</v>
      </c>
      <c r="AI27" s="193">
        <v>0.81555935656701073</v>
      </c>
      <c r="AJ27" s="193">
        <v>3.565801391342168</v>
      </c>
      <c r="AK27" s="193">
        <v>0.10886199360019369</v>
      </c>
      <c r="AL27" s="194">
        <v>1.8065404007690082</v>
      </c>
      <c r="AM27" s="192">
        <v>48.430898288765896</v>
      </c>
      <c r="AN27" s="193">
        <v>39.056548933869841</v>
      </c>
      <c r="AO27" s="193">
        <v>4.7863504729991266</v>
      </c>
      <c r="AP27" s="193">
        <v>4.0747297630036838</v>
      </c>
      <c r="AQ27" s="193">
        <v>0.58900504145330135</v>
      </c>
      <c r="AR27" s="194">
        <v>3.0624674999081258</v>
      </c>
      <c r="AS27" s="192">
        <v>99.1469768069569</v>
      </c>
      <c r="AT27" s="193">
        <v>0.45846541966187271</v>
      </c>
      <c r="AU27" s="193">
        <v>0</v>
      </c>
      <c r="AV27" s="193">
        <v>0.23935688146641695</v>
      </c>
      <c r="AW27" s="193">
        <v>0</v>
      </c>
      <c r="AX27" s="194">
        <v>0.155200891914828</v>
      </c>
      <c r="AY27" s="192">
        <v>36.12917885181826</v>
      </c>
      <c r="AZ27" s="193">
        <v>52.688432028564016</v>
      </c>
      <c r="BA27" s="193">
        <v>3.0194188074318959</v>
      </c>
      <c r="BB27" s="193">
        <v>4.9279087276387212</v>
      </c>
      <c r="BC27" s="193">
        <v>0.31896142401985161</v>
      </c>
      <c r="BD27" s="194">
        <v>2.9161001605272512</v>
      </c>
      <c r="BE27" s="192">
        <v>30.122211150190537</v>
      </c>
      <c r="BF27" s="193">
        <v>58.560708237237257</v>
      </c>
      <c r="BG27" s="193">
        <v>5.4624949662441979</v>
      </c>
      <c r="BH27" s="193">
        <v>1.8913551373214352</v>
      </c>
      <c r="BI27" s="193">
        <v>0.42235213142434802</v>
      </c>
      <c r="BJ27" s="194">
        <v>3.5408783775822079</v>
      </c>
      <c r="BK27" s="192">
        <v>32.40558692567658</v>
      </c>
      <c r="BL27" s="193">
        <v>58.832065739247042</v>
      </c>
      <c r="BM27" s="193">
        <v>1.6955708462405017</v>
      </c>
      <c r="BN27" s="193">
        <v>3.2506107472254868</v>
      </c>
      <c r="BO27" s="193">
        <v>1.7282286448545361</v>
      </c>
      <c r="BP27" s="194">
        <v>2.0879370967558404</v>
      </c>
      <c r="BQ27" s="192">
        <v>53.929170030641707</v>
      </c>
      <c r="BR27" s="193">
        <v>42.412468189780128</v>
      </c>
      <c r="BS27" s="193">
        <v>0.85551196158694631</v>
      </c>
      <c r="BT27" s="193">
        <v>2.2497603905515975</v>
      </c>
      <c r="BU27" s="193">
        <v>3.8715221219718324E-3</v>
      </c>
      <c r="BV27" s="194">
        <v>0.54921790531767722</v>
      </c>
      <c r="BW27" s="192">
        <v>80.918609661311663</v>
      </c>
      <c r="BX27" s="193">
        <v>16.17418416535476</v>
      </c>
      <c r="BY27" s="193">
        <v>1.0512459753830794</v>
      </c>
      <c r="BZ27" s="193">
        <v>1.1116239442570512</v>
      </c>
      <c r="CA27" s="193">
        <v>0.1938230409580157</v>
      </c>
      <c r="CB27" s="194">
        <v>0.55051321273542875</v>
      </c>
    </row>
    <row r="28" spans="1:80" ht="15.75" customHeight="1" x14ac:dyDescent="0.3">
      <c r="A28" s="147" t="s">
        <v>52</v>
      </c>
      <c r="B28" s="148" t="s">
        <v>54</v>
      </c>
      <c r="C28" s="97">
        <v>60.95245648550236</v>
      </c>
      <c r="D28" s="131">
        <v>29.209494765509397</v>
      </c>
      <c r="E28" s="131">
        <v>2.6714670745881519</v>
      </c>
      <c r="F28" s="131">
        <v>3.8421865343145254</v>
      </c>
      <c r="G28" s="131">
        <v>0.60686550692085439</v>
      </c>
      <c r="H28" s="191">
        <v>2.7175296331646757</v>
      </c>
      <c r="I28" s="97">
        <v>29.348702771446877</v>
      </c>
      <c r="J28" s="131">
        <v>51.793639388323911</v>
      </c>
      <c r="K28" s="131">
        <v>5.1940730243691906</v>
      </c>
      <c r="L28" s="131">
        <v>7.969698729083234</v>
      </c>
      <c r="M28" s="131">
        <v>1.919614246604521</v>
      </c>
      <c r="N28" s="191">
        <v>3.7742718401722408</v>
      </c>
      <c r="O28" s="97">
        <v>75.617278103233957</v>
      </c>
      <c r="P28" s="131">
        <v>17.596169811481428</v>
      </c>
      <c r="Q28" s="131">
        <v>1.8017670424549996</v>
      </c>
      <c r="R28" s="131">
        <v>4.1863004717222134</v>
      </c>
      <c r="S28" s="131">
        <v>0.68050080039508898</v>
      </c>
      <c r="T28" s="191">
        <v>0.11798377071235168</v>
      </c>
      <c r="U28" s="97">
        <v>77.502701553684147</v>
      </c>
      <c r="V28" s="131">
        <v>13.19422606488444</v>
      </c>
      <c r="W28" s="131">
        <v>1.6209948688298472</v>
      </c>
      <c r="X28" s="131">
        <v>3.473081544431071</v>
      </c>
      <c r="Y28" s="131">
        <v>0.47795785176805794</v>
      </c>
      <c r="Z28" s="191">
        <v>3.7310381164024422</v>
      </c>
      <c r="AA28" s="97">
        <v>71.44546373818774</v>
      </c>
      <c r="AB28" s="131">
        <v>22.335955724455236</v>
      </c>
      <c r="AC28" s="131">
        <v>2.5150475739136513</v>
      </c>
      <c r="AD28" s="131">
        <v>1.8399380233343712</v>
      </c>
      <c r="AE28" s="131">
        <v>3.9891754431215572E-2</v>
      </c>
      <c r="AF28" s="191">
        <v>1.8237031856777539</v>
      </c>
      <c r="AG28" s="97">
        <v>78.250760238819254</v>
      </c>
      <c r="AH28" s="131">
        <v>18.029102884859888</v>
      </c>
      <c r="AI28" s="131">
        <v>0.14761918820875064</v>
      </c>
      <c r="AJ28" s="131">
        <v>2.9790123609641528</v>
      </c>
      <c r="AK28" s="131">
        <v>1.1066677206359243E-2</v>
      </c>
      <c r="AL28" s="191">
        <v>0.58243864994157135</v>
      </c>
      <c r="AM28" s="97">
        <v>59.773088333746529</v>
      </c>
      <c r="AN28" s="131">
        <v>28.325214711539076</v>
      </c>
      <c r="AO28" s="131">
        <v>3.3627461223991779</v>
      </c>
      <c r="AP28" s="131">
        <v>3.17925669557714</v>
      </c>
      <c r="AQ28" s="131">
        <v>0.33191539150923954</v>
      </c>
      <c r="AR28" s="191">
        <v>5.0277787452288525</v>
      </c>
      <c r="AS28" s="97">
        <v>99.473504931238068</v>
      </c>
      <c r="AT28" s="131">
        <v>1.7130361391327953E-2</v>
      </c>
      <c r="AU28" s="131">
        <v>0</v>
      </c>
      <c r="AV28" s="131">
        <v>0.3439249479335843</v>
      </c>
      <c r="AW28" s="131">
        <v>0</v>
      </c>
      <c r="AX28" s="191">
        <v>0.16543975943701725</v>
      </c>
      <c r="AY28" s="97">
        <v>43.760934589988146</v>
      </c>
      <c r="AZ28" s="131">
        <v>43.005129789313287</v>
      </c>
      <c r="BA28" s="131">
        <v>2.3959561695592901</v>
      </c>
      <c r="BB28" s="131">
        <v>5.5293381175722764</v>
      </c>
      <c r="BC28" s="131">
        <v>0.27813586961364695</v>
      </c>
      <c r="BD28" s="191">
        <v>5.0305054639533546</v>
      </c>
      <c r="BE28" s="97">
        <v>42.433836095513172</v>
      </c>
      <c r="BF28" s="131">
        <v>49.622320653833881</v>
      </c>
      <c r="BG28" s="131">
        <v>4.1855453495291028</v>
      </c>
      <c r="BH28" s="131">
        <v>0.69331929784510848</v>
      </c>
      <c r="BI28" s="131">
        <v>0.81121528515398345</v>
      </c>
      <c r="BJ28" s="191">
        <v>2.2537633181246974</v>
      </c>
      <c r="BK28" s="97">
        <v>44.921064984763404</v>
      </c>
      <c r="BL28" s="131">
        <v>50.042892364984851</v>
      </c>
      <c r="BM28" s="131">
        <v>1.170243062540987</v>
      </c>
      <c r="BN28" s="131">
        <v>2.143398973892702</v>
      </c>
      <c r="BO28" s="131">
        <v>0</v>
      </c>
      <c r="BP28" s="191">
        <v>1.722400613818047</v>
      </c>
      <c r="BQ28" s="97">
        <v>59.425875601469592</v>
      </c>
      <c r="BR28" s="131">
        <v>36.881786718826135</v>
      </c>
      <c r="BS28" s="131">
        <v>1.3631799751139475</v>
      </c>
      <c r="BT28" s="131">
        <v>0.71405744643719216</v>
      </c>
      <c r="BU28" s="131">
        <v>0</v>
      </c>
      <c r="BV28" s="191">
        <v>1.6151002581531282</v>
      </c>
      <c r="BW28" s="97">
        <v>80.510490445008685</v>
      </c>
      <c r="BX28" s="131">
        <v>14.242950688226646</v>
      </c>
      <c r="BY28" s="131">
        <v>3.1030335426967794</v>
      </c>
      <c r="BZ28" s="131">
        <v>0</v>
      </c>
      <c r="CA28" s="131">
        <v>2.6727248429774156E-2</v>
      </c>
      <c r="CB28" s="191">
        <v>2.1167980756381133</v>
      </c>
    </row>
    <row r="29" spans="1:80" s="109" customFormat="1" ht="15.75" customHeight="1" x14ac:dyDescent="0.3">
      <c r="A29" s="173"/>
      <c r="B29" s="109" t="s">
        <v>56</v>
      </c>
      <c r="C29" s="192">
        <v>56.108757833311074</v>
      </c>
      <c r="D29" s="193">
        <v>33.547706458007163</v>
      </c>
      <c r="E29" s="193">
        <v>2.8859726951957163</v>
      </c>
      <c r="F29" s="193">
        <v>4.1596355668220077</v>
      </c>
      <c r="G29" s="193">
        <v>0.61321518473867231</v>
      </c>
      <c r="H29" s="194">
        <v>2.6847122619252946</v>
      </c>
      <c r="I29" s="192">
        <v>25.846991531264017</v>
      </c>
      <c r="J29" s="193">
        <v>56.377745816471524</v>
      </c>
      <c r="K29" s="193">
        <v>5.3157080519076834</v>
      </c>
      <c r="L29" s="193">
        <v>6.6105612228313042</v>
      </c>
      <c r="M29" s="193">
        <v>2.0171731649335198</v>
      </c>
      <c r="N29" s="194">
        <v>3.831820212591956</v>
      </c>
      <c r="O29" s="192">
        <v>73.858017596638888</v>
      </c>
      <c r="P29" s="193">
        <v>17.848837932364876</v>
      </c>
      <c r="Q29" s="193">
        <v>1.579318115220353</v>
      </c>
      <c r="R29" s="193">
        <v>5.1379038723197725</v>
      </c>
      <c r="S29" s="193">
        <v>0.35736858381054992</v>
      </c>
      <c r="T29" s="194">
        <v>1.2185538996455265</v>
      </c>
      <c r="U29" s="192">
        <v>72.074178453851829</v>
      </c>
      <c r="V29" s="193">
        <v>17.53933641875091</v>
      </c>
      <c r="W29" s="193">
        <v>1.4859300950370091</v>
      </c>
      <c r="X29" s="193">
        <v>5.2007336054700284</v>
      </c>
      <c r="Y29" s="193">
        <v>0.40154204893390855</v>
      </c>
      <c r="Z29" s="194">
        <v>3.2982793779562516</v>
      </c>
      <c r="AA29" s="192">
        <v>68.657787150443284</v>
      </c>
      <c r="AB29" s="193">
        <v>25.284111281073173</v>
      </c>
      <c r="AC29" s="193">
        <v>2.3206172946894745</v>
      </c>
      <c r="AD29" s="193">
        <v>2.0752736306797321</v>
      </c>
      <c r="AE29" s="193">
        <v>9.9289907435498662E-2</v>
      </c>
      <c r="AF29" s="194">
        <v>1.5629207356788095</v>
      </c>
      <c r="AG29" s="192">
        <v>74.783596537729764</v>
      </c>
      <c r="AH29" s="193">
        <v>21.396412916942133</v>
      </c>
      <c r="AI29" s="193">
        <v>0.26264134283181545</v>
      </c>
      <c r="AJ29" s="193">
        <v>2.8727300746724715</v>
      </c>
      <c r="AK29" s="193">
        <v>8.6424863704403412E-3</v>
      </c>
      <c r="AL29" s="194">
        <v>0.67597664145343761</v>
      </c>
      <c r="AM29" s="192">
        <v>53.977965899945858</v>
      </c>
      <c r="AN29" s="193">
        <v>34.167258740725131</v>
      </c>
      <c r="AO29" s="193">
        <v>3.4427901688843314</v>
      </c>
      <c r="AP29" s="193">
        <v>3.6908892044675614</v>
      </c>
      <c r="AQ29" s="193">
        <v>0.27070304115614008</v>
      </c>
      <c r="AR29" s="194">
        <v>4.4503929448209707</v>
      </c>
      <c r="AS29" s="192">
        <v>99.425057927277976</v>
      </c>
      <c r="AT29" s="193">
        <v>6.922619055371837E-2</v>
      </c>
      <c r="AU29" s="193">
        <v>0</v>
      </c>
      <c r="AV29" s="193">
        <v>0.42395343415306352</v>
      </c>
      <c r="AW29" s="193">
        <v>0</v>
      </c>
      <c r="AX29" s="194">
        <v>8.1762448015233677E-2</v>
      </c>
      <c r="AY29" s="192">
        <v>39.013144546647119</v>
      </c>
      <c r="AZ29" s="193">
        <v>47.147407254823307</v>
      </c>
      <c r="BA29" s="193">
        <v>3.5934545206739705</v>
      </c>
      <c r="BB29" s="193">
        <v>5.5158076841467825</v>
      </c>
      <c r="BC29" s="193">
        <v>0.4134677782819936</v>
      </c>
      <c r="BD29" s="194">
        <v>4.3167182154268371</v>
      </c>
      <c r="BE29" s="192">
        <v>36.893696470379048</v>
      </c>
      <c r="BF29" s="193">
        <v>53.93969119521087</v>
      </c>
      <c r="BG29" s="193">
        <v>5.3307945351628492</v>
      </c>
      <c r="BH29" s="193">
        <v>1.3862727084135973</v>
      </c>
      <c r="BI29" s="193">
        <v>0.51841863497614338</v>
      </c>
      <c r="BJ29" s="194">
        <v>1.9311264558575112</v>
      </c>
      <c r="BK29" s="192">
        <v>40.955948378826044</v>
      </c>
      <c r="BL29" s="193">
        <v>52.37139219137832</v>
      </c>
      <c r="BM29" s="193">
        <v>1.896671032914321</v>
      </c>
      <c r="BN29" s="193">
        <v>1.9408949299876526</v>
      </c>
      <c r="BO29" s="193">
        <v>0.27824001401305637</v>
      </c>
      <c r="BP29" s="194">
        <v>2.5568534528806164</v>
      </c>
      <c r="BQ29" s="192">
        <v>50.512704212284653</v>
      </c>
      <c r="BR29" s="193">
        <v>45.903108485024077</v>
      </c>
      <c r="BS29" s="193">
        <v>1.2445811684352539</v>
      </c>
      <c r="BT29" s="193">
        <v>1.4200742103297013</v>
      </c>
      <c r="BU29" s="193">
        <v>0</v>
      </c>
      <c r="BV29" s="194">
        <v>0.91953192392634742</v>
      </c>
      <c r="BW29" s="192">
        <v>76.731922747346914</v>
      </c>
      <c r="BX29" s="193">
        <v>19.480587963878452</v>
      </c>
      <c r="BY29" s="193">
        <v>2.2490277503130973</v>
      </c>
      <c r="BZ29" s="193">
        <v>8.5689802913453308E-2</v>
      </c>
      <c r="CA29" s="193">
        <v>0.40867444466416186</v>
      </c>
      <c r="CB29" s="194">
        <v>1.0440972908839232</v>
      </c>
    </row>
    <row r="30" spans="1:80" ht="15.75" customHeight="1" x14ac:dyDescent="0.3">
      <c r="A30" s="101"/>
      <c r="B30" s="156" t="s">
        <v>65</v>
      </c>
      <c r="C30" s="97">
        <v>54.470461352626096</v>
      </c>
      <c r="D30" s="131">
        <v>35.000268813359561</v>
      </c>
      <c r="E30" s="131">
        <v>3.0762556228473743</v>
      </c>
      <c r="F30" s="131">
        <v>4.1210083258689334</v>
      </c>
      <c r="G30" s="131">
        <v>0.66153952350549761</v>
      </c>
      <c r="H30" s="191">
        <v>2.6704663617924997</v>
      </c>
      <c r="I30" s="97">
        <v>25.164271043140868</v>
      </c>
      <c r="J30" s="131">
        <v>56.023992549003331</v>
      </c>
      <c r="K30" s="131">
        <v>5.9570553913770325</v>
      </c>
      <c r="L30" s="131">
        <v>6.4108732641886004</v>
      </c>
      <c r="M30" s="131">
        <v>2.1597633175353068</v>
      </c>
      <c r="N30" s="191">
        <v>4.2840444347548816</v>
      </c>
      <c r="O30" s="97">
        <v>73.998429166393464</v>
      </c>
      <c r="P30" s="131">
        <v>18.208102768267061</v>
      </c>
      <c r="Q30" s="131">
        <v>1.4263045511362371</v>
      </c>
      <c r="R30" s="131">
        <v>4.9260708814715972</v>
      </c>
      <c r="S30" s="131">
        <v>0.30801780804197626</v>
      </c>
      <c r="T30" s="191">
        <v>1.1330748246896605</v>
      </c>
      <c r="U30" s="97">
        <v>69.234144412882031</v>
      </c>
      <c r="V30" s="131">
        <v>20.261375993605284</v>
      </c>
      <c r="W30" s="131">
        <v>1.5940859884673859</v>
      </c>
      <c r="X30" s="131">
        <v>5.6061916089043731</v>
      </c>
      <c r="Y30" s="131">
        <v>0.42218199642500792</v>
      </c>
      <c r="Z30" s="191">
        <v>2.8820199997158893</v>
      </c>
      <c r="AA30" s="97">
        <v>67.397665391220229</v>
      </c>
      <c r="AB30" s="131">
        <v>26.416196372552704</v>
      </c>
      <c r="AC30" s="131">
        <v>2.158284278157764</v>
      </c>
      <c r="AD30" s="131">
        <v>2.3670978127609041</v>
      </c>
      <c r="AE30" s="131">
        <v>0.129390250857149</v>
      </c>
      <c r="AF30" s="191">
        <v>1.5313658944512372</v>
      </c>
      <c r="AG30" s="97">
        <v>73.372381204198646</v>
      </c>
      <c r="AH30" s="131">
        <v>22.599849762981101</v>
      </c>
      <c r="AI30" s="131">
        <v>0.69412850413151794</v>
      </c>
      <c r="AJ30" s="131">
        <v>2.4795239049401974</v>
      </c>
      <c r="AK30" s="131">
        <v>8.0772590804205971E-3</v>
      </c>
      <c r="AL30" s="191">
        <v>0.84603936466810303</v>
      </c>
      <c r="AM30" s="97">
        <v>51.566911322643683</v>
      </c>
      <c r="AN30" s="131">
        <v>36.434476468197239</v>
      </c>
      <c r="AO30" s="131">
        <v>3.7023532687922183</v>
      </c>
      <c r="AP30" s="131">
        <v>3.7120565815700051</v>
      </c>
      <c r="AQ30" s="131">
        <v>0.28405821867419084</v>
      </c>
      <c r="AR30" s="191">
        <v>4.3001441401226508</v>
      </c>
      <c r="AS30" s="97">
        <v>99.48961533808513</v>
      </c>
      <c r="AT30" s="131">
        <v>7.4136877772634238E-2</v>
      </c>
      <c r="AU30" s="131">
        <v>0</v>
      </c>
      <c r="AV30" s="131">
        <v>0.34093965368129836</v>
      </c>
      <c r="AW30" s="131">
        <v>0</v>
      </c>
      <c r="AX30" s="191">
        <v>9.5308130460908413E-2</v>
      </c>
      <c r="AY30" s="97">
        <v>36.464807050826167</v>
      </c>
      <c r="AZ30" s="131">
        <v>50.188835128762122</v>
      </c>
      <c r="BA30" s="131">
        <v>3.8592901516538518</v>
      </c>
      <c r="BB30" s="131">
        <v>5.2496625808356958</v>
      </c>
      <c r="BC30" s="131">
        <v>0.41007047084732151</v>
      </c>
      <c r="BD30" s="191">
        <v>3.8273346170748663</v>
      </c>
      <c r="BE30" s="97">
        <v>33.811119937603706</v>
      </c>
      <c r="BF30" s="131">
        <v>56.98174917704528</v>
      </c>
      <c r="BG30" s="131">
        <v>5.2240603722783368</v>
      </c>
      <c r="BH30" s="131">
        <v>1.2713407871550404</v>
      </c>
      <c r="BI30" s="131">
        <v>0.72362756897678981</v>
      </c>
      <c r="BJ30" s="191">
        <v>1.988102156940831</v>
      </c>
      <c r="BK30" s="97">
        <v>38.850092091587754</v>
      </c>
      <c r="BL30" s="131">
        <v>54.345048549840314</v>
      </c>
      <c r="BM30" s="131">
        <v>1.8635913154842081</v>
      </c>
      <c r="BN30" s="131">
        <v>2.0591633769630744</v>
      </c>
      <c r="BO30" s="131">
        <v>0.32262224950861856</v>
      </c>
      <c r="BP30" s="191">
        <v>2.5594824166160066</v>
      </c>
      <c r="BQ30" s="97">
        <v>46.233918111074182</v>
      </c>
      <c r="BR30" s="131">
        <v>50.348256163815918</v>
      </c>
      <c r="BS30" s="131">
        <v>1.1611378088296376</v>
      </c>
      <c r="BT30" s="131">
        <v>1.5425886649019611</v>
      </c>
      <c r="BU30" s="131">
        <v>0</v>
      </c>
      <c r="BV30" s="191">
        <v>0.71409925137826857</v>
      </c>
      <c r="BW30" s="97">
        <v>75.557359144697941</v>
      </c>
      <c r="BX30" s="131">
        <v>21.345477500225449</v>
      </c>
      <c r="BY30" s="131">
        <v>1.8997805633210088</v>
      </c>
      <c r="BZ30" s="131">
        <v>9.3185439023657085E-2</v>
      </c>
      <c r="CA30" s="131">
        <v>0.31061813007885691</v>
      </c>
      <c r="CB30" s="191">
        <v>0.79357922265307967</v>
      </c>
    </row>
    <row r="31" spans="1:80" s="109" customFormat="1" ht="15.75" customHeight="1" x14ac:dyDescent="0.3">
      <c r="A31" s="173"/>
      <c r="B31" s="109" t="s">
        <v>66</v>
      </c>
      <c r="C31" s="192">
        <v>53.94877399218538</v>
      </c>
      <c r="D31" s="193">
        <v>35.3720635635812</v>
      </c>
      <c r="E31" s="193">
        <v>3.1818175398206145</v>
      </c>
      <c r="F31" s="193">
        <v>4.0718260714960728</v>
      </c>
      <c r="G31" s="193">
        <v>0.6911851450257972</v>
      </c>
      <c r="H31" s="194">
        <v>2.7343336878908966</v>
      </c>
      <c r="I31" s="192">
        <v>24.623293021465877</v>
      </c>
      <c r="J31" s="193">
        <v>56.216399178711875</v>
      </c>
      <c r="K31" s="193">
        <v>6.2509302875602621</v>
      </c>
      <c r="L31" s="193">
        <v>6.2961214640413239</v>
      </c>
      <c r="M31" s="193">
        <v>2.1519934650192134</v>
      </c>
      <c r="N31" s="194">
        <v>4.4612625832014547</v>
      </c>
      <c r="O31" s="192">
        <v>73.395216211229936</v>
      </c>
      <c r="P31" s="193">
        <v>18.518311249945484</v>
      </c>
      <c r="Q31" s="193">
        <v>1.4329424657753362</v>
      </c>
      <c r="R31" s="193">
        <v>4.8854862424253112</v>
      </c>
      <c r="S31" s="193">
        <v>0.47672021326694974</v>
      </c>
      <c r="T31" s="194">
        <v>1.2913236173569687</v>
      </c>
      <c r="U31" s="192">
        <v>68.921843822385284</v>
      </c>
      <c r="V31" s="193">
        <v>20.620785982155134</v>
      </c>
      <c r="W31" s="193">
        <v>1.5868954035367471</v>
      </c>
      <c r="X31" s="193">
        <v>5.5809032636125249</v>
      </c>
      <c r="Y31" s="193">
        <v>0.42055171160188992</v>
      </c>
      <c r="Z31" s="194">
        <v>2.8690198167083962</v>
      </c>
      <c r="AA31" s="192">
        <v>67.495839595234955</v>
      </c>
      <c r="AB31" s="193">
        <v>26.397408890329814</v>
      </c>
      <c r="AC31" s="193">
        <v>2.1261418487742123</v>
      </c>
      <c r="AD31" s="193">
        <v>2.3243100728643129</v>
      </c>
      <c r="AE31" s="193">
        <v>0.12881483563606286</v>
      </c>
      <c r="AF31" s="194">
        <v>1.5274847571606613</v>
      </c>
      <c r="AG31" s="192">
        <v>73.046606865162531</v>
      </c>
      <c r="AH31" s="193">
        <v>22.912988898707574</v>
      </c>
      <c r="AI31" s="193">
        <v>0.72156511530053846</v>
      </c>
      <c r="AJ31" s="193">
        <v>2.4685147861410126</v>
      </c>
      <c r="AK31" s="193">
        <v>8.041395943706741E-3</v>
      </c>
      <c r="AL31" s="194">
        <v>0.84228293874461813</v>
      </c>
      <c r="AM31" s="192">
        <v>51.190486885181528</v>
      </c>
      <c r="AN31" s="193">
        <v>36.743002840941529</v>
      </c>
      <c r="AO31" s="193">
        <v>3.8311396189177014</v>
      </c>
      <c r="AP31" s="193">
        <v>3.6570100716811784</v>
      </c>
      <c r="AQ31" s="193">
        <v>0.28663784756188188</v>
      </c>
      <c r="AR31" s="194">
        <v>4.2917227357161591</v>
      </c>
      <c r="AS31" s="192">
        <v>99.48961533808513</v>
      </c>
      <c r="AT31" s="193">
        <v>7.4136877772634238E-2</v>
      </c>
      <c r="AU31" s="193">
        <v>0</v>
      </c>
      <c r="AV31" s="193">
        <v>0.34093965368129836</v>
      </c>
      <c r="AW31" s="193">
        <v>0</v>
      </c>
      <c r="AX31" s="194">
        <v>9.5308130460908413E-2</v>
      </c>
      <c r="AY31" s="192">
        <v>36.236087899029577</v>
      </c>
      <c r="AZ31" s="193">
        <v>50.23132644553742</v>
      </c>
      <c r="BA31" s="193">
        <v>4.0586439729706676</v>
      </c>
      <c r="BB31" s="193">
        <v>5.2112680126978193</v>
      </c>
      <c r="BC31" s="193">
        <v>0.40871348118653938</v>
      </c>
      <c r="BD31" s="194">
        <v>3.8539601885780193</v>
      </c>
      <c r="BE31" s="192">
        <v>32.969951282249575</v>
      </c>
      <c r="BF31" s="193">
        <v>57.915786531868697</v>
      </c>
      <c r="BG31" s="193">
        <v>5.1785390463295728</v>
      </c>
      <c r="BH31" s="193">
        <v>1.2350603194759306</v>
      </c>
      <c r="BI31" s="193">
        <v>0.7334117484259326</v>
      </c>
      <c r="BJ31" s="194">
        <v>1.9672510716503211</v>
      </c>
      <c r="BK31" s="192">
        <v>38.202938721818022</v>
      </c>
      <c r="BL31" s="193">
        <v>54.938807834465806</v>
      </c>
      <c r="BM31" s="193">
        <v>1.9524989071834469</v>
      </c>
      <c r="BN31" s="193">
        <v>2.0459676274183316</v>
      </c>
      <c r="BO31" s="193">
        <v>0.33031052303553471</v>
      </c>
      <c r="BP31" s="194">
        <v>2.5294763860788327</v>
      </c>
      <c r="BQ31" s="192">
        <v>45.475275689272451</v>
      </c>
      <c r="BR31" s="193">
        <v>51.162980953094362</v>
      </c>
      <c r="BS31" s="193">
        <v>1.1420849481739648</v>
      </c>
      <c r="BT31" s="193">
        <v>1.5172766591625035</v>
      </c>
      <c r="BU31" s="193">
        <v>0</v>
      </c>
      <c r="BV31" s="194">
        <v>0.70238175029668359</v>
      </c>
      <c r="BW31" s="192">
        <v>75.164219570786358</v>
      </c>
      <c r="BX31" s="193">
        <v>21.754732214945722</v>
      </c>
      <c r="BY31" s="193">
        <v>1.8898956370921922</v>
      </c>
      <c r="BZ31" s="193">
        <v>9.2700577135851198E-2</v>
      </c>
      <c r="CA31" s="193">
        <v>0.3090019237861707</v>
      </c>
      <c r="CB31" s="194">
        <v>0.78945007625370067</v>
      </c>
    </row>
    <row r="32" spans="1:80" ht="15.75" customHeight="1" x14ac:dyDescent="0.3">
      <c r="A32" s="101"/>
      <c r="B32" s="156" t="s">
        <v>15</v>
      </c>
      <c r="C32" s="97">
        <v>53.10052080222043</v>
      </c>
      <c r="D32" s="131">
        <v>35.948936790173725</v>
      </c>
      <c r="E32" s="131">
        <v>3.261370534367662</v>
      </c>
      <c r="F32" s="131">
        <v>4.0185404795839821</v>
      </c>
      <c r="G32" s="131">
        <v>0.68727917814636341</v>
      </c>
      <c r="H32" s="191">
        <v>2.9833522155077916</v>
      </c>
      <c r="I32" s="97">
        <v>24.107053502349789</v>
      </c>
      <c r="J32" s="131">
        <v>56.316488624232811</v>
      </c>
      <c r="K32" s="131">
        <v>6.2357263782076497</v>
      </c>
      <c r="L32" s="131">
        <v>6.2112425990124214</v>
      </c>
      <c r="M32" s="131">
        <v>2.1291063965663635</v>
      </c>
      <c r="N32" s="191">
        <v>5.0003824996309687</v>
      </c>
      <c r="O32" s="97">
        <v>72.327433001547419</v>
      </c>
      <c r="P32" s="131">
        <v>18.840050809917727</v>
      </c>
      <c r="Q32" s="131">
        <v>1.4472808125183556</v>
      </c>
      <c r="R32" s="131">
        <v>4.814387693738726</v>
      </c>
      <c r="S32" s="131">
        <v>0.47419220307073578</v>
      </c>
      <c r="T32" s="191">
        <v>2.0966554792070391</v>
      </c>
      <c r="U32" s="97">
        <v>67.841144602797939</v>
      </c>
      <c r="V32" s="131">
        <v>21.832093303958651</v>
      </c>
      <c r="W32" s="131">
        <v>1.5951071608641672</v>
      </c>
      <c r="X32" s="131">
        <v>5.493394319175092</v>
      </c>
      <c r="Y32" s="131">
        <v>0.41422722322112276</v>
      </c>
      <c r="Z32" s="191">
        <v>2.8240333899829646</v>
      </c>
      <c r="AA32" s="97">
        <v>67.215041050268098</v>
      </c>
      <c r="AB32" s="131">
        <v>26.674641544389115</v>
      </c>
      <c r="AC32" s="131">
        <v>2.11668900771445</v>
      </c>
      <c r="AD32" s="131">
        <v>2.3130169526634234</v>
      </c>
      <c r="AE32" s="131">
        <v>0.12818896327958196</v>
      </c>
      <c r="AF32" s="191">
        <v>1.552422481685352</v>
      </c>
      <c r="AG32" s="97">
        <v>72.477528287547159</v>
      </c>
      <c r="AH32" s="131">
        <v>23.408638619795717</v>
      </c>
      <c r="AI32" s="131">
        <v>0.80678605053297081</v>
      </c>
      <c r="AJ32" s="131">
        <v>2.4492835180013062</v>
      </c>
      <c r="AK32" s="131">
        <v>7.9787484592844481E-3</v>
      </c>
      <c r="AL32" s="191">
        <v>0.84978477566354849</v>
      </c>
      <c r="AM32" s="97">
        <v>50.356147409114804</v>
      </c>
      <c r="AN32" s="131">
        <v>37.289913587925454</v>
      </c>
      <c r="AO32" s="131">
        <v>4.1313546567748789</v>
      </c>
      <c r="AP32" s="131">
        <v>3.599817004088663</v>
      </c>
      <c r="AQ32" s="131">
        <v>0.27818572168812922</v>
      </c>
      <c r="AR32" s="191">
        <v>4.344581620408035</v>
      </c>
      <c r="AS32" s="97">
        <v>99.48961533808513</v>
      </c>
      <c r="AT32" s="131">
        <v>7.4136877772634238E-2</v>
      </c>
      <c r="AU32" s="131">
        <v>0</v>
      </c>
      <c r="AV32" s="131">
        <v>0.34093965368129836</v>
      </c>
      <c r="AW32" s="131">
        <v>0</v>
      </c>
      <c r="AX32" s="191">
        <v>9.5308130460908413E-2</v>
      </c>
      <c r="AY32" s="97">
        <v>35.300033865974299</v>
      </c>
      <c r="AZ32" s="131">
        <v>51.012720036242229</v>
      </c>
      <c r="BA32" s="131">
        <v>4.3677181118371209</v>
      </c>
      <c r="BB32" s="131">
        <v>5.0980291069604808</v>
      </c>
      <c r="BC32" s="131">
        <v>0.39929554032821252</v>
      </c>
      <c r="BD32" s="191">
        <v>3.822203338657669</v>
      </c>
      <c r="BE32" s="97">
        <v>32.092196633773099</v>
      </c>
      <c r="BF32" s="131">
        <v>58.94493749898384</v>
      </c>
      <c r="BG32" s="131">
        <v>5.0812862549616078</v>
      </c>
      <c r="BH32" s="131">
        <v>1.2001021213917509</v>
      </c>
      <c r="BI32" s="131">
        <v>0.7652513069472866</v>
      </c>
      <c r="BJ32" s="191">
        <v>1.9162261839424211</v>
      </c>
      <c r="BK32" s="97">
        <v>37.451123958285656</v>
      </c>
      <c r="BL32" s="131">
        <v>55.755660105310021</v>
      </c>
      <c r="BM32" s="131">
        <v>1.9126212957535309</v>
      </c>
      <c r="BN32" s="131">
        <v>2.0041810216772458</v>
      </c>
      <c r="BO32" s="131">
        <v>0.3385639686873726</v>
      </c>
      <c r="BP32" s="191">
        <v>2.5378496502861552</v>
      </c>
      <c r="BQ32" s="97">
        <v>44.514496903117426</v>
      </c>
      <c r="BR32" s="131">
        <v>52.194784964573614</v>
      </c>
      <c r="BS32" s="131">
        <v>1.1179555509672239</v>
      </c>
      <c r="BT32" s="131">
        <v>1.4852203999149014</v>
      </c>
      <c r="BU32" s="131">
        <v>0</v>
      </c>
      <c r="BV32" s="191">
        <v>0.68754218142680923</v>
      </c>
      <c r="BW32" s="97">
        <v>74.794433588906855</v>
      </c>
      <c r="BX32" s="131">
        <v>22.095041609220484</v>
      </c>
      <c r="BY32" s="131">
        <v>1.925232347077436</v>
      </c>
      <c r="BZ32" s="131">
        <v>9.2244517402473733E-2</v>
      </c>
      <c r="CA32" s="131">
        <v>0.30748172467491247</v>
      </c>
      <c r="CB32" s="191">
        <v>0.78556621271784099</v>
      </c>
    </row>
    <row r="33" spans="1:80" ht="15.75" customHeight="1" x14ac:dyDescent="0.3">
      <c r="A33" s="101"/>
      <c r="B33" s="130" t="s">
        <v>16</v>
      </c>
      <c r="C33" s="192">
        <v>51.848062497997219</v>
      </c>
      <c r="D33" s="193">
        <v>36.719643667156397</v>
      </c>
      <c r="E33" s="193">
        <v>3.4912562198273727</v>
      </c>
      <c r="F33" s="193">
        <v>3.9275188194301771</v>
      </c>
      <c r="G33" s="193">
        <v>0.71234054912796907</v>
      </c>
      <c r="H33" s="194">
        <v>3.301178246460803</v>
      </c>
      <c r="I33" s="192">
        <v>23.421789075974779</v>
      </c>
      <c r="J33" s="193">
        <v>56.227226188939525</v>
      </c>
      <c r="K33" s="193">
        <v>6.5001537087154961</v>
      </c>
      <c r="L33" s="193">
        <v>6.032429064457852</v>
      </c>
      <c r="M33" s="193">
        <v>2.1769016049600531</v>
      </c>
      <c r="N33" s="194">
        <v>5.6415003569522861</v>
      </c>
      <c r="O33" s="192">
        <v>71.079666603686533</v>
      </c>
      <c r="P33" s="193">
        <v>19.299210312570782</v>
      </c>
      <c r="Q33" s="193">
        <v>1.5223686190344266</v>
      </c>
      <c r="R33" s="193">
        <v>4.7313095041429563</v>
      </c>
      <c r="S33" s="193">
        <v>0.5393819454452079</v>
      </c>
      <c r="T33" s="194">
        <v>2.8280630151200929</v>
      </c>
      <c r="U33" s="192">
        <v>66.608079906737075</v>
      </c>
      <c r="V33" s="193">
        <v>23.191878834981246</v>
      </c>
      <c r="W33" s="193">
        <v>1.6194355291374609</v>
      </c>
      <c r="X33" s="193">
        <v>5.3921849138613407</v>
      </c>
      <c r="Y33" s="193">
        <v>0.40686038869139263</v>
      </c>
      <c r="Z33" s="194">
        <v>2.7815604265914411</v>
      </c>
      <c r="AA33" s="192">
        <v>66.489648275171007</v>
      </c>
      <c r="AB33" s="193">
        <v>27.372781948682491</v>
      </c>
      <c r="AC33" s="193">
        <v>2.0989431161079017</v>
      </c>
      <c r="AD33" s="193">
        <v>2.2876096950120091</v>
      </c>
      <c r="AE33" s="193">
        <v>0.12774691897747453</v>
      </c>
      <c r="AF33" s="194">
        <v>1.623270046049146</v>
      </c>
      <c r="AG33" s="192">
        <v>71.661064941434645</v>
      </c>
      <c r="AH33" s="193">
        <v>24.23269213113705</v>
      </c>
      <c r="AI33" s="193">
        <v>0.80066330148573484</v>
      </c>
      <c r="AJ33" s="193">
        <v>2.4190224657964996</v>
      </c>
      <c r="AK33" s="193">
        <v>7.8801705192946929E-3</v>
      </c>
      <c r="AL33" s="194">
        <v>0.87867698962675234</v>
      </c>
      <c r="AM33" s="192">
        <v>48.822275027166086</v>
      </c>
      <c r="AN33" s="193">
        <v>37.840665929302297</v>
      </c>
      <c r="AO33" s="193">
        <v>4.8704823972934168</v>
      </c>
      <c r="AP33" s="193">
        <v>3.5071340401560049</v>
      </c>
      <c r="AQ33" s="193">
        <v>0.29014610338873426</v>
      </c>
      <c r="AR33" s="193">
        <v>4.6692965026934603</v>
      </c>
      <c r="AS33" s="192">
        <v>99.48961533808513</v>
      </c>
      <c r="AT33" s="193">
        <v>7.4136877772634238E-2</v>
      </c>
      <c r="AU33" s="193">
        <v>0</v>
      </c>
      <c r="AV33" s="193">
        <v>0.34093965368129836</v>
      </c>
      <c r="AW33" s="193">
        <v>0</v>
      </c>
      <c r="AX33" s="194">
        <v>9.5308130460908413E-2</v>
      </c>
      <c r="AY33" s="193">
        <v>34.062260096289698</v>
      </c>
      <c r="AZ33" s="193">
        <v>52.343029842951402</v>
      </c>
      <c r="BA33" s="193">
        <v>4.5327924292453536</v>
      </c>
      <c r="BB33" s="193">
        <v>4.9296092191517742</v>
      </c>
      <c r="BC33" s="193">
        <v>0.42852332042431401</v>
      </c>
      <c r="BD33" s="194">
        <v>3.7037850919375246</v>
      </c>
      <c r="BE33" s="192">
        <v>30.595348743864832</v>
      </c>
      <c r="BF33" s="193">
        <v>60.009445002615244</v>
      </c>
      <c r="BG33" s="193">
        <v>5.3434506495477558</v>
      </c>
      <c r="BH33" s="193">
        <v>1.1418878549140563</v>
      </c>
      <c r="BI33" s="193">
        <v>0.73471584088745401</v>
      </c>
      <c r="BJ33" s="194">
        <v>2.1751519081706583</v>
      </c>
      <c r="BK33" s="192">
        <v>36.168604449453454</v>
      </c>
      <c r="BL33" s="193">
        <v>57.166677355223491</v>
      </c>
      <c r="BM33" s="193">
        <v>1.878592713067619</v>
      </c>
      <c r="BN33" s="193">
        <v>1.9745093689581179</v>
      </c>
      <c r="BO33" s="193">
        <v>0.35976630959877953</v>
      </c>
      <c r="BP33" s="194">
        <v>2.4518498036985208</v>
      </c>
      <c r="BQ33" s="192">
        <v>43.364685671637055</v>
      </c>
      <c r="BR33" s="193">
        <v>53.461320483434619</v>
      </c>
      <c r="BS33" s="193">
        <v>1.0783008130762235</v>
      </c>
      <c r="BT33" s="193">
        <v>1.4325384971164965</v>
      </c>
      <c r="BU33" s="193">
        <v>0</v>
      </c>
      <c r="BV33" s="194">
        <v>0.66315453473558017</v>
      </c>
      <c r="BW33" s="192">
        <v>73.702986941903205</v>
      </c>
      <c r="BX33" s="193">
        <v>22.674759558996012</v>
      </c>
      <c r="BY33" s="193">
        <v>2.4542575650950034</v>
      </c>
      <c r="BZ33" s="193">
        <v>9.089842833685198E-2</v>
      </c>
      <c r="CA33" s="193">
        <v>0.30299476112283996</v>
      </c>
      <c r="CB33" s="194">
        <v>0.77410274454609429</v>
      </c>
    </row>
    <row r="34" spans="1:80" ht="15.75" customHeight="1" x14ac:dyDescent="0.3">
      <c r="A34" s="101"/>
      <c r="B34" s="148" t="s">
        <v>8</v>
      </c>
      <c r="C34" s="97">
        <v>50.420671633837109</v>
      </c>
      <c r="D34" s="131">
        <v>37.780311589712696</v>
      </c>
      <c r="E34" s="131">
        <v>3.6968831976774288</v>
      </c>
      <c r="F34" s="131">
        <v>3.8316441788515365</v>
      </c>
      <c r="G34" s="131">
        <v>0.70265316859315763</v>
      </c>
      <c r="H34" s="191">
        <v>3.5678362313279242</v>
      </c>
      <c r="I34" s="97">
        <v>22.856903479828198</v>
      </c>
      <c r="J34" s="131">
        <v>56.388133197762727</v>
      </c>
      <c r="K34" s="131">
        <v>6.6484932962957055</v>
      </c>
      <c r="L34" s="131">
        <v>5.9036186053507533</v>
      </c>
      <c r="M34" s="131">
        <v>2.1407305915589188</v>
      </c>
      <c r="N34" s="191">
        <v>6.0621208292037032</v>
      </c>
      <c r="O34" s="97">
        <v>70.052344963821341</v>
      </c>
      <c r="P34" s="131">
        <v>19.909905109443176</v>
      </c>
      <c r="Q34" s="131">
        <v>1.5366106215389652</v>
      </c>
      <c r="R34" s="131">
        <v>4.6721251239751602</v>
      </c>
      <c r="S34" s="131">
        <v>0.53155130874439682</v>
      </c>
      <c r="T34" s="191">
        <v>3.2974628724769479</v>
      </c>
      <c r="U34" s="97">
        <v>64.545384262853958</v>
      </c>
      <c r="V34" s="131">
        <v>25.40209267119058</v>
      </c>
      <c r="W34" s="131">
        <v>1.6277355686083703</v>
      </c>
      <c r="X34" s="131">
        <v>5.2251139870586067</v>
      </c>
      <c r="Y34" s="131">
        <v>0.39427795558862733</v>
      </c>
      <c r="Z34" s="191">
        <v>2.8053955546998499</v>
      </c>
      <c r="AA34" s="97">
        <v>65.353740379880094</v>
      </c>
      <c r="AB34" s="131">
        <v>28.371643217875796</v>
      </c>
      <c r="AC34" s="131">
        <v>2.1369428699260009</v>
      </c>
      <c r="AD34" s="131">
        <v>2.2492878455759522</v>
      </c>
      <c r="AE34" s="131">
        <v>0.12727366364423504</v>
      </c>
      <c r="AF34" s="191">
        <v>1.7611120230979445</v>
      </c>
      <c r="AG34" s="97">
        <v>70.215101984440125</v>
      </c>
      <c r="AH34" s="131">
        <v>25.625787819042685</v>
      </c>
      <c r="AI34" s="131">
        <v>0.8647192596680281</v>
      </c>
      <c r="AJ34" s="131">
        <v>2.360295893414933</v>
      </c>
      <c r="AK34" s="131">
        <v>7.6888637369378491E-3</v>
      </c>
      <c r="AL34" s="191">
        <v>0.92640617969726813</v>
      </c>
      <c r="AM34" s="97">
        <v>47.118650337923057</v>
      </c>
      <c r="AN34" s="131">
        <v>38.31104016203853</v>
      </c>
      <c r="AO34" s="131">
        <v>5.6871048235553685</v>
      </c>
      <c r="AP34" s="131">
        <v>3.3865288605230708</v>
      </c>
      <c r="AQ34" s="131">
        <v>0.30450884217121321</v>
      </c>
      <c r="AR34" s="131">
        <v>5.1921669737887459</v>
      </c>
      <c r="AS34" s="97">
        <v>99.48961533808513</v>
      </c>
      <c r="AT34" s="131">
        <v>7.4136877772634238E-2</v>
      </c>
      <c r="AU34" s="131">
        <v>0</v>
      </c>
      <c r="AV34" s="131">
        <v>0.34093965368129836</v>
      </c>
      <c r="AW34" s="131">
        <v>0</v>
      </c>
      <c r="AX34" s="191">
        <v>9.5308130460908413E-2</v>
      </c>
      <c r="AY34" s="131">
        <v>32.479377705305978</v>
      </c>
      <c r="AZ34" s="131">
        <v>54.01724445472518</v>
      </c>
      <c r="BA34" s="131">
        <v>4.6799027277656213</v>
      </c>
      <c r="BB34" s="131">
        <v>4.7238310729783395</v>
      </c>
      <c r="BC34" s="131">
        <v>0.40878067348289066</v>
      </c>
      <c r="BD34" s="191">
        <v>3.6908633657420267</v>
      </c>
      <c r="BE34" s="97">
        <v>29.026001248799972</v>
      </c>
      <c r="BF34" s="131">
        <v>61.316454174990518</v>
      </c>
      <c r="BG34" s="131">
        <v>5.5359314618727593</v>
      </c>
      <c r="BH34" s="131">
        <v>1.1688870519920216</v>
      </c>
      <c r="BI34" s="131">
        <v>0.72176606169641111</v>
      </c>
      <c r="BJ34" s="191">
        <v>2.2309600006483157</v>
      </c>
      <c r="BK34" s="97">
        <v>33.936069540010287</v>
      </c>
      <c r="BL34" s="131">
        <v>59.705409829273691</v>
      </c>
      <c r="BM34" s="131">
        <v>1.7960096565810941</v>
      </c>
      <c r="BN34" s="131">
        <v>1.8984020344319854</v>
      </c>
      <c r="BO34" s="131">
        <v>0.35501942956200128</v>
      </c>
      <c r="BP34" s="191">
        <v>2.309089510140923</v>
      </c>
      <c r="BQ34" s="97">
        <v>41.456391742350803</v>
      </c>
      <c r="BR34" s="131">
        <v>55.438159933346633</v>
      </c>
      <c r="BS34" s="131">
        <v>1.0837397227551533</v>
      </c>
      <c r="BT34" s="131">
        <v>1.3694986185799329</v>
      </c>
      <c r="BU34" s="131">
        <v>0</v>
      </c>
      <c r="BV34" s="191">
        <v>0.65220998296745303</v>
      </c>
      <c r="BW34" s="97">
        <v>70.573426049846049</v>
      </c>
      <c r="BX34" s="131">
        <v>25.5060880307724</v>
      </c>
      <c r="BY34" s="131">
        <v>2.584020440060272</v>
      </c>
      <c r="BZ34" s="131">
        <v>8.7038718191092102E-2</v>
      </c>
      <c r="CA34" s="131">
        <v>0.40711658508736631</v>
      </c>
      <c r="CB34" s="191">
        <v>0.84231017604282676</v>
      </c>
    </row>
    <row r="35" spans="1:80" ht="15.75" customHeight="1" x14ac:dyDescent="0.3">
      <c r="A35" s="101"/>
      <c r="B35" s="130" t="s">
        <v>9</v>
      </c>
      <c r="C35" s="192">
        <v>48.814264253282253</v>
      </c>
      <c r="D35" s="193">
        <v>39.141760962600031</v>
      </c>
      <c r="E35" s="193">
        <v>3.9233189829395831</v>
      </c>
      <c r="F35" s="193">
        <v>3.7204455453003251</v>
      </c>
      <c r="G35" s="193">
        <v>0.69691408163020596</v>
      </c>
      <c r="H35" s="194">
        <v>3.7032961742474937</v>
      </c>
      <c r="I35" s="192">
        <v>22.136794224970615</v>
      </c>
      <c r="J35" s="193">
        <v>56.862277195295441</v>
      </c>
      <c r="K35" s="193">
        <v>6.9162455360306989</v>
      </c>
      <c r="L35" s="193">
        <v>5.70151199371095</v>
      </c>
      <c r="M35" s="193">
        <v>2.1258777962201778</v>
      </c>
      <c r="N35" s="194">
        <v>6.2572932537721062</v>
      </c>
      <c r="O35" s="192">
        <v>69.394107351225188</v>
      </c>
      <c r="P35" s="193">
        <v>20.594482883297452</v>
      </c>
      <c r="Q35" s="193">
        <v>1.5717290909987345</v>
      </c>
      <c r="R35" s="193">
        <v>4.6274631452659944</v>
      </c>
      <c r="S35" s="193">
        <v>0.53195514980196235</v>
      </c>
      <c r="T35" s="194">
        <v>3.2802623794106536</v>
      </c>
      <c r="U35" s="192">
        <v>61.640544229511249</v>
      </c>
      <c r="V35" s="193">
        <v>28.617557271021525</v>
      </c>
      <c r="W35" s="193">
        <v>1.6629093407310451</v>
      </c>
      <c r="X35" s="193">
        <v>4.9785462868946659</v>
      </c>
      <c r="Y35" s="193">
        <v>0.37689419675440261</v>
      </c>
      <c r="Z35" s="194">
        <v>2.7235486750870845</v>
      </c>
      <c r="AA35" s="192">
        <v>63.810076195667001</v>
      </c>
      <c r="AB35" s="193">
        <v>29.804449963697415</v>
      </c>
      <c r="AC35" s="193">
        <v>2.1597921142824723</v>
      </c>
      <c r="AD35" s="193">
        <v>2.1962816494401056</v>
      </c>
      <c r="AE35" s="193">
        <v>0.13981527993707454</v>
      </c>
      <c r="AF35" s="194">
        <v>1.8895847969759405</v>
      </c>
      <c r="AG35" s="192">
        <v>69.173715427103915</v>
      </c>
      <c r="AH35" s="193">
        <v>26.792402669504778</v>
      </c>
      <c r="AI35" s="193">
        <v>0.8497061010289344</v>
      </c>
      <c r="AJ35" s="193">
        <v>2.2578778482678437</v>
      </c>
      <c r="AK35" s="193">
        <v>8.8262739388310866E-3</v>
      </c>
      <c r="AL35" s="194">
        <v>0.9174716801556827</v>
      </c>
      <c r="AM35" s="192">
        <v>44.969848545906302</v>
      </c>
      <c r="AN35" s="193">
        <v>39.479702144802907</v>
      </c>
      <c r="AO35" s="193">
        <v>6.3284234481417316</v>
      </c>
      <c r="AP35" s="193">
        <v>3.2446727421906103</v>
      </c>
      <c r="AQ35" s="193">
        <v>0.30476393905093374</v>
      </c>
      <c r="AR35" s="193">
        <v>5.6725891799074555</v>
      </c>
      <c r="AS35" s="192">
        <v>99.48961533808513</v>
      </c>
      <c r="AT35" s="193">
        <v>7.4136877772634238E-2</v>
      </c>
      <c r="AU35" s="193">
        <v>0</v>
      </c>
      <c r="AV35" s="193">
        <v>0.34093965368129836</v>
      </c>
      <c r="AW35" s="193">
        <v>0</v>
      </c>
      <c r="AX35" s="194">
        <v>9.5308130460908413E-2</v>
      </c>
      <c r="AY35" s="193">
        <v>30.74042560842717</v>
      </c>
      <c r="AZ35" s="193">
        <v>55.457565341020398</v>
      </c>
      <c r="BA35" s="193">
        <v>5.0041194333868697</v>
      </c>
      <c r="BB35" s="193">
        <v>4.7088045423576022</v>
      </c>
      <c r="BC35" s="193">
        <v>0.39025129506894529</v>
      </c>
      <c r="BD35" s="194">
        <v>3.6988337797390676</v>
      </c>
      <c r="BE35" s="192">
        <v>27.703201205961253</v>
      </c>
      <c r="BF35" s="193">
        <v>62.441613914614265</v>
      </c>
      <c r="BG35" s="193">
        <v>5.6982906422103703</v>
      </c>
      <c r="BH35" s="193">
        <v>1.1153603649390553</v>
      </c>
      <c r="BI35" s="193">
        <v>0.70785333872950251</v>
      </c>
      <c r="BJ35" s="194">
        <v>2.3336805335455799</v>
      </c>
      <c r="BK35" s="192">
        <v>31.891052084163757</v>
      </c>
      <c r="BL35" s="193">
        <v>61.882350687305291</v>
      </c>
      <c r="BM35" s="193">
        <v>1.9193130840457293</v>
      </c>
      <c r="BN35" s="193">
        <v>1.7965479927150523</v>
      </c>
      <c r="BO35" s="193">
        <v>0.33362564588404764</v>
      </c>
      <c r="BP35" s="194">
        <v>2.177110505886112</v>
      </c>
      <c r="BQ35" s="192">
        <v>39.400597001801316</v>
      </c>
      <c r="BR35" s="193">
        <v>57.477170662954379</v>
      </c>
      <c r="BS35" s="193">
        <v>1.0576680404500214</v>
      </c>
      <c r="BT35" s="193">
        <v>1.3015078924551262</v>
      </c>
      <c r="BU35" s="193">
        <v>0</v>
      </c>
      <c r="BV35" s="194">
        <v>0.76305640233913763</v>
      </c>
      <c r="BW35" s="192">
        <v>69.003477306002921</v>
      </c>
      <c r="BX35" s="193">
        <v>26.791727672035137</v>
      </c>
      <c r="BY35" s="193">
        <v>2.8980600292825769</v>
      </c>
      <c r="BZ35" s="193">
        <v>8.5102489019033667E-2</v>
      </c>
      <c r="CA35" s="193">
        <v>0.39806002928257689</v>
      </c>
      <c r="CB35" s="194">
        <v>0.82357247437774528</v>
      </c>
    </row>
    <row r="36" spans="1:80" ht="15.75" customHeight="1" x14ac:dyDescent="0.3">
      <c r="A36" s="101"/>
      <c r="B36" s="148" t="s">
        <v>10</v>
      </c>
      <c r="C36" s="97">
        <v>47.595628243509516</v>
      </c>
      <c r="D36" s="131">
        <v>40.379551545422601</v>
      </c>
      <c r="E36" s="131">
        <v>4.1125586087995281</v>
      </c>
      <c r="F36" s="131">
        <v>3.5391064853054877</v>
      </c>
      <c r="G36" s="131">
        <v>0.67528421108285164</v>
      </c>
      <c r="H36" s="191">
        <v>3.6978709058799781</v>
      </c>
      <c r="I36" s="97">
        <v>21.606891355676034</v>
      </c>
      <c r="J36" s="131">
        <v>57.310803434647475</v>
      </c>
      <c r="K36" s="131">
        <v>7.0867139239272054</v>
      </c>
      <c r="L36" s="131">
        <v>5.5022340011483655</v>
      </c>
      <c r="M36" s="131">
        <v>2.0797915619819012</v>
      </c>
      <c r="N36" s="191">
        <v>6.413565722618972</v>
      </c>
      <c r="O36" s="97">
        <v>68.829417719698981</v>
      </c>
      <c r="P36" s="131">
        <v>21.237223468941117</v>
      </c>
      <c r="Q36" s="131">
        <v>1.6975466519777307</v>
      </c>
      <c r="R36" s="131">
        <v>4.5170701776172688</v>
      </c>
      <c r="S36" s="131">
        <v>0.51882326460397232</v>
      </c>
      <c r="T36" s="191">
        <v>3.199918717160926</v>
      </c>
      <c r="U36" s="97">
        <v>59.578415508291293</v>
      </c>
      <c r="V36" s="131">
        <v>31.168534773797084</v>
      </c>
      <c r="W36" s="131">
        <v>1.746532825013682</v>
      </c>
      <c r="X36" s="131">
        <v>4.5733809506047507</v>
      </c>
      <c r="Y36" s="131">
        <v>0.34608580090832447</v>
      </c>
      <c r="Z36" s="191">
        <v>2.5870501413848448</v>
      </c>
      <c r="AA36" s="97">
        <v>62.074166311517956</v>
      </c>
      <c r="AB36" s="131">
        <v>31.761011795381595</v>
      </c>
      <c r="AC36" s="131">
        <v>2.1020153042065464</v>
      </c>
      <c r="AD36" s="131">
        <v>2.0781777515286213</v>
      </c>
      <c r="AE36" s="131">
        <v>0.13305300655799343</v>
      </c>
      <c r="AF36" s="191">
        <v>1.8515758308072967</v>
      </c>
      <c r="AG36" s="97">
        <v>68.926618099652771</v>
      </c>
      <c r="AH36" s="131">
        <v>27.436040049768231</v>
      </c>
      <c r="AI36" s="131">
        <v>0.78856595175415289</v>
      </c>
      <c r="AJ36" s="131">
        <v>2.0135364271570655</v>
      </c>
      <c r="AK36" s="131">
        <v>1.3118530825702456E-2</v>
      </c>
      <c r="AL36" s="191">
        <v>0.82212094084206411</v>
      </c>
      <c r="AM36" s="97">
        <v>43.991875017068708</v>
      </c>
      <c r="AN36" s="131">
        <v>39.923209247394745</v>
      </c>
      <c r="AO36" s="131">
        <v>6.9154596600908045</v>
      </c>
      <c r="AP36" s="131">
        <v>3.0152924730013697</v>
      </c>
      <c r="AQ36" s="131">
        <v>0.31416946970468829</v>
      </c>
      <c r="AR36" s="131">
        <v>5.8399941327396672</v>
      </c>
      <c r="AS36" s="97">
        <v>99.489622992385435</v>
      </c>
      <c r="AT36" s="131">
        <v>7.4135765932940884E-2</v>
      </c>
      <c r="AU36" s="131">
        <v>0</v>
      </c>
      <c r="AV36" s="131">
        <v>0.34093454056821088</v>
      </c>
      <c r="AW36" s="131">
        <v>0</v>
      </c>
      <c r="AX36" s="191">
        <v>9.5306701113386225E-2</v>
      </c>
      <c r="AY36" s="131">
        <v>29.458849805102421</v>
      </c>
      <c r="AZ36" s="131">
        <v>56.966846881931829</v>
      </c>
      <c r="BA36" s="131">
        <v>5.2390208082355514</v>
      </c>
      <c r="BB36" s="131">
        <v>4.5907033322033231</v>
      </c>
      <c r="BC36" s="131">
        <v>0.36037578929711356</v>
      </c>
      <c r="BD36" s="191">
        <v>3.3842033832297753</v>
      </c>
      <c r="BE36" s="97">
        <v>26.679089872299748</v>
      </c>
      <c r="BF36" s="131">
        <v>63.359176405956383</v>
      </c>
      <c r="BG36" s="131">
        <v>5.8855612048359793</v>
      </c>
      <c r="BH36" s="131">
        <v>1.0432526888302542</v>
      </c>
      <c r="BI36" s="131">
        <v>0.73880540652575244</v>
      </c>
      <c r="BJ36" s="191">
        <v>2.2941144215518876</v>
      </c>
      <c r="BK36" s="97">
        <v>30.306900789740848</v>
      </c>
      <c r="BL36" s="131">
        <v>63.60092150065708</v>
      </c>
      <c r="BM36" s="131">
        <v>1.8492070857499407</v>
      </c>
      <c r="BN36" s="131">
        <v>1.9093466535518027</v>
      </c>
      <c r="BO36" s="131">
        <v>0.30955516747543849</v>
      </c>
      <c r="BP36" s="191">
        <v>2.0240688028248668</v>
      </c>
      <c r="BQ36" s="97">
        <v>36.72850662992365</v>
      </c>
      <c r="BR36" s="131">
        <v>60.317369689141486</v>
      </c>
      <c r="BS36" s="131">
        <v>1.0599408018222267</v>
      </c>
      <c r="BT36" s="131">
        <v>1.1641123525150148</v>
      </c>
      <c r="BU36" s="131">
        <v>0</v>
      </c>
      <c r="BV36" s="191">
        <v>0.73007052659758687</v>
      </c>
      <c r="BW36" s="97">
        <v>64.917574267915413</v>
      </c>
      <c r="BX36" s="131">
        <v>30.710683561469676</v>
      </c>
      <c r="BY36" s="131">
        <v>2.8495147688265456</v>
      </c>
      <c r="BZ36" s="131">
        <v>7.8823579268551089E-2</v>
      </c>
      <c r="CA36" s="131">
        <v>0.36869093528838409</v>
      </c>
      <c r="CB36" s="191">
        <v>1.0747128872314278</v>
      </c>
    </row>
    <row r="37" spans="1:80" ht="15.75" customHeight="1" x14ac:dyDescent="0.3">
      <c r="A37" s="101"/>
      <c r="B37" s="130" t="s">
        <v>11</v>
      </c>
      <c r="C37" s="192">
        <v>47.797682762324669</v>
      </c>
      <c r="D37" s="193">
        <v>40.766265607758626</v>
      </c>
      <c r="E37" s="193">
        <v>3.9941127448544318</v>
      </c>
      <c r="F37" s="193">
        <v>3.2077150030691253</v>
      </c>
      <c r="G37" s="193">
        <v>0.64406212788901307</v>
      </c>
      <c r="H37" s="194">
        <v>3.5901617541039719</v>
      </c>
      <c r="I37" s="192">
        <v>21.378484089990447</v>
      </c>
      <c r="J37" s="193">
        <v>58.006068281528741</v>
      </c>
      <c r="K37" s="193">
        <v>7.0869251201981438</v>
      </c>
      <c r="L37" s="193">
        <v>5.1470553867607363</v>
      </c>
      <c r="M37" s="193">
        <v>1.9797765947350776</v>
      </c>
      <c r="N37" s="194">
        <v>6.4016905267868252</v>
      </c>
      <c r="O37" s="192">
        <v>68.969902746717139</v>
      </c>
      <c r="P37" s="193">
        <v>21.927336788342053</v>
      </c>
      <c r="Q37" s="193">
        <v>1.5939562137445542</v>
      </c>
      <c r="R37" s="193">
        <v>4.1171937129160696</v>
      </c>
      <c r="S37" s="193">
        <v>0.47188355403179943</v>
      </c>
      <c r="T37" s="194">
        <v>2.9197269842483577</v>
      </c>
      <c r="U37" s="192">
        <v>59.79880531525599</v>
      </c>
      <c r="V37" s="193">
        <v>31.290218950183384</v>
      </c>
      <c r="W37" s="193">
        <v>1.5909038744414734</v>
      </c>
      <c r="X37" s="193">
        <v>3.8366485594613793</v>
      </c>
      <c r="Y37" s="193">
        <v>0.37718271939597015</v>
      </c>
      <c r="Z37" s="194">
        <v>3.106240581261789</v>
      </c>
      <c r="AA37" s="192">
        <v>62.153497800102329</v>
      </c>
      <c r="AB37" s="193">
        <v>32.267157965513178</v>
      </c>
      <c r="AC37" s="193">
        <v>1.9910174201046755</v>
      </c>
      <c r="AD37" s="193">
        <v>1.7964392647629699</v>
      </c>
      <c r="AE37" s="193">
        <v>0.12751451261984786</v>
      </c>
      <c r="AF37" s="194">
        <v>1.664373036896996</v>
      </c>
      <c r="AG37" s="192">
        <v>69.530786969115368</v>
      </c>
      <c r="AH37" s="193">
        <v>27.311702210636284</v>
      </c>
      <c r="AI37" s="193">
        <v>0.67705146973381403</v>
      </c>
      <c r="AJ37" s="193">
        <v>1.7042189550269253</v>
      </c>
      <c r="AK37" s="193">
        <v>1.1009937596204306E-2</v>
      </c>
      <c r="AL37" s="194">
        <v>0.76523045789136601</v>
      </c>
      <c r="AM37" s="192">
        <v>43.755453250993241</v>
      </c>
      <c r="AN37" s="193">
        <v>40.398589425365536</v>
      </c>
      <c r="AO37" s="193">
        <v>6.9000286792952323</v>
      </c>
      <c r="AP37" s="193">
        <v>2.8673201933792245</v>
      </c>
      <c r="AQ37" s="193">
        <v>0.32375370272896814</v>
      </c>
      <c r="AR37" s="193">
        <v>5.754854748237757</v>
      </c>
      <c r="AS37" s="192">
        <v>99.446752413353025</v>
      </c>
      <c r="AT37" s="193">
        <v>0.13377540585069117</v>
      </c>
      <c r="AU37" s="193">
        <v>0</v>
      </c>
      <c r="AV37" s="193">
        <v>0.32782905781592303</v>
      </c>
      <c r="AW37" s="193">
        <v>0</v>
      </c>
      <c r="AX37" s="194">
        <v>9.16431229803603E-2</v>
      </c>
      <c r="AY37" s="193">
        <v>30.581648153587071</v>
      </c>
      <c r="AZ37" s="193">
        <v>56.818601033639901</v>
      </c>
      <c r="BA37" s="193">
        <v>4.9813904467902912</v>
      </c>
      <c r="BB37" s="193">
        <v>4.1698402743709133</v>
      </c>
      <c r="BC37" s="193">
        <v>0.43960368917755788</v>
      </c>
      <c r="BD37" s="194">
        <v>3.0089164024343149</v>
      </c>
      <c r="BE37" s="192">
        <v>27.03785378783472</v>
      </c>
      <c r="BF37" s="193">
        <v>63.33329214980715</v>
      </c>
      <c r="BG37" s="193">
        <v>5.65813434407751</v>
      </c>
      <c r="BH37" s="193">
        <v>1.0160076348230618</v>
      </c>
      <c r="BI37" s="193">
        <v>0.73511087459043734</v>
      </c>
      <c r="BJ37" s="194">
        <v>2.2196012088670733</v>
      </c>
      <c r="BK37" s="192">
        <v>32.216930034465925</v>
      </c>
      <c r="BL37" s="193">
        <v>62.210812437558047</v>
      </c>
      <c r="BM37" s="193">
        <v>1.8359526575461631</v>
      </c>
      <c r="BN37" s="193">
        <v>1.6583426773231054</v>
      </c>
      <c r="BO37" s="193">
        <v>0.32339306029236964</v>
      </c>
      <c r="BP37" s="194">
        <v>1.7545691328144004</v>
      </c>
      <c r="BQ37" s="192">
        <v>35.685489740897232</v>
      </c>
      <c r="BR37" s="193">
        <v>61.6489810125886</v>
      </c>
      <c r="BS37" s="193">
        <v>1.0449643278383907</v>
      </c>
      <c r="BT37" s="193">
        <v>0.99595432979879051</v>
      </c>
      <c r="BU37" s="193">
        <v>0</v>
      </c>
      <c r="BV37" s="194">
        <v>0.62461058887696252</v>
      </c>
      <c r="BW37" s="192">
        <v>61.621643190614897</v>
      </c>
      <c r="BX37" s="193">
        <v>33.973105622281636</v>
      </c>
      <c r="BY37" s="193">
        <v>2.9623718127768246</v>
      </c>
      <c r="BZ37" s="193">
        <v>7.4218905869677984E-2</v>
      </c>
      <c r="CA37" s="193">
        <v>0.34715294680978415</v>
      </c>
      <c r="CB37" s="194">
        <v>1.0215075216471807</v>
      </c>
    </row>
    <row r="38" spans="1:80" ht="15.75" customHeight="1" x14ac:dyDescent="0.3">
      <c r="A38" s="101"/>
      <c r="B38" s="148" t="s">
        <v>12</v>
      </c>
      <c r="C38" s="97">
        <v>48.032496542243081</v>
      </c>
      <c r="D38" s="131">
        <v>41.022203435995543</v>
      </c>
      <c r="E38" s="131">
        <v>3.9310422799112685</v>
      </c>
      <c r="F38" s="131">
        <v>2.9524317248131027</v>
      </c>
      <c r="G38" s="131">
        <v>0.59957026050200479</v>
      </c>
      <c r="H38" s="191">
        <v>3.4622557565349559</v>
      </c>
      <c r="I38" s="97">
        <v>21.258001844950901</v>
      </c>
      <c r="J38" s="131">
        <v>58.355441496806115</v>
      </c>
      <c r="K38" s="131">
        <v>7.3250346345357746</v>
      </c>
      <c r="L38" s="131">
        <v>4.7795727928107699</v>
      </c>
      <c r="M38" s="131">
        <v>1.8480497411853722</v>
      </c>
      <c r="N38" s="191">
        <v>6.4338994897110604</v>
      </c>
      <c r="O38" s="97">
        <v>69.506660135224109</v>
      </c>
      <c r="P38" s="131">
        <v>22.190114606190484</v>
      </c>
      <c r="Q38" s="131">
        <v>1.4423744628150432</v>
      </c>
      <c r="R38" s="131">
        <v>3.8044733221396241</v>
      </c>
      <c r="S38" s="131">
        <v>0.42524170993139732</v>
      </c>
      <c r="T38" s="191">
        <v>2.6311357636993318</v>
      </c>
      <c r="U38" s="97">
        <v>59.827111458846893</v>
      </c>
      <c r="V38" s="131">
        <v>31.791067944289519</v>
      </c>
      <c r="W38" s="131">
        <v>1.6231184357624495</v>
      </c>
      <c r="X38" s="131">
        <v>3.2628167896646318</v>
      </c>
      <c r="Y38" s="131">
        <v>0.39602977934283767</v>
      </c>
      <c r="Z38" s="191">
        <v>3.0998555920936957</v>
      </c>
      <c r="AA38" s="97">
        <v>62.244542881242296</v>
      </c>
      <c r="AB38" s="131">
        <v>32.426588062481848</v>
      </c>
      <c r="AC38" s="131">
        <v>1.8022479261241633</v>
      </c>
      <c r="AD38" s="131">
        <v>1.5347608274068301</v>
      </c>
      <c r="AE38" s="131">
        <v>0.12188869056711658</v>
      </c>
      <c r="AF38" s="191">
        <v>1.8699716121777836</v>
      </c>
      <c r="AG38" s="97">
        <v>70.049736818501415</v>
      </c>
      <c r="AH38" s="131">
        <v>26.869465174418476</v>
      </c>
      <c r="AI38" s="131">
        <v>0.71639978096840384</v>
      </c>
      <c r="AJ38" s="131">
        <v>1.5803646724124847</v>
      </c>
      <c r="AK38" s="131">
        <v>9.4116910665702509E-3</v>
      </c>
      <c r="AL38" s="191">
        <v>0.77462186263262656</v>
      </c>
      <c r="AM38" s="97">
        <v>44.61381768962891</v>
      </c>
      <c r="AN38" s="131">
        <v>40.280551370711592</v>
      </c>
      <c r="AO38" s="131">
        <v>6.673243256567682</v>
      </c>
      <c r="AP38" s="131">
        <v>2.696892729341366</v>
      </c>
      <c r="AQ38" s="131">
        <v>0.32429428377702652</v>
      </c>
      <c r="AR38" s="131">
        <v>5.4112006699734243</v>
      </c>
      <c r="AS38" s="97">
        <v>99.40376516705463</v>
      </c>
      <c r="AT38" s="131">
        <v>0.20113700701342219</v>
      </c>
      <c r="AU38" s="131">
        <v>0</v>
      </c>
      <c r="AV38" s="131">
        <v>0.30877982843703761</v>
      </c>
      <c r="AW38" s="131">
        <v>0</v>
      </c>
      <c r="AX38" s="191">
        <v>8.6317997494899143E-2</v>
      </c>
      <c r="AY38" s="131">
        <v>30.443829897321095</v>
      </c>
      <c r="AZ38" s="131">
        <v>57.488630382615057</v>
      </c>
      <c r="BA38" s="131">
        <v>4.7948294780413399</v>
      </c>
      <c r="BB38" s="131">
        <v>4.1771412259025675</v>
      </c>
      <c r="BC38" s="131">
        <v>0.38481850540157186</v>
      </c>
      <c r="BD38" s="191">
        <v>2.710750510718396</v>
      </c>
      <c r="BE38" s="97">
        <v>26.844511788730159</v>
      </c>
      <c r="BF38" s="131">
        <v>63.772740351663771</v>
      </c>
      <c r="BG38" s="131">
        <v>5.7323802698577984</v>
      </c>
      <c r="BH38" s="131">
        <v>0.93492727066663894</v>
      </c>
      <c r="BI38" s="131">
        <v>0.70136289442798272</v>
      </c>
      <c r="BJ38" s="191">
        <v>2.0140774246536552</v>
      </c>
      <c r="BK38" s="97">
        <v>32.830735613600773</v>
      </c>
      <c r="BL38" s="131">
        <v>61.960331093484221</v>
      </c>
      <c r="BM38" s="131">
        <v>1.6939911416494047</v>
      </c>
      <c r="BN38" s="131">
        <v>1.6466469627309319</v>
      </c>
      <c r="BO38" s="131">
        <v>0.32919887502315642</v>
      </c>
      <c r="BP38" s="191">
        <v>1.539096313511511</v>
      </c>
      <c r="BQ38" s="97">
        <v>35.098006389676165</v>
      </c>
      <c r="BR38" s="131">
        <v>62.298558907416869</v>
      </c>
      <c r="BS38" s="131">
        <v>1.1892457248183936</v>
      </c>
      <c r="BT38" s="131">
        <v>0.87365328000017883</v>
      </c>
      <c r="BU38" s="131">
        <v>0</v>
      </c>
      <c r="BV38" s="191">
        <v>0.54053569808836022</v>
      </c>
      <c r="BW38" s="97">
        <v>57.075036839698313</v>
      </c>
      <c r="BX38" s="131">
        <v>38.433060634876846</v>
      </c>
      <c r="BY38" s="131">
        <v>3.1301040222417411</v>
      </c>
      <c r="BZ38" s="131">
        <v>6.750920085076112E-2</v>
      </c>
      <c r="CA38" s="131">
        <v>0.31576884268904393</v>
      </c>
      <c r="CB38" s="191">
        <v>0.97852045964329015</v>
      </c>
    </row>
    <row r="39" spans="1:80" ht="15.75" customHeight="1" x14ac:dyDescent="0.3">
      <c r="A39" s="101"/>
      <c r="B39" s="130" t="s">
        <v>13</v>
      </c>
      <c r="C39" s="192">
        <v>49.456768179593219</v>
      </c>
      <c r="D39" s="193">
        <v>40.070720684753304</v>
      </c>
      <c r="E39" s="193">
        <v>3.8350620049730075</v>
      </c>
      <c r="F39" s="193">
        <v>2.7589140823262719</v>
      </c>
      <c r="G39" s="193">
        <v>0.5738864840657707</v>
      </c>
      <c r="H39" s="194">
        <v>3.3046485642883239</v>
      </c>
      <c r="I39" s="192">
        <v>21.71484006201765</v>
      </c>
      <c r="J39" s="193">
        <v>58.045998487917572</v>
      </c>
      <c r="K39" s="193">
        <v>7.3719957879471441</v>
      </c>
      <c r="L39" s="193">
        <v>4.5068181883800627</v>
      </c>
      <c r="M39" s="193">
        <v>1.820207377196922</v>
      </c>
      <c r="N39" s="194">
        <v>6.5401400965406502</v>
      </c>
      <c r="O39" s="192">
        <v>71.060737396715794</v>
      </c>
      <c r="P39" s="193">
        <v>21.531454392970545</v>
      </c>
      <c r="Q39" s="193">
        <v>1.2868575752204581</v>
      </c>
      <c r="R39" s="193">
        <v>3.424014046009638</v>
      </c>
      <c r="S39" s="193">
        <v>0.37427512857843698</v>
      </c>
      <c r="T39" s="194">
        <v>2.3226614605051163</v>
      </c>
      <c r="U39" s="192">
        <v>61.63475748816608</v>
      </c>
      <c r="V39" s="193">
        <v>30.076906125723347</v>
      </c>
      <c r="W39" s="193">
        <v>1.7437964359318998</v>
      </c>
      <c r="X39" s="193">
        <v>3.0021710861470154</v>
      </c>
      <c r="Y39" s="193">
        <v>0.37333320526476904</v>
      </c>
      <c r="Z39" s="194">
        <v>3.1690356587668749</v>
      </c>
      <c r="AA39" s="192">
        <v>63.973261515172851</v>
      </c>
      <c r="AB39" s="193">
        <v>31.079407752792008</v>
      </c>
      <c r="AC39" s="193">
        <v>1.592760835227889</v>
      </c>
      <c r="AD39" s="193">
        <v>1.3127957229479925</v>
      </c>
      <c r="AE39" s="193">
        <v>0.10599459387449915</v>
      </c>
      <c r="AF39" s="194">
        <v>1.9357795799847195</v>
      </c>
      <c r="AG39" s="192">
        <v>70.931096762851382</v>
      </c>
      <c r="AH39" s="193">
        <v>26.126424495403171</v>
      </c>
      <c r="AI39" s="193">
        <v>0.83931813179662262</v>
      </c>
      <c r="AJ39" s="193">
        <v>1.3686323845248702</v>
      </c>
      <c r="AK39" s="193">
        <v>1.321446229344302E-2</v>
      </c>
      <c r="AL39" s="194">
        <v>0.72131376313047091</v>
      </c>
      <c r="AM39" s="192">
        <v>46.475169832378207</v>
      </c>
      <c r="AN39" s="193">
        <v>39.083493423917616</v>
      </c>
      <c r="AO39" s="193">
        <v>6.653653133396233</v>
      </c>
      <c r="AP39" s="193">
        <v>2.576887622266288</v>
      </c>
      <c r="AQ39" s="193">
        <v>0.34065598067479824</v>
      </c>
      <c r="AR39" s="193">
        <v>4.870140007366877</v>
      </c>
      <c r="AS39" s="192">
        <v>99.38683412681614</v>
      </c>
      <c r="AT39" s="193">
        <v>0.25763152153342805</v>
      </c>
      <c r="AU39" s="193">
        <v>0</v>
      </c>
      <c r="AV39" s="193">
        <v>0.27785988406072254</v>
      </c>
      <c r="AW39" s="193">
        <v>0</v>
      </c>
      <c r="AX39" s="194">
        <v>7.7674467589701993E-2</v>
      </c>
      <c r="AY39" s="193">
        <v>30.969706431517025</v>
      </c>
      <c r="AZ39" s="193">
        <v>57.398393188768871</v>
      </c>
      <c r="BA39" s="193">
        <v>4.4673338468226893</v>
      </c>
      <c r="BB39" s="193">
        <v>4.3869571609148315</v>
      </c>
      <c r="BC39" s="193">
        <v>0.3501392201160502</v>
      </c>
      <c r="BD39" s="194">
        <v>2.427470151860498</v>
      </c>
      <c r="BE39" s="192">
        <v>27.939087961063457</v>
      </c>
      <c r="BF39" s="193">
        <v>63.093654721183356</v>
      </c>
      <c r="BG39" s="193">
        <v>5.586524103108836</v>
      </c>
      <c r="BH39" s="193">
        <v>0.84904532549523548</v>
      </c>
      <c r="BI39" s="193">
        <v>0.68515725864698063</v>
      </c>
      <c r="BJ39" s="194">
        <v>1.8465306305021567</v>
      </c>
      <c r="BK39" s="192">
        <v>34.650843276691006</v>
      </c>
      <c r="BL39" s="193">
        <v>60.462924293680821</v>
      </c>
      <c r="BM39" s="193">
        <v>1.5301776148369295</v>
      </c>
      <c r="BN39" s="193">
        <v>1.5674787537048251</v>
      </c>
      <c r="BO39" s="193">
        <v>0.28887158003650271</v>
      </c>
      <c r="BP39" s="194">
        <v>1.4997044810499378</v>
      </c>
      <c r="BQ39" s="192">
        <v>36.871415879846097</v>
      </c>
      <c r="BR39" s="193">
        <v>60.473281518543565</v>
      </c>
      <c r="BS39" s="193">
        <v>1.1554843274338042</v>
      </c>
      <c r="BT39" s="193">
        <v>0.92992417762185853</v>
      </c>
      <c r="BU39" s="193">
        <v>0.10791092348062736</v>
      </c>
      <c r="BV39" s="194">
        <v>0.46198317307404718</v>
      </c>
      <c r="BW39" s="192">
        <v>54.537272236334175</v>
      </c>
      <c r="BX39" s="193">
        <v>41.042462547752869</v>
      </c>
      <c r="BY39" s="193">
        <v>2.9215086238507646</v>
      </c>
      <c r="BZ39" s="193">
        <v>6.2003720223213397E-2</v>
      </c>
      <c r="CA39" s="193">
        <v>0.29001740104406265</v>
      </c>
      <c r="CB39" s="194">
        <v>1.1467354707949142</v>
      </c>
    </row>
    <row r="40" spans="1:80" ht="15.75" customHeight="1" x14ac:dyDescent="0.3">
      <c r="A40" s="148" t="s">
        <v>124</v>
      </c>
      <c r="B40" s="148" t="s">
        <v>54</v>
      </c>
      <c r="C40" s="97">
        <v>62.469879063991243</v>
      </c>
      <c r="D40" s="131">
        <v>31.700972944137394</v>
      </c>
      <c r="E40" s="131">
        <v>2.2759128741098267</v>
      </c>
      <c r="F40" s="131">
        <v>0.96204506780668775</v>
      </c>
      <c r="G40" s="131">
        <v>0.2164095714889199</v>
      </c>
      <c r="H40" s="191">
        <v>2.3747804784658659</v>
      </c>
      <c r="I40" s="97">
        <v>25.464523850838315</v>
      </c>
      <c r="J40" s="131">
        <v>53.839224852936553</v>
      </c>
      <c r="K40" s="131">
        <v>7.5170693082910436</v>
      </c>
      <c r="L40" s="131">
        <v>0.77036191256794995</v>
      </c>
      <c r="M40" s="131">
        <v>1.482804548499103</v>
      </c>
      <c r="N40" s="191">
        <v>10.926015526867022</v>
      </c>
      <c r="O40" s="97">
        <v>82.688711165892087</v>
      </c>
      <c r="P40" s="131">
        <v>16.671387254958113</v>
      </c>
      <c r="Q40" s="131">
        <v>0.37772763736465265</v>
      </c>
      <c r="R40" s="131">
        <v>0.21937861223532343</v>
      </c>
      <c r="S40" s="131">
        <v>0</v>
      </c>
      <c r="T40" s="191">
        <v>4.2795329549786196E-2</v>
      </c>
      <c r="U40" s="97">
        <v>74.08522146244259</v>
      </c>
      <c r="V40" s="131">
        <v>20.934390567021907</v>
      </c>
      <c r="W40" s="131">
        <v>0.87249455582262214</v>
      </c>
      <c r="X40" s="131">
        <v>1.1029277827152628</v>
      </c>
      <c r="Y40" s="131">
        <v>0.14914123061707643</v>
      </c>
      <c r="Z40" s="191">
        <v>2.8558244013805378</v>
      </c>
      <c r="AA40" s="97">
        <v>73.958691531203783</v>
      </c>
      <c r="AB40" s="131">
        <v>23.438697260839366</v>
      </c>
      <c r="AC40" s="131">
        <v>0.75187693771179109</v>
      </c>
      <c r="AD40" s="131">
        <v>0.12189248761218813</v>
      </c>
      <c r="AE40" s="131">
        <v>3.1827482876515788E-2</v>
      </c>
      <c r="AF40" s="191">
        <v>1.6970142997563524</v>
      </c>
      <c r="AG40" s="97">
        <v>79.446947182396627</v>
      </c>
      <c r="AH40" s="131">
        <v>19.686214340370466</v>
      </c>
      <c r="AI40" s="131">
        <v>0.13882574474090575</v>
      </c>
      <c r="AJ40" s="131">
        <v>0.62152483303078965</v>
      </c>
      <c r="AK40" s="131">
        <v>0</v>
      </c>
      <c r="AL40" s="191">
        <v>0.10648789946121139</v>
      </c>
      <c r="AM40" s="97">
        <v>52.92054478675491</v>
      </c>
      <c r="AN40" s="131">
        <v>37.292220711358702</v>
      </c>
      <c r="AO40" s="131">
        <v>4.3960526060134288</v>
      </c>
      <c r="AP40" s="131">
        <v>2.5172994559966058</v>
      </c>
      <c r="AQ40" s="131">
        <v>0.16555418244823428</v>
      </c>
      <c r="AR40" s="131">
        <v>2.7083282574281187</v>
      </c>
      <c r="AS40" s="97">
        <v>99.540058099890715</v>
      </c>
      <c r="AT40" s="131">
        <v>0.41884229896223507</v>
      </c>
      <c r="AU40" s="131">
        <v>0</v>
      </c>
      <c r="AV40" s="131">
        <v>0</v>
      </c>
      <c r="AW40" s="131">
        <v>4.1099601147052509E-2</v>
      </c>
      <c r="AX40" s="191">
        <v>0</v>
      </c>
      <c r="AY40" s="131">
        <v>41.17012548074382</v>
      </c>
      <c r="AZ40" s="131">
        <v>53.335684165929479</v>
      </c>
      <c r="BA40" s="131">
        <v>2.1992703177349515</v>
      </c>
      <c r="BB40" s="131">
        <v>2.9095452178606664</v>
      </c>
      <c r="BC40" s="131">
        <v>0</v>
      </c>
      <c r="BD40" s="191">
        <v>0.3853748177310537</v>
      </c>
      <c r="BE40" s="97">
        <v>37.621071687566491</v>
      </c>
      <c r="BF40" s="131">
        <v>56.286940825865315</v>
      </c>
      <c r="BG40" s="131">
        <v>4.7113811885642898</v>
      </c>
      <c r="BH40" s="131">
        <v>0.47798768771471062</v>
      </c>
      <c r="BI40" s="131">
        <v>7.781194916285987E-2</v>
      </c>
      <c r="BJ40" s="191">
        <v>0.82480666112631462</v>
      </c>
      <c r="BK40" s="97">
        <v>46.90696126025378</v>
      </c>
      <c r="BL40" s="131">
        <v>50.715389239749442</v>
      </c>
      <c r="BM40" s="131">
        <v>1.5612253472873128</v>
      </c>
      <c r="BN40" s="131">
        <v>0.61112224384126601</v>
      </c>
      <c r="BO40" s="131">
        <v>0</v>
      </c>
      <c r="BP40" s="191">
        <v>0.20530190886818919</v>
      </c>
      <c r="BQ40" s="97">
        <v>54.996079511106053</v>
      </c>
      <c r="BR40" s="131">
        <v>44.252742845855948</v>
      </c>
      <c r="BS40" s="131">
        <v>0.25797415470069607</v>
      </c>
      <c r="BT40" s="131">
        <v>4.1898354591760383E-2</v>
      </c>
      <c r="BU40" s="131">
        <v>8.3796709183520772E-3</v>
      </c>
      <c r="BV40" s="191">
        <v>0.4429254628271812</v>
      </c>
      <c r="BW40" s="97">
        <v>29.938800489596083</v>
      </c>
      <c r="BX40" s="131">
        <v>50.428396572827417</v>
      </c>
      <c r="BY40" s="131">
        <v>5.434516523867809</v>
      </c>
      <c r="BZ40" s="131">
        <v>4.5532435740514074</v>
      </c>
      <c r="CA40" s="131">
        <v>0</v>
      </c>
      <c r="CB40" s="191">
        <v>9.6450428396572825</v>
      </c>
    </row>
    <row r="41" spans="1:80" ht="15.75" customHeight="1" x14ac:dyDescent="0.3">
      <c r="A41" s="130"/>
      <c r="B41" s="130" t="s">
        <v>48</v>
      </c>
      <c r="C41" s="192">
        <v>59.236929950770389</v>
      </c>
      <c r="D41" s="193">
        <v>34.167131083667044</v>
      </c>
      <c r="E41" s="193">
        <v>2.4195917469240116</v>
      </c>
      <c r="F41" s="193">
        <v>1.327993127259568</v>
      </c>
      <c r="G41" s="193">
        <v>0.28060605948439959</v>
      </c>
      <c r="H41" s="194">
        <v>2.5677480318945731</v>
      </c>
      <c r="I41" s="192">
        <v>27.80449978083309</v>
      </c>
      <c r="J41" s="193">
        <v>54.34410541425887</v>
      </c>
      <c r="K41" s="193">
        <v>6.1265234330124425</v>
      </c>
      <c r="L41" s="193">
        <v>0.91737798315147479</v>
      </c>
      <c r="M41" s="193">
        <v>1.8046971983443689</v>
      </c>
      <c r="N41" s="194">
        <v>9.0027961903997049</v>
      </c>
      <c r="O41" s="192">
        <v>79.093898153171239</v>
      </c>
      <c r="P41" s="193">
        <v>19.740930962096375</v>
      </c>
      <c r="Q41" s="193">
        <v>0.25543670542727082</v>
      </c>
      <c r="R41" s="193">
        <v>0.87609382739344766</v>
      </c>
      <c r="S41" s="193">
        <v>0</v>
      </c>
      <c r="T41" s="194">
        <v>3.3640351911691867E-2</v>
      </c>
      <c r="U41" s="192">
        <v>71.670072648012322</v>
      </c>
      <c r="V41" s="193">
        <v>23.170669502437864</v>
      </c>
      <c r="W41" s="193">
        <v>1.0091222222399601</v>
      </c>
      <c r="X41" s="193">
        <v>1.1561712193398017</v>
      </c>
      <c r="Y41" s="193">
        <v>9.290905927182927E-2</v>
      </c>
      <c r="Z41" s="194">
        <v>2.9010553486982213</v>
      </c>
      <c r="AA41" s="192">
        <v>71.87191468784134</v>
      </c>
      <c r="AB41" s="193">
        <v>25.249126019440737</v>
      </c>
      <c r="AC41" s="193">
        <v>0.83174014461998602</v>
      </c>
      <c r="AD41" s="193">
        <v>0.2211572294652599</v>
      </c>
      <c r="AE41" s="193">
        <v>2.1585551506027079E-2</v>
      </c>
      <c r="AF41" s="194">
        <v>1.8044763671266495</v>
      </c>
      <c r="AG41" s="192">
        <v>77.202330888963729</v>
      </c>
      <c r="AH41" s="193">
        <v>21.587977598360418</v>
      </c>
      <c r="AI41" s="193">
        <v>0.52951425683951292</v>
      </c>
      <c r="AJ41" s="193">
        <v>0.47255085248039941</v>
      </c>
      <c r="AK41" s="193">
        <v>0</v>
      </c>
      <c r="AL41" s="194">
        <v>0.20762640335593288</v>
      </c>
      <c r="AM41" s="192">
        <v>50.409429877910419</v>
      </c>
      <c r="AN41" s="193">
        <v>37.641706475623863</v>
      </c>
      <c r="AO41" s="193">
        <v>5.0060686483522634</v>
      </c>
      <c r="AP41" s="193">
        <v>2.4581175911644246</v>
      </c>
      <c r="AQ41" s="193">
        <v>0.22396910860480293</v>
      </c>
      <c r="AR41" s="193">
        <v>4.2607082983441975</v>
      </c>
      <c r="AS41" s="192">
        <v>99.631125183133264</v>
      </c>
      <c r="AT41" s="193">
        <v>0.34942312470214598</v>
      </c>
      <c r="AU41" s="193">
        <v>0</v>
      </c>
      <c r="AV41" s="193">
        <v>0</v>
      </c>
      <c r="AW41" s="193">
        <v>1.9451692164593148E-2</v>
      </c>
      <c r="AX41" s="194">
        <v>0</v>
      </c>
      <c r="AY41" s="193">
        <v>35.489655097010939</v>
      </c>
      <c r="AZ41" s="193">
        <v>57.581797714159322</v>
      </c>
      <c r="BA41" s="193">
        <v>2.8557239161306147</v>
      </c>
      <c r="BB41" s="193">
        <v>3.5692133534003552</v>
      </c>
      <c r="BC41" s="193">
        <v>1.034469273108719E-2</v>
      </c>
      <c r="BD41" s="194">
        <v>0.49326522656769406</v>
      </c>
      <c r="BE41" s="192">
        <v>34.295334189914435</v>
      </c>
      <c r="BF41" s="193">
        <v>57.756871597761176</v>
      </c>
      <c r="BG41" s="193">
        <v>4.9807543210316219</v>
      </c>
      <c r="BH41" s="193">
        <v>1.8261615212442153</v>
      </c>
      <c r="BI41" s="193">
        <v>0.13982910384995764</v>
      </c>
      <c r="BJ41" s="194">
        <v>1.0010492661985606</v>
      </c>
      <c r="BK41" s="192">
        <v>42.375178078935896</v>
      </c>
      <c r="BL41" s="193">
        <v>55.421570630852344</v>
      </c>
      <c r="BM41" s="193">
        <v>0.93898142471844326</v>
      </c>
      <c r="BN41" s="193">
        <v>1.0423143087783677</v>
      </c>
      <c r="BO41" s="193">
        <v>2.1376718651947894E-2</v>
      </c>
      <c r="BP41" s="194">
        <v>0.20057883806302293</v>
      </c>
      <c r="BQ41" s="192">
        <v>50.782968958560623</v>
      </c>
      <c r="BR41" s="193">
        <v>45.168097957591527</v>
      </c>
      <c r="BS41" s="193">
        <v>0.40386479024324834</v>
      </c>
      <c r="BT41" s="193">
        <v>3.3090857007027448</v>
      </c>
      <c r="BU41" s="193">
        <v>1.6761036380591329E-2</v>
      </c>
      <c r="BV41" s="194">
        <v>0.31922155652126211</v>
      </c>
      <c r="BW41" s="192">
        <v>22.071790599180726</v>
      </c>
      <c r="BX41" s="193">
        <v>64.181073387488723</v>
      </c>
      <c r="BY41" s="193">
        <v>5.304450461709366</v>
      </c>
      <c r="BZ41" s="193">
        <v>2.6383392348816219</v>
      </c>
      <c r="CA41" s="193">
        <v>0</v>
      </c>
      <c r="CB41" s="194">
        <v>5.8043463167395686</v>
      </c>
    </row>
    <row r="42" spans="1:80" ht="15.75" customHeight="1" x14ac:dyDescent="0.3">
      <c r="A42" s="130"/>
      <c r="B42" s="148" t="s">
        <v>49</v>
      </c>
      <c r="C42" s="97">
        <v>58.233867332654341</v>
      </c>
      <c r="D42" s="131">
        <v>35.297217125202316</v>
      </c>
      <c r="E42" s="131">
        <v>2.5459012268372478</v>
      </c>
      <c r="F42" s="131">
        <v>1.341610662419686</v>
      </c>
      <c r="G42" s="131">
        <v>0.26083995757135209</v>
      </c>
      <c r="H42" s="191">
        <v>2.3205636953150215</v>
      </c>
      <c r="I42" s="97">
        <v>27.261561443466764</v>
      </c>
      <c r="J42" s="131">
        <v>57.113660445580507</v>
      </c>
      <c r="K42" s="131">
        <v>5.4397465412618038</v>
      </c>
      <c r="L42" s="131">
        <v>1.1589776991266447</v>
      </c>
      <c r="M42" s="131">
        <v>1.4491061626439892</v>
      </c>
      <c r="N42" s="191">
        <v>7.5769477079202803</v>
      </c>
      <c r="O42" s="97">
        <v>77.527321731351307</v>
      </c>
      <c r="P42" s="131">
        <v>20.823692968795335</v>
      </c>
      <c r="Q42" s="131">
        <v>0.19017797462652727</v>
      </c>
      <c r="R42" s="131">
        <v>1.3667129906040969</v>
      </c>
      <c r="S42" s="131">
        <v>0</v>
      </c>
      <c r="T42" s="191">
        <v>9.2094334622676133E-2</v>
      </c>
      <c r="U42" s="97">
        <v>73.262710562850401</v>
      </c>
      <c r="V42" s="131">
        <v>21.839031378863059</v>
      </c>
      <c r="W42" s="131">
        <v>0.99925797743132949</v>
      </c>
      <c r="X42" s="131">
        <v>1.0812335416974583</v>
      </c>
      <c r="Y42" s="131">
        <v>7.9744124575676381E-2</v>
      </c>
      <c r="Z42" s="191">
        <v>2.7380224145821193</v>
      </c>
      <c r="AA42" s="97">
        <v>70.238648350639437</v>
      </c>
      <c r="AB42" s="131">
        <v>26.263464915798444</v>
      </c>
      <c r="AC42" s="131">
        <v>1.018581258903938</v>
      </c>
      <c r="AD42" s="131">
        <v>0.22109461031575495</v>
      </c>
      <c r="AE42" s="131">
        <v>2.5924540660585391E-2</v>
      </c>
      <c r="AF42" s="191">
        <v>2.2322863236818535</v>
      </c>
      <c r="AG42" s="97">
        <v>75.473816417904587</v>
      </c>
      <c r="AH42" s="131">
        <v>22.956751892157662</v>
      </c>
      <c r="AI42" s="131">
        <v>0.69414211110115542</v>
      </c>
      <c r="AJ42" s="131">
        <v>0.46745424394883595</v>
      </c>
      <c r="AK42" s="131">
        <v>3.1485751653419547E-2</v>
      </c>
      <c r="AL42" s="191">
        <v>0.3763495832343563</v>
      </c>
      <c r="AM42" s="97">
        <v>49.730632970262612</v>
      </c>
      <c r="AN42" s="131">
        <v>38.161617286700825</v>
      </c>
      <c r="AO42" s="131">
        <v>6.0495783064254525</v>
      </c>
      <c r="AP42" s="131">
        <v>2.4601999820223317</v>
      </c>
      <c r="AQ42" s="131">
        <v>0.2569341040281703</v>
      </c>
      <c r="AR42" s="131">
        <v>3.3410373505606308</v>
      </c>
      <c r="AS42" s="97">
        <v>99.722808464707697</v>
      </c>
      <c r="AT42" s="131">
        <v>0.26512542176551374</v>
      </c>
      <c r="AU42" s="131">
        <v>0</v>
      </c>
      <c r="AV42" s="131">
        <v>0</v>
      </c>
      <c r="AW42" s="131">
        <v>1.2066113526771416E-2</v>
      </c>
      <c r="AX42" s="191">
        <v>0</v>
      </c>
      <c r="AY42" s="131">
        <v>34.536051105844855</v>
      </c>
      <c r="AZ42" s="131">
        <v>58.76299573916787</v>
      </c>
      <c r="BA42" s="131">
        <v>2.7077306542529858</v>
      </c>
      <c r="BB42" s="131">
        <v>3.2199659616243457</v>
      </c>
      <c r="BC42" s="131">
        <v>0.19795367401214273</v>
      </c>
      <c r="BD42" s="191">
        <v>0.57530286509778983</v>
      </c>
      <c r="BE42" s="97">
        <v>35.460187029551278</v>
      </c>
      <c r="BF42" s="131">
        <v>57.42150904807751</v>
      </c>
      <c r="BG42" s="131">
        <v>4.6216855008569251</v>
      </c>
      <c r="BH42" s="131">
        <v>1.4053203501509199</v>
      </c>
      <c r="BI42" s="131">
        <v>0.12226956215542653</v>
      </c>
      <c r="BJ42" s="191">
        <v>0.96902850920789829</v>
      </c>
      <c r="BK42" s="97">
        <v>40.292056570485393</v>
      </c>
      <c r="BL42" s="131">
        <v>57.341157438535852</v>
      </c>
      <c r="BM42" s="131">
        <v>1.2141682564666323</v>
      </c>
      <c r="BN42" s="131">
        <v>0.7908826484835253</v>
      </c>
      <c r="BO42" s="131">
        <v>5.162019609550085E-2</v>
      </c>
      <c r="BP42" s="191">
        <v>0.31011488993305553</v>
      </c>
      <c r="BQ42" s="97">
        <v>48.714588977356996</v>
      </c>
      <c r="BR42" s="131">
        <v>48.093820150664676</v>
      </c>
      <c r="BS42" s="131">
        <v>0.76980056307436229</v>
      </c>
      <c r="BT42" s="131">
        <v>2.1363182963754297</v>
      </c>
      <c r="BU42" s="131">
        <v>1.0820786139950142E-2</v>
      </c>
      <c r="BV42" s="191">
        <v>0.27465122638855272</v>
      </c>
      <c r="BW42" s="97">
        <v>17.128091546696197</v>
      </c>
      <c r="BX42" s="131">
        <v>72.697489848652637</v>
      </c>
      <c r="BY42" s="131">
        <v>4.5634920634920633</v>
      </c>
      <c r="BZ42" s="131">
        <v>1.7534145441122184</v>
      </c>
      <c r="CA42" s="131">
        <v>0</v>
      </c>
      <c r="CB42" s="191">
        <v>3.8575119970468807</v>
      </c>
    </row>
    <row r="43" spans="1:80" ht="15.75" customHeight="1" x14ac:dyDescent="0.3">
      <c r="A43" s="130"/>
      <c r="B43" s="130" t="s">
        <v>14</v>
      </c>
      <c r="C43" s="192">
        <v>57.569161630917229</v>
      </c>
      <c r="D43" s="193">
        <v>35.845856535192006</v>
      </c>
      <c r="E43" s="193">
        <v>2.6954971601207816</v>
      </c>
      <c r="F43" s="193">
        <v>1.2805289874203769</v>
      </c>
      <c r="G43" s="193">
        <v>0.27979771627921457</v>
      </c>
      <c r="H43" s="194">
        <v>2.3291579700704257</v>
      </c>
      <c r="I43" s="192">
        <v>28.616077937637584</v>
      </c>
      <c r="J43" s="193">
        <v>55.69266027793288</v>
      </c>
      <c r="K43" s="193">
        <v>5.4954587597060103</v>
      </c>
      <c r="L43" s="193">
        <v>1.1538838153385607</v>
      </c>
      <c r="M43" s="193">
        <v>1.4844552506780606</v>
      </c>
      <c r="N43" s="194">
        <v>7.5574639587069488</v>
      </c>
      <c r="O43" s="192">
        <v>77.422324317793226</v>
      </c>
      <c r="P43" s="193">
        <v>21.155622074096875</v>
      </c>
      <c r="Q43" s="193">
        <v>0.18543499127029781</v>
      </c>
      <c r="R43" s="193">
        <v>1.1649793124310863</v>
      </c>
      <c r="S43" s="193">
        <v>0</v>
      </c>
      <c r="T43" s="194">
        <v>7.1639304408557439E-2</v>
      </c>
      <c r="U43" s="192">
        <v>71.364318811410925</v>
      </c>
      <c r="V43" s="193">
        <v>23.493994025699262</v>
      </c>
      <c r="W43" s="193">
        <v>1.1989278134736185</v>
      </c>
      <c r="X43" s="193">
        <v>1.1227159956738819</v>
      </c>
      <c r="Y43" s="193">
        <v>6.5198382131362309E-2</v>
      </c>
      <c r="Z43" s="194">
        <v>2.7548449716109351</v>
      </c>
      <c r="AA43" s="192">
        <v>70.12173347081044</v>
      </c>
      <c r="AB43" s="193">
        <v>26.426437920029173</v>
      </c>
      <c r="AC43" s="193">
        <v>1.081078986509779</v>
      </c>
      <c r="AD43" s="193">
        <v>0.21257877634435332</v>
      </c>
      <c r="AE43" s="193">
        <v>2.6366702400114309E-2</v>
      </c>
      <c r="AF43" s="194">
        <v>2.1318041439061095</v>
      </c>
      <c r="AG43" s="192">
        <v>74.712574018754779</v>
      </c>
      <c r="AH43" s="193">
        <v>23.849724429846681</v>
      </c>
      <c r="AI43" s="193">
        <v>0.68331582456981155</v>
      </c>
      <c r="AJ43" s="193">
        <v>0.42417930808068322</v>
      </c>
      <c r="AK43" s="193">
        <v>2.620272750037134E-2</v>
      </c>
      <c r="AL43" s="194">
        <v>0.30400369124765692</v>
      </c>
      <c r="AM43" s="192">
        <v>49.324007513978998</v>
      </c>
      <c r="AN43" s="193">
        <v>37.704278664753318</v>
      </c>
      <c r="AO43" s="193">
        <v>6.5597304758858606</v>
      </c>
      <c r="AP43" s="193">
        <v>2.5966620870488852</v>
      </c>
      <c r="AQ43" s="193">
        <v>0.25728811928465184</v>
      </c>
      <c r="AR43" s="193">
        <v>3.5580331390482591</v>
      </c>
      <c r="AS43" s="192">
        <v>99.681295795630334</v>
      </c>
      <c r="AT43" s="193">
        <v>0.30985577870570058</v>
      </c>
      <c r="AU43" s="193">
        <v>0</v>
      </c>
      <c r="AV43" s="193">
        <v>0</v>
      </c>
      <c r="AW43" s="193">
        <v>8.8484256639737944E-3</v>
      </c>
      <c r="AX43" s="194">
        <v>0</v>
      </c>
      <c r="AY43" s="193">
        <v>34.028971504289359</v>
      </c>
      <c r="AZ43" s="193">
        <v>59.630773635972332</v>
      </c>
      <c r="BA43" s="193">
        <v>2.8317686237420472</v>
      </c>
      <c r="BB43" s="193">
        <v>2.8047463929913103</v>
      </c>
      <c r="BC43" s="193">
        <v>0.22691552854415203</v>
      </c>
      <c r="BD43" s="194">
        <v>0.47682431446081008</v>
      </c>
      <c r="BE43" s="192">
        <v>34.784279259457854</v>
      </c>
      <c r="BF43" s="193">
        <v>58.010535682184603</v>
      </c>
      <c r="BG43" s="193">
        <v>4.8533099914201365</v>
      </c>
      <c r="BH43" s="193">
        <v>1.1909220158617038</v>
      </c>
      <c r="BI43" s="193">
        <v>0.24996301373799196</v>
      </c>
      <c r="BJ43" s="194">
        <v>0.91099003733772066</v>
      </c>
      <c r="BK43" s="192">
        <v>38.760502928497267</v>
      </c>
      <c r="BL43" s="193">
        <v>58.923533158884958</v>
      </c>
      <c r="BM43" s="193">
        <v>1.0531883517321163</v>
      </c>
      <c r="BN43" s="193">
        <v>0.81373706956342584</v>
      </c>
      <c r="BO43" s="193">
        <v>3.972898101224058E-2</v>
      </c>
      <c r="BP43" s="194">
        <v>0.40930951031000734</v>
      </c>
      <c r="BQ43" s="192">
        <v>47.042362824372532</v>
      </c>
      <c r="BR43" s="193">
        <v>50.270850956364491</v>
      </c>
      <c r="BS43" s="193">
        <v>0.79700877991565511</v>
      </c>
      <c r="BT43" s="193">
        <v>1.6670172082662316</v>
      </c>
      <c r="BU43" s="193">
        <v>8.4437027632401091E-3</v>
      </c>
      <c r="BV43" s="194">
        <v>0.21431652831787623</v>
      </c>
      <c r="BW43" s="192">
        <v>19.02422611036339</v>
      </c>
      <c r="BX43" s="193">
        <v>72.765814266487212</v>
      </c>
      <c r="BY43" s="193">
        <v>4.1184387617765816</v>
      </c>
      <c r="BZ43" s="193">
        <v>1.2786002691790039</v>
      </c>
      <c r="CA43" s="193">
        <v>0</v>
      </c>
      <c r="CB43" s="194">
        <v>2.8129205921938087</v>
      </c>
    </row>
    <row r="44" spans="1:80" ht="15.75" customHeight="1" x14ac:dyDescent="0.3">
      <c r="A44" s="130"/>
      <c r="B44" s="148" t="s">
        <v>15</v>
      </c>
      <c r="C44" s="97">
        <v>57.435950842521699</v>
      </c>
      <c r="D44" s="131">
        <v>35.886867049793075</v>
      </c>
      <c r="E44" s="131">
        <v>2.819634290743755</v>
      </c>
      <c r="F44" s="131">
        <v>1.2423164861745752</v>
      </c>
      <c r="G44" s="131">
        <v>0.29613131246321578</v>
      </c>
      <c r="H44" s="191">
        <v>2.3191000183036681</v>
      </c>
      <c r="I44" s="97">
        <v>28.876729118097543</v>
      </c>
      <c r="J44" s="131">
        <v>55.368541713257599</v>
      </c>
      <c r="K44" s="131">
        <v>5.8148633445540963</v>
      </c>
      <c r="L44" s="131">
        <v>1.1982430078828625</v>
      </c>
      <c r="M44" s="131">
        <v>1.4754577224652869</v>
      </c>
      <c r="N44" s="191">
        <v>7.266165093742595</v>
      </c>
      <c r="O44" s="97">
        <v>77.609981927320916</v>
      </c>
      <c r="P44" s="131">
        <v>20.763309178881407</v>
      </c>
      <c r="Q44" s="131">
        <v>0.20982991704113635</v>
      </c>
      <c r="R44" s="131">
        <v>1.350573257910791</v>
      </c>
      <c r="S44" s="131">
        <v>2.6892854539370395E-3</v>
      </c>
      <c r="T44" s="191">
        <v>6.3616433391821658E-2</v>
      </c>
      <c r="U44" s="97">
        <v>72.113179727337879</v>
      </c>
      <c r="V44" s="131">
        <v>22.85034747313313</v>
      </c>
      <c r="W44" s="131">
        <v>1.2053366927990221</v>
      </c>
      <c r="X44" s="131">
        <v>1.1236498876517429</v>
      </c>
      <c r="Y44" s="131">
        <v>7.6393529378015176E-2</v>
      </c>
      <c r="Z44" s="191">
        <v>2.6310926897002047</v>
      </c>
      <c r="AA44" s="97">
        <v>69.827508779133694</v>
      </c>
      <c r="AB44" s="131">
        <v>26.983889523764244</v>
      </c>
      <c r="AC44" s="131">
        <v>0.97123147905994311</v>
      </c>
      <c r="AD44" s="131">
        <v>0.19244041978695103</v>
      </c>
      <c r="AE44" s="131">
        <v>2.7759584635029165E-2</v>
      </c>
      <c r="AF44" s="191">
        <v>1.9971702136201319</v>
      </c>
      <c r="AG44" s="97">
        <v>74.013350396434191</v>
      </c>
      <c r="AH44" s="131">
        <v>24.31264559094069</v>
      </c>
      <c r="AI44" s="131">
        <v>0.79058706862583228</v>
      </c>
      <c r="AJ44" s="131">
        <v>0.57367603771707343</v>
      </c>
      <c r="AK44" s="131">
        <v>2.3050067707018673E-2</v>
      </c>
      <c r="AL44" s="191">
        <v>0.28669083857519995</v>
      </c>
      <c r="AM44" s="97">
        <v>49.612237468318668</v>
      </c>
      <c r="AN44" s="131">
        <v>37.348983467550276</v>
      </c>
      <c r="AO44" s="131">
        <v>6.7540934974648055</v>
      </c>
      <c r="AP44" s="131">
        <v>2.2903660651663582</v>
      </c>
      <c r="AQ44" s="131">
        <v>0.31066370168910767</v>
      </c>
      <c r="AR44" s="131">
        <v>3.6836557998108033</v>
      </c>
      <c r="AS44" s="97">
        <v>99.688166873190369</v>
      </c>
      <c r="AT44" s="131">
        <v>0.30515965522419075</v>
      </c>
      <c r="AU44" s="131">
        <v>0</v>
      </c>
      <c r="AV44" s="131">
        <v>0</v>
      </c>
      <c r="AW44" s="131">
        <v>6.6734715854196774E-3</v>
      </c>
      <c r="AX44" s="191">
        <v>0</v>
      </c>
      <c r="AY44" s="131">
        <v>33.039533507790537</v>
      </c>
      <c r="AZ44" s="131">
        <v>60.734334011135125</v>
      </c>
      <c r="BA44" s="131">
        <v>2.9396377095668424</v>
      </c>
      <c r="BB44" s="131">
        <v>2.64153029863943</v>
      </c>
      <c r="BC44" s="131">
        <v>0.21656867713570646</v>
      </c>
      <c r="BD44" s="191">
        <v>0.42839579573237235</v>
      </c>
      <c r="BE44" s="97">
        <v>33.592562848540709</v>
      </c>
      <c r="BF44" s="131">
        <v>58.936789414002853</v>
      </c>
      <c r="BG44" s="131">
        <v>5.0722125396533935</v>
      </c>
      <c r="BH44" s="131">
        <v>1.1150173807161945</v>
      </c>
      <c r="BI44" s="131">
        <v>0.23834567103135093</v>
      </c>
      <c r="BJ44" s="191">
        <v>1.045072146055505</v>
      </c>
      <c r="BK44" s="97">
        <v>37.957691057366908</v>
      </c>
      <c r="BL44" s="131">
        <v>59.356297403299017</v>
      </c>
      <c r="BM44" s="131">
        <v>1.3823988905026179</v>
      </c>
      <c r="BN44" s="131">
        <v>0.89138081439540107</v>
      </c>
      <c r="BO44" s="131">
        <v>5.3440166892354896E-2</v>
      </c>
      <c r="BP44" s="191">
        <v>0.3587916675436934</v>
      </c>
      <c r="BQ44" s="97">
        <v>47.621583707746993</v>
      </c>
      <c r="BR44" s="131">
        <v>49.86467032471262</v>
      </c>
      <c r="BS44" s="131">
        <v>0.84574366242437704</v>
      </c>
      <c r="BT44" s="131">
        <v>1.3719715878419905</v>
      </c>
      <c r="BU44" s="131">
        <v>6.9166055437850987E-3</v>
      </c>
      <c r="BV44" s="191">
        <v>0.28911411173021712</v>
      </c>
      <c r="BW44" s="97">
        <v>19.001293204796614</v>
      </c>
      <c r="BX44" s="131">
        <v>73.656830472607567</v>
      </c>
      <c r="BY44" s="131">
        <v>3.7679285210439688</v>
      </c>
      <c r="BZ44" s="131">
        <v>1.1168586879849518</v>
      </c>
      <c r="CA44" s="131">
        <v>0</v>
      </c>
      <c r="CB44" s="191">
        <v>2.457089113566894</v>
      </c>
    </row>
    <row r="45" spans="1:80" ht="15.75" customHeight="1" x14ac:dyDescent="0.3">
      <c r="A45" s="130"/>
      <c r="B45" s="130" t="s">
        <v>16</v>
      </c>
      <c r="C45" s="192">
        <v>58.294256354890862</v>
      </c>
      <c r="D45" s="193">
        <v>35.177351757545281</v>
      </c>
      <c r="E45" s="193">
        <v>2.766932964436787</v>
      </c>
      <c r="F45" s="193">
        <v>1.1512621404287671</v>
      </c>
      <c r="G45" s="193">
        <v>0.31070787822932566</v>
      </c>
      <c r="H45" s="194">
        <v>2.2994889044690998</v>
      </c>
      <c r="I45" s="192">
        <v>29.31322548336502</v>
      </c>
      <c r="J45" s="193">
        <v>55.029922931369967</v>
      </c>
      <c r="K45" s="193">
        <v>5.6864535680604167</v>
      </c>
      <c r="L45" s="193">
        <v>1.1846416747747355</v>
      </c>
      <c r="M45" s="193">
        <v>1.6358817132178676</v>
      </c>
      <c r="N45" s="194">
        <v>7.1498746292120083</v>
      </c>
      <c r="O45" s="192">
        <v>78.553037478226329</v>
      </c>
      <c r="P45" s="193">
        <v>19.916737740374423</v>
      </c>
      <c r="Q45" s="193">
        <v>0.22196201129954157</v>
      </c>
      <c r="R45" s="193">
        <v>1.1981161933393334</v>
      </c>
      <c r="S45" s="193">
        <v>1.2098237214978727E-2</v>
      </c>
      <c r="T45" s="194">
        <v>9.8048339545411006E-2</v>
      </c>
      <c r="U45" s="192">
        <v>72.367751771475014</v>
      </c>
      <c r="V45" s="193">
        <v>22.511861574504906</v>
      </c>
      <c r="W45" s="193">
        <v>1.3520544391241696</v>
      </c>
      <c r="X45" s="193">
        <v>1.1958187957318469</v>
      </c>
      <c r="Y45" s="193">
        <v>6.9744735269964095E-2</v>
      </c>
      <c r="Z45" s="194">
        <v>2.5027686838940588</v>
      </c>
      <c r="AA45" s="192">
        <v>70.601095733586448</v>
      </c>
      <c r="AB45" s="193">
        <v>26.157369761721217</v>
      </c>
      <c r="AC45" s="193">
        <v>0.99821567678959577</v>
      </c>
      <c r="AD45" s="193">
        <v>0.2233732231569884</v>
      </c>
      <c r="AE45" s="193">
        <v>2.3155997739553555E-2</v>
      </c>
      <c r="AF45" s="194">
        <v>1.9967896070061626</v>
      </c>
      <c r="AG45" s="192">
        <v>73.862694183603679</v>
      </c>
      <c r="AH45" s="193">
        <v>24.483595347843547</v>
      </c>
      <c r="AI45" s="193">
        <v>0.69559332763048798</v>
      </c>
      <c r="AJ45" s="193">
        <v>0.63372143577057438</v>
      </c>
      <c r="AK45" s="193">
        <v>2.0136022372638646E-2</v>
      </c>
      <c r="AL45" s="194">
        <v>0.30425968277905974</v>
      </c>
      <c r="AM45" s="192">
        <v>51.107669862322645</v>
      </c>
      <c r="AN45" s="193">
        <v>36.488288850480458</v>
      </c>
      <c r="AO45" s="193">
        <v>6.4805865536088385</v>
      </c>
      <c r="AP45" s="193">
        <v>1.9410579531282679</v>
      </c>
      <c r="AQ45" s="193">
        <v>0.28356070672699107</v>
      </c>
      <c r="AR45" s="193">
        <v>3.6988360737328372</v>
      </c>
      <c r="AS45" s="192">
        <v>99.709210051898651</v>
      </c>
      <c r="AT45" s="193">
        <v>0.26819066480808673</v>
      </c>
      <c r="AU45" s="193">
        <v>1.7441770508497944E-2</v>
      </c>
      <c r="AV45" s="193">
        <v>0</v>
      </c>
      <c r="AW45" s="193">
        <v>5.1575127847708971E-3</v>
      </c>
      <c r="AX45" s="194">
        <v>0</v>
      </c>
      <c r="AY45" s="193">
        <v>33.875337635278697</v>
      </c>
      <c r="AZ45" s="193">
        <v>59.923605755121869</v>
      </c>
      <c r="BA45" s="193">
        <v>3.1282910913530104</v>
      </c>
      <c r="BB45" s="193">
        <v>2.4461330737171187</v>
      </c>
      <c r="BC45" s="193">
        <v>0.18463717059140991</v>
      </c>
      <c r="BD45" s="194">
        <v>0.44199527393791704</v>
      </c>
      <c r="BE45" s="192">
        <v>33.813552190366785</v>
      </c>
      <c r="BF45" s="193">
        <v>58.892991180790979</v>
      </c>
      <c r="BG45" s="193">
        <v>5.0217226655859228</v>
      </c>
      <c r="BH45" s="193">
        <v>1.0645838712701119</v>
      </c>
      <c r="BI45" s="193">
        <v>0.22981776977439627</v>
      </c>
      <c r="BJ45" s="194">
        <v>0.97733232221179456</v>
      </c>
      <c r="BK45" s="192">
        <v>38.899592193655273</v>
      </c>
      <c r="BL45" s="193">
        <v>58.262135356651157</v>
      </c>
      <c r="BM45" s="193">
        <v>1.4572010395233634</v>
      </c>
      <c r="BN45" s="193">
        <v>0.98617002476500193</v>
      </c>
      <c r="BO45" s="193">
        <v>4.4011689581797443E-2</v>
      </c>
      <c r="BP45" s="194">
        <v>0.35088969582336754</v>
      </c>
      <c r="BQ45" s="192">
        <v>47.071869438097799</v>
      </c>
      <c r="BR45" s="193">
        <v>50.600724084305426</v>
      </c>
      <c r="BS45" s="193">
        <v>0.86810762122950036</v>
      </c>
      <c r="BT45" s="193">
        <v>1.2029682715862351</v>
      </c>
      <c r="BU45" s="193">
        <v>5.6681805861723182E-3</v>
      </c>
      <c r="BV45" s="194">
        <v>0.25066240419486585</v>
      </c>
      <c r="BW45" s="192">
        <v>20.372517756196551</v>
      </c>
      <c r="BX45" s="193">
        <v>73.353626129390733</v>
      </c>
      <c r="BY45" s="193">
        <v>3.2782528868918202</v>
      </c>
      <c r="BZ45" s="193">
        <v>0.97598685799874385</v>
      </c>
      <c r="CA45" s="193">
        <v>0</v>
      </c>
      <c r="CB45" s="194">
        <v>2.019616369522153</v>
      </c>
    </row>
    <row r="46" spans="1:80" ht="15.75" customHeight="1" x14ac:dyDescent="0.3">
      <c r="A46" s="130"/>
      <c r="B46" s="148" t="s">
        <v>8</v>
      </c>
      <c r="C46" s="97">
        <v>58.932524259434537</v>
      </c>
      <c r="D46" s="131">
        <v>34.573173476314054</v>
      </c>
      <c r="E46" s="131">
        <v>2.64821536966803</v>
      </c>
      <c r="F46" s="131">
        <v>1.1736999519495215</v>
      </c>
      <c r="G46" s="131">
        <v>0.36461331636421301</v>
      </c>
      <c r="H46" s="191">
        <v>2.3077736262696784</v>
      </c>
      <c r="I46" s="97">
        <v>29.375626798662509</v>
      </c>
      <c r="J46" s="131">
        <v>54.681806878909576</v>
      </c>
      <c r="K46" s="131">
        <v>5.5126689479532223</v>
      </c>
      <c r="L46" s="131">
        <v>1.5404478424854438</v>
      </c>
      <c r="M46" s="131">
        <v>1.7925818631180157</v>
      </c>
      <c r="N46" s="191">
        <v>7.0968676688712371</v>
      </c>
      <c r="O46" s="97">
        <v>79.007014942438175</v>
      </c>
      <c r="P46" s="131">
        <v>19.433581661510754</v>
      </c>
      <c r="Q46" s="131">
        <v>0.28034326669747756</v>
      </c>
      <c r="R46" s="131">
        <v>1.1860964771681124</v>
      </c>
      <c r="S46" s="131">
        <v>1.0986354842984179E-2</v>
      </c>
      <c r="T46" s="191">
        <v>8.1977297342485794E-2</v>
      </c>
      <c r="U46" s="97">
        <v>73.099621091158966</v>
      </c>
      <c r="V46" s="131">
        <v>21.758476351041669</v>
      </c>
      <c r="W46" s="131">
        <v>1.2211448866611523</v>
      </c>
      <c r="X46" s="131">
        <v>1.4114810379199081</v>
      </c>
      <c r="Y46" s="131">
        <v>6.1848334300516353E-2</v>
      </c>
      <c r="Z46" s="191">
        <v>2.4474282989177714</v>
      </c>
      <c r="AA46" s="97">
        <v>71.048541116920475</v>
      </c>
      <c r="AB46" s="131">
        <v>25.763661357202857</v>
      </c>
      <c r="AC46" s="131">
        <v>0.86509898799328533</v>
      </c>
      <c r="AD46" s="131">
        <v>0.20678755870473237</v>
      </c>
      <c r="AE46" s="131">
        <v>2.1733612729059795E-2</v>
      </c>
      <c r="AF46" s="191">
        <v>2.094177366449621</v>
      </c>
      <c r="AG46" s="97">
        <v>73.979251071058272</v>
      </c>
      <c r="AH46" s="131">
        <v>24.224874218533394</v>
      </c>
      <c r="AI46" s="131">
        <v>0.59016323788560121</v>
      </c>
      <c r="AJ46" s="131">
        <v>0.63369818214374685</v>
      </c>
      <c r="AK46" s="131">
        <v>2.105480622966464E-2</v>
      </c>
      <c r="AL46" s="191">
        <v>0.5509584841493349</v>
      </c>
      <c r="AM46" s="97">
        <v>52.587396139863188</v>
      </c>
      <c r="AN46" s="131">
        <v>35.460118271104221</v>
      </c>
      <c r="AO46" s="131">
        <v>6.2605243023424437</v>
      </c>
      <c r="AP46" s="131">
        <v>1.690499140797038</v>
      </c>
      <c r="AQ46" s="131">
        <v>0.3322991322244519</v>
      </c>
      <c r="AR46" s="131">
        <v>3.6691630136686428</v>
      </c>
      <c r="AS46" s="97">
        <v>99.752284394032586</v>
      </c>
      <c r="AT46" s="131">
        <v>0.22911474569691093</v>
      </c>
      <c r="AU46" s="131">
        <v>1.4355850665193003E-2</v>
      </c>
      <c r="AV46" s="131">
        <v>0</v>
      </c>
      <c r="AW46" s="131">
        <v>4.2450096052990063E-3</v>
      </c>
      <c r="AX46" s="191">
        <v>0</v>
      </c>
      <c r="AY46" s="131">
        <v>34.694108183641646</v>
      </c>
      <c r="AZ46" s="131">
        <v>58.794131902847468</v>
      </c>
      <c r="BA46" s="131">
        <v>3.1682972188371741</v>
      </c>
      <c r="BB46" s="131">
        <v>2.3458058256432111</v>
      </c>
      <c r="BC46" s="131">
        <v>0.46914182881952254</v>
      </c>
      <c r="BD46" s="191">
        <v>0.52851504021092888</v>
      </c>
      <c r="BE46" s="97">
        <v>33.884015222082596</v>
      </c>
      <c r="BF46" s="131">
        <v>59.170290071501242</v>
      </c>
      <c r="BG46" s="131">
        <v>4.7373893382296366</v>
      </c>
      <c r="BH46" s="131">
        <v>1.0503722179515507</v>
      </c>
      <c r="BI46" s="131">
        <v>0.34352460232974347</v>
      </c>
      <c r="BJ46" s="191">
        <v>0.8144085479052422</v>
      </c>
      <c r="BK46" s="97">
        <v>40.390031761215468</v>
      </c>
      <c r="BL46" s="131">
        <v>56.82874044834405</v>
      </c>
      <c r="BM46" s="131">
        <v>1.3520027644936627</v>
      </c>
      <c r="BN46" s="131">
        <v>1.0861160743161407</v>
      </c>
      <c r="BO46" s="131">
        <v>4.1993560723618463E-2</v>
      </c>
      <c r="BP46" s="191">
        <v>0.30111539090703904</v>
      </c>
      <c r="BQ46" s="97">
        <v>46.929908729155919</v>
      </c>
      <c r="BR46" s="131">
        <v>50.831967954608835</v>
      </c>
      <c r="BS46" s="131">
        <v>0.86132333329322142</v>
      </c>
      <c r="BT46" s="131">
        <v>1.1258067451292342</v>
      </c>
      <c r="BU46" s="131">
        <v>4.6445043585506681E-3</v>
      </c>
      <c r="BV46" s="191">
        <v>0.24634873345421707</v>
      </c>
      <c r="BW46" s="97">
        <v>30.593551538837321</v>
      </c>
      <c r="BX46" s="131">
        <v>63.957708144322702</v>
      </c>
      <c r="BY46" s="131">
        <v>2.594389001325982</v>
      </c>
      <c r="BZ46" s="131">
        <v>0.70486426128829649</v>
      </c>
      <c r="CA46" s="131">
        <v>0</v>
      </c>
      <c r="CB46" s="191">
        <v>2.1494870542256961</v>
      </c>
    </row>
    <row r="47" spans="1:80" ht="15.75" customHeight="1" x14ac:dyDescent="0.3">
      <c r="A47" s="130"/>
      <c r="B47" s="130" t="s">
        <v>9</v>
      </c>
      <c r="C47" s="192">
        <v>58.74275225887439</v>
      </c>
      <c r="D47" s="193">
        <v>34.762894318742326</v>
      </c>
      <c r="E47" s="193">
        <v>2.582277310245451</v>
      </c>
      <c r="F47" s="193">
        <v>1.2613423442508154</v>
      </c>
      <c r="G47" s="193">
        <v>0.37584663444580463</v>
      </c>
      <c r="H47" s="194">
        <v>2.2748871334412843</v>
      </c>
      <c r="I47" s="192">
        <v>29.669076669363605</v>
      </c>
      <c r="J47" s="193">
        <v>54.786379229638037</v>
      </c>
      <c r="K47" s="193">
        <v>5.1937495179602919</v>
      </c>
      <c r="L47" s="193">
        <v>1.683186519082577</v>
      </c>
      <c r="M47" s="193">
        <v>1.7889788791297583</v>
      </c>
      <c r="N47" s="194">
        <v>6.8786291848257228</v>
      </c>
      <c r="O47" s="192">
        <v>78.122058482414104</v>
      </c>
      <c r="P47" s="193">
        <v>19.921359432149465</v>
      </c>
      <c r="Q47" s="193">
        <v>0.27830424714943891</v>
      </c>
      <c r="R47" s="193">
        <v>1.6012255745037667</v>
      </c>
      <c r="S47" s="193">
        <v>9.1059622925402251E-3</v>
      </c>
      <c r="T47" s="194">
        <v>6.7946301490683494E-2</v>
      </c>
      <c r="U47" s="192">
        <v>72.925818769633906</v>
      </c>
      <c r="V47" s="193">
        <v>21.958925302634501</v>
      </c>
      <c r="W47" s="193">
        <v>1.1801514976389758</v>
      </c>
      <c r="X47" s="193">
        <v>1.5089938852590867</v>
      </c>
      <c r="Y47" s="193">
        <v>5.8287784792274991E-2</v>
      </c>
      <c r="Z47" s="194">
        <v>2.3678227600412636</v>
      </c>
      <c r="AA47" s="192">
        <v>70.525070320004787</v>
      </c>
      <c r="AB47" s="193">
        <v>26.334958529106693</v>
      </c>
      <c r="AC47" s="193">
        <v>0.86493990083679451</v>
      </c>
      <c r="AD47" s="193">
        <v>0.18891888652170552</v>
      </c>
      <c r="AE47" s="193">
        <v>1.865132177020342E-2</v>
      </c>
      <c r="AF47" s="194">
        <v>2.0674610417598096</v>
      </c>
      <c r="AG47" s="192">
        <v>73.62596329052532</v>
      </c>
      <c r="AH47" s="193">
        <v>24.552050367070986</v>
      </c>
      <c r="AI47" s="193">
        <v>0.55161196967489312</v>
      </c>
      <c r="AJ47" s="193">
        <v>0.70339198559102212</v>
      </c>
      <c r="AK47" s="193">
        <v>1.7756191449130088E-2</v>
      </c>
      <c r="AL47" s="194">
        <v>0.54922619568867792</v>
      </c>
      <c r="AM47" s="192">
        <v>53.246782548151373</v>
      </c>
      <c r="AN47" s="193">
        <v>35.155353072253057</v>
      </c>
      <c r="AO47" s="193">
        <v>6.1012027160494933</v>
      </c>
      <c r="AP47" s="193">
        <v>1.550914948931114</v>
      </c>
      <c r="AQ47" s="193">
        <v>0.35531702416639926</v>
      </c>
      <c r="AR47" s="193">
        <v>3.5904296904484898</v>
      </c>
      <c r="AS47" s="192">
        <v>99.77898240715102</v>
      </c>
      <c r="AT47" s="193">
        <v>0.19749527660696595</v>
      </c>
      <c r="AU47" s="193">
        <v>1.9900965945809455E-2</v>
      </c>
      <c r="AV47" s="193">
        <v>0</v>
      </c>
      <c r="AW47" s="193">
        <v>3.6213502961770718E-3</v>
      </c>
      <c r="AX47" s="194">
        <v>0</v>
      </c>
      <c r="AY47" s="193">
        <v>34.899168799196183</v>
      </c>
      <c r="AZ47" s="193">
        <v>58.183762165310803</v>
      </c>
      <c r="BA47" s="193">
        <v>3.2143014378688406</v>
      </c>
      <c r="BB47" s="193">
        <v>2.5461930226046054</v>
      </c>
      <c r="BC47" s="193">
        <v>0.39651057150603081</v>
      </c>
      <c r="BD47" s="194">
        <v>0.76006400351352699</v>
      </c>
      <c r="BE47" s="192">
        <v>33.809998797759548</v>
      </c>
      <c r="BF47" s="193">
        <v>59.201920949671127</v>
      </c>
      <c r="BG47" s="193">
        <v>4.6218514612711132</v>
      </c>
      <c r="BH47" s="193">
        <v>0.98600185880646596</v>
      </c>
      <c r="BI47" s="193">
        <v>0.53954794661174055</v>
      </c>
      <c r="BJ47" s="194">
        <v>0.84067898587998768</v>
      </c>
      <c r="BK47" s="192">
        <v>40.176085089990686</v>
      </c>
      <c r="BL47" s="193">
        <v>56.856982704481432</v>
      </c>
      <c r="BM47" s="193">
        <v>1.5476240533989474</v>
      </c>
      <c r="BN47" s="193">
        <v>1.1237305745866697</v>
      </c>
      <c r="BO47" s="193">
        <v>3.7470684699617354E-2</v>
      </c>
      <c r="BP47" s="194">
        <v>0.25810689284265842</v>
      </c>
      <c r="BQ47" s="192">
        <v>45.764761735187093</v>
      </c>
      <c r="BR47" s="193">
        <v>51.874914754372128</v>
      </c>
      <c r="BS47" s="193">
        <v>0.92106032972329599</v>
      </c>
      <c r="BT47" s="193">
        <v>1.2239143850423422</v>
      </c>
      <c r="BU47" s="193">
        <v>3.984921780513768E-3</v>
      </c>
      <c r="BV47" s="194">
        <v>0.21136387389461436</v>
      </c>
      <c r="BW47" s="192">
        <v>39.507773700385115</v>
      </c>
      <c r="BX47" s="193">
        <v>56.210531775567631</v>
      </c>
      <c r="BY47" s="193">
        <v>2.0461883582515337</v>
      </c>
      <c r="BZ47" s="193">
        <v>0.62241470973430668</v>
      </c>
      <c r="CA47" s="193">
        <v>0</v>
      </c>
      <c r="CB47" s="194">
        <v>1.6130914560614118</v>
      </c>
    </row>
    <row r="48" spans="1:80" ht="15.75" customHeight="1" x14ac:dyDescent="0.3">
      <c r="A48" s="130"/>
      <c r="B48" s="148" t="s">
        <v>10</v>
      </c>
      <c r="C48" s="97">
        <v>58.184664341911855</v>
      </c>
      <c r="D48" s="131">
        <v>35.169097120675865</v>
      </c>
      <c r="E48" s="131">
        <v>2.6152544052350755</v>
      </c>
      <c r="F48" s="131">
        <v>1.3842014754250227</v>
      </c>
      <c r="G48" s="131">
        <v>0.37714843425206729</v>
      </c>
      <c r="H48" s="191">
        <v>2.2696342225001511</v>
      </c>
      <c r="I48" s="97">
        <v>29.758046528169658</v>
      </c>
      <c r="J48" s="131">
        <v>54.675428165944517</v>
      </c>
      <c r="K48" s="131">
        <v>5.1233775139960827</v>
      </c>
      <c r="L48" s="131">
        <v>1.8901479566639001</v>
      </c>
      <c r="M48" s="131">
        <v>1.7573767057222129</v>
      </c>
      <c r="N48" s="191">
        <v>6.7956231295036096</v>
      </c>
      <c r="O48" s="97">
        <v>77.77404435828808</v>
      </c>
      <c r="P48" s="131">
        <v>20.108284488844909</v>
      </c>
      <c r="Q48" s="131">
        <v>0.29926288200521328</v>
      </c>
      <c r="R48" s="131">
        <v>1.7522348790267466</v>
      </c>
      <c r="S48" s="131">
        <v>7.8203076877111748E-3</v>
      </c>
      <c r="T48" s="191">
        <v>5.8353084147343137E-2</v>
      </c>
      <c r="U48" s="97">
        <v>72.018252979200298</v>
      </c>
      <c r="V48" s="131">
        <v>22.778138503112412</v>
      </c>
      <c r="W48" s="131">
        <v>1.1582929312640502</v>
      </c>
      <c r="X48" s="131">
        <v>1.6751810045421442</v>
      </c>
      <c r="Y48" s="131">
        <v>5.9207754003177807E-2</v>
      </c>
      <c r="Z48" s="191">
        <v>2.3109268278778958</v>
      </c>
      <c r="AA48" s="97">
        <v>69.758159437095074</v>
      </c>
      <c r="AB48" s="131">
        <v>27.004234421497952</v>
      </c>
      <c r="AC48" s="131">
        <v>0.82310122872565639</v>
      </c>
      <c r="AD48" s="131">
        <v>0.24309372260719375</v>
      </c>
      <c r="AE48" s="131">
        <v>1.8855174413252275E-2</v>
      </c>
      <c r="AF48" s="191">
        <v>2.152556015660902</v>
      </c>
      <c r="AG48" s="97">
        <v>72.959748996710431</v>
      </c>
      <c r="AH48" s="131">
        <v>25.021380461875797</v>
      </c>
      <c r="AI48" s="131">
        <v>0.5282734874482693</v>
      </c>
      <c r="AJ48" s="131">
        <v>0.75502002162098925</v>
      </c>
      <c r="AK48" s="131">
        <v>1.8599736953461059E-2</v>
      </c>
      <c r="AL48" s="191">
        <v>0.7169772953910476</v>
      </c>
      <c r="AM48" s="97">
        <v>53.039397134166286</v>
      </c>
      <c r="AN48" s="131">
        <v>35.46051060939466</v>
      </c>
      <c r="AO48" s="131">
        <v>6.2265355784333387</v>
      </c>
      <c r="AP48" s="131">
        <v>1.5298863971670946</v>
      </c>
      <c r="AQ48" s="131">
        <v>0.36247697922654071</v>
      </c>
      <c r="AR48" s="131">
        <v>3.3811933016121594</v>
      </c>
      <c r="AS48" s="97">
        <v>99.805304810296008</v>
      </c>
      <c r="AT48" s="131">
        <v>0.17411682978629037</v>
      </c>
      <c r="AU48" s="131">
        <v>1.7410242925450754E-2</v>
      </c>
      <c r="AV48" s="131">
        <v>0</v>
      </c>
      <c r="AW48" s="131">
        <v>3.1681169922242892E-3</v>
      </c>
      <c r="AX48" s="191">
        <v>0</v>
      </c>
      <c r="AY48" s="131">
        <v>34.684305093724191</v>
      </c>
      <c r="AZ48" s="131">
        <v>57.714937407390352</v>
      </c>
      <c r="BA48" s="131">
        <v>3.3112822454498883</v>
      </c>
      <c r="BB48" s="131">
        <v>3.0141678678672492</v>
      </c>
      <c r="BC48" s="131">
        <v>0.38924014414254288</v>
      </c>
      <c r="BD48" s="191">
        <v>0.88606724142577964</v>
      </c>
      <c r="BE48" s="97">
        <v>33.579211110342541</v>
      </c>
      <c r="BF48" s="131">
        <v>59.39938637874792</v>
      </c>
      <c r="BG48" s="131">
        <v>4.8889308792232367</v>
      </c>
      <c r="BH48" s="131">
        <v>0.8867083908122898</v>
      </c>
      <c r="BI48" s="131">
        <v>0.47593419589728192</v>
      </c>
      <c r="BJ48" s="191">
        <v>0.76982904497670912</v>
      </c>
      <c r="BK48" s="97">
        <v>40.243296248961983</v>
      </c>
      <c r="BL48" s="131">
        <v>56.471600713810354</v>
      </c>
      <c r="BM48" s="131">
        <v>1.3809462109745398</v>
      </c>
      <c r="BN48" s="131">
        <v>1.4711589994876115</v>
      </c>
      <c r="BO48" s="131">
        <v>0.10551082789043131</v>
      </c>
      <c r="BP48" s="191">
        <v>0.32748699887510085</v>
      </c>
      <c r="BQ48" s="97">
        <v>43.996775278280396</v>
      </c>
      <c r="BR48" s="131">
        <v>53.432192516077812</v>
      </c>
      <c r="BS48" s="131">
        <v>1.0546133479967585</v>
      </c>
      <c r="BT48" s="131">
        <v>1.3270357489489464</v>
      </c>
      <c r="BU48" s="131">
        <v>3.504439726902198E-3</v>
      </c>
      <c r="BV48" s="191">
        <v>0.18587866896918975</v>
      </c>
      <c r="BW48" s="97">
        <v>52.317045911752871</v>
      </c>
      <c r="BX48" s="131">
        <v>44.576869775135229</v>
      </c>
      <c r="BY48" s="131">
        <v>1.4752559345522822</v>
      </c>
      <c r="BZ48" s="131">
        <v>0.51857481335777189</v>
      </c>
      <c r="CA48" s="131">
        <v>0</v>
      </c>
      <c r="CB48" s="191">
        <v>1.1122535652018417</v>
      </c>
    </row>
    <row r="49" spans="1:80" s="109" customFormat="1" ht="15.75" customHeight="1" x14ac:dyDescent="0.3">
      <c r="A49" s="360"/>
      <c r="B49" s="401" t="s">
        <v>11</v>
      </c>
      <c r="C49" s="402">
        <v>57.919460808515822</v>
      </c>
      <c r="D49" s="405">
        <v>35.18456629888319</v>
      </c>
      <c r="E49" s="405">
        <v>2.6816395181566954</v>
      </c>
      <c r="F49" s="405">
        <v>1.5513360869599699</v>
      </c>
      <c r="G49" s="405">
        <v>0.3827360746950052</v>
      </c>
      <c r="H49" s="407">
        <v>2.2802612127893136</v>
      </c>
      <c r="I49" s="402">
        <v>30.301768217170384</v>
      </c>
      <c r="J49" s="405">
        <v>54.043408827611671</v>
      </c>
      <c r="K49" s="405">
        <v>5.1175703081735291</v>
      </c>
      <c r="L49" s="405">
        <v>1.9929222562382782</v>
      </c>
      <c r="M49" s="405">
        <v>1.6059251484097048</v>
      </c>
      <c r="N49" s="407">
        <v>6.9384052423964349</v>
      </c>
      <c r="O49" s="402">
        <v>76.612487184814611</v>
      </c>
      <c r="P49" s="405">
        <v>21.019836001446091</v>
      </c>
      <c r="Q49" s="405">
        <v>0.29753992540352259</v>
      </c>
      <c r="R49" s="405">
        <v>2.0129477063020742</v>
      </c>
      <c r="S49" s="405">
        <v>6.6939285701974657E-3</v>
      </c>
      <c r="T49" s="407">
        <v>5.0495253463506251E-2</v>
      </c>
      <c r="U49" s="402">
        <v>71.800730863047207</v>
      </c>
      <c r="V49" s="405">
        <v>22.908804621783343</v>
      </c>
      <c r="W49" s="405">
        <v>1.2254393124098828</v>
      </c>
      <c r="X49" s="405">
        <v>1.9715539082452691</v>
      </c>
      <c r="Y49" s="405">
        <v>5.8996880599315231E-2</v>
      </c>
      <c r="Z49" s="407">
        <v>2.0344744139150372</v>
      </c>
      <c r="AA49" s="402">
        <v>69.44023174215576</v>
      </c>
      <c r="AB49" s="405">
        <v>27.197785717934291</v>
      </c>
      <c r="AC49" s="405">
        <v>0.89145138958210235</v>
      </c>
      <c r="AD49" s="405">
        <v>0.30309522276292483</v>
      </c>
      <c r="AE49" s="405">
        <v>1.7117539882942921E-2</v>
      </c>
      <c r="AF49" s="407">
        <v>2.1503183876819465</v>
      </c>
      <c r="AG49" s="402">
        <v>72.889982433425345</v>
      </c>
      <c r="AH49" s="405">
        <v>25.008881131001274</v>
      </c>
      <c r="AI49" s="405">
        <v>0.48839565060892487</v>
      </c>
      <c r="AJ49" s="405">
        <v>0.77045172777282411</v>
      </c>
      <c r="AK49" s="405">
        <v>2.2258577668589283E-2</v>
      </c>
      <c r="AL49" s="407">
        <v>0.82003047952299013</v>
      </c>
      <c r="AM49" s="402">
        <v>53.019595301451737</v>
      </c>
      <c r="AN49" s="405">
        <v>35.119609249914795</v>
      </c>
      <c r="AO49" s="405">
        <v>6.4816138196943447</v>
      </c>
      <c r="AP49" s="405">
        <v>1.6404926962301378</v>
      </c>
      <c r="AQ49" s="405">
        <v>0.3511130870740089</v>
      </c>
      <c r="AR49" s="405">
        <v>3.3875758456349354</v>
      </c>
      <c r="AS49" s="402">
        <v>99.806042124716171</v>
      </c>
      <c r="AT49" s="405">
        <v>0.17616003262149019</v>
      </c>
      <c r="AU49" s="405">
        <v>1.5057796906064878E-2</v>
      </c>
      <c r="AV49" s="405">
        <v>0</v>
      </c>
      <c r="AW49" s="405">
        <v>2.7400457562731786E-3</v>
      </c>
      <c r="AX49" s="407">
        <v>0</v>
      </c>
      <c r="AY49" s="405">
        <v>34.180936100739792</v>
      </c>
      <c r="AZ49" s="405">
        <v>57.795467789539458</v>
      </c>
      <c r="BA49" s="405">
        <v>3.3150236490622298</v>
      </c>
      <c r="BB49" s="405">
        <v>2.955234945300321</v>
      </c>
      <c r="BC49" s="405">
        <v>0.78935937688004354</v>
      </c>
      <c r="BD49" s="407">
        <v>0.96397813847815017</v>
      </c>
      <c r="BE49" s="402">
        <v>34.099300392320707</v>
      </c>
      <c r="BF49" s="405">
        <v>57.948576443226919</v>
      </c>
      <c r="BG49" s="405">
        <v>5.047402267529141</v>
      </c>
      <c r="BH49" s="405">
        <v>1.7437608158079789</v>
      </c>
      <c r="BI49" s="405">
        <v>0.4189668938452405</v>
      </c>
      <c r="BJ49" s="407">
        <v>0.74199318726998531</v>
      </c>
      <c r="BK49" s="402">
        <v>40.06087886222349</v>
      </c>
      <c r="BL49" s="405">
        <v>56.671927182468664</v>
      </c>
      <c r="BM49" s="405">
        <v>1.238156268890146</v>
      </c>
      <c r="BN49" s="405">
        <v>1.4870890138807258</v>
      </c>
      <c r="BO49" s="405">
        <v>0.10183846586916612</v>
      </c>
      <c r="BP49" s="407">
        <v>0.44011020666778428</v>
      </c>
      <c r="BQ49" s="402">
        <v>43.053982336875059</v>
      </c>
      <c r="BR49" s="405">
        <v>54.156430166536715</v>
      </c>
      <c r="BS49" s="405">
        <v>1.2179542633709926</v>
      </c>
      <c r="BT49" s="405">
        <v>1.4054780479917224</v>
      </c>
      <c r="BU49" s="405">
        <v>3.0746186180176291E-3</v>
      </c>
      <c r="BV49" s="407">
        <v>0.16308056660748962</v>
      </c>
      <c r="BW49" s="402">
        <v>58.680509661899606</v>
      </c>
      <c r="BX49" s="405">
        <v>38.319807555050353</v>
      </c>
      <c r="BY49" s="405">
        <v>1.1862592191176082</v>
      </c>
      <c r="BZ49" s="405">
        <v>0.9384334769621191</v>
      </c>
      <c r="CA49" s="405">
        <v>7.930423748975653E-3</v>
      </c>
      <c r="CB49" s="407">
        <v>0.86705966322133809</v>
      </c>
    </row>
    <row r="50" spans="1:80" s="109" customFormat="1" ht="15" customHeight="1" x14ac:dyDescent="0.3">
      <c r="A50" s="108"/>
      <c r="I50" s="110"/>
      <c r="J50" s="110"/>
      <c r="K50" s="110"/>
      <c r="L50" s="110"/>
      <c r="M50" s="110"/>
      <c r="N50" s="110"/>
      <c r="CB50" s="111"/>
    </row>
    <row r="51" spans="1:80" s="109" customFormat="1" x14ac:dyDescent="0.3">
      <c r="A51" s="108"/>
      <c r="B51" s="109" t="s">
        <v>84</v>
      </c>
      <c r="C51" s="140"/>
      <c r="D51" s="140"/>
      <c r="E51" s="140"/>
      <c r="F51" s="140"/>
      <c r="G51" s="140"/>
      <c r="H51" s="140"/>
      <c r="I51" s="140"/>
      <c r="J51" s="140"/>
      <c r="K51" s="140"/>
      <c r="L51" s="141"/>
      <c r="M51" s="141"/>
      <c r="N51" s="141"/>
      <c r="O51" s="140"/>
      <c r="P51" s="140"/>
      <c r="Q51" s="140"/>
      <c r="R51" s="140"/>
      <c r="S51" s="140"/>
      <c r="T51" s="140"/>
      <c r="U51" s="140"/>
      <c r="V51" s="140"/>
      <c r="W51" s="140"/>
      <c r="X51" s="140"/>
      <c r="Y51" s="140"/>
      <c r="Z51" s="140"/>
      <c r="CB51" s="111"/>
    </row>
    <row r="52" spans="1:80" s="114" customFormat="1" ht="14.25" customHeight="1" x14ac:dyDescent="0.3">
      <c r="A52" s="113"/>
      <c r="B52" s="140" t="s">
        <v>17</v>
      </c>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36"/>
      <c r="BB52" s="136"/>
      <c r="BC52" s="136"/>
      <c r="BD52" s="136"/>
      <c r="CB52" s="115"/>
    </row>
    <row r="53" spans="1:80" s="117" customFormat="1" x14ac:dyDescent="0.3">
      <c r="A53" s="116"/>
      <c r="B53" s="130" t="s">
        <v>60</v>
      </c>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12"/>
      <c r="BA53" s="136"/>
      <c r="BB53" s="136"/>
      <c r="BC53" s="136"/>
      <c r="BD53" s="136"/>
      <c r="CB53" s="118"/>
    </row>
    <row r="54" spans="1:80" ht="15" customHeight="1" x14ac:dyDescent="0.3">
      <c r="A54" s="123"/>
      <c r="B54" s="124" t="str">
        <f>'1.1 V.A Ing.real'!B45</f>
        <v>Actualizado el 15 de diciembre de 2021</v>
      </c>
      <c r="C54" s="124"/>
      <c r="D54" s="124"/>
      <c r="E54" s="124"/>
      <c r="F54" s="124"/>
      <c r="G54" s="124"/>
      <c r="H54" s="124"/>
      <c r="I54" s="124"/>
      <c r="J54" s="124"/>
      <c r="K54" s="124"/>
      <c r="L54" s="124"/>
      <c r="M54" s="124"/>
      <c r="N54" s="124"/>
      <c r="O54" s="124"/>
      <c r="P54" s="124"/>
      <c r="Q54" s="124"/>
      <c r="R54" s="143"/>
      <c r="S54" s="143"/>
      <c r="T54" s="143"/>
      <c r="U54" s="143"/>
      <c r="V54" s="143"/>
      <c r="W54" s="83"/>
      <c r="X54" s="83"/>
      <c r="Y54" s="83"/>
      <c r="Z54" s="83"/>
      <c r="AA54" s="124"/>
      <c r="AB54" s="124"/>
      <c r="AC54" s="195"/>
      <c r="AD54" s="195"/>
      <c r="AE54" s="195"/>
      <c r="AF54" s="195"/>
      <c r="AG54" s="195"/>
      <c r="AH54" s="195"/>
      <c r="AI54" s="195"/>
      <c r="AJ54" s="195"/>
      <c r="AK54" s="195"/>
      <c r="AL54" s="195"/>
      <c r="AM54" s="124"/>
      <c r="AN54" s="124"/>
      <c r="AO54" s="124"/>
      <c r="AP54" s="124"/>
      <c r="AQ54" s="124"/>
      <c r="AR54" s="124"/>
      <c r="AS54" s="124"/>
      <c r="AT54" s="124"/>
      <c r="AU54" s="144"/>
      <c r="AV54" s="144"/>
      <c r="AW54" s="144"/>
      <c r="AX54" s="144"/>
      <c r="CB54" s="102"/>
    </row>
    <row r="55" spans="1:80" s="83" customFormat="1" x14ac:dyDescent="0.3">
      <c r="A55" s="125"/>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c r="AA55" s="126"/>
      <c r="AB55" s="126"/>
      <c r="AC55" s="196"/>
      <c r="AD55" s="196"/>
      <c r="AE55" s="196"/>
      <c r="AF55" s="196"/>
      <c r="AG55" s="196"/>
      <c r="AH55" s="196"/>
      <c r="AI55" s="196"/>
      <c r="AJ55" s="196"/>
      <c r="AK55" s="196"/>
      <c r="AL55" s="19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26"/>
      <c r="BW55" s="126"/>
      <c r="BX55" s="126"/>
      <c r="BY55" s="126"/>
      <c r="BZ55" s="126"/>
      <c r="CA55" s="126"/>
      <c r="CB55" s="127"/>
    </row>
  </sheetData>
  <mergeCells count="16">
    <mergeCell ref="A7:K8"/>
    <mergeCell ref="AY14:BD14"/>
    <mergeCell ref="BQ14:BV14"/>
    <mergeCell ref="BW14:CB14"/>
    <mergeCell ref="BE14:BJ14"/>
    <mergeCell ref="BK14:BP14"/>
    <mergeCell ref="A14:A15"/>
    <mergeCell ref="B14:B15"/>
    <mergeCell ref="C14:H14"/>
    <mergeCell ref="I14:N14"/>
    <mergeCell ref="O14:T14"/>
    <mergeCell ref="U14:Z14"/>
    <mergeCell ref="AA14:AF14"/>
    <mergeCell ref="AG14:AL14"/>
    <mergeCell ref="AM14:AR14"/>
    <mergeCell ref="AS14:AX14"/>
  </mergeCells>
  <hyperlinks>
    <hyperlink ref="L3" location="Contenido!A1" display="Inicio" xr:uid="{00000000-0004-0000-10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CB56"/>
  <sheetViews>
    <sheetView showGridLines="0" zoomScale="80" zoomScaleNormal="80" zoomScaleSheetLayoutView="90" workbookViewId="0">
      <pane ySplit="15" topLeftCell="A16" activePane="bottomLeft" state="frozen"/>
      <selection activeCell="F17" sqref="F17"/>
      <selection pane="bottomLeft" activeCell="A7" sqref="A7:J8"/>
    </sheetView>
  </sheetViews>
  <sheetFormatPr baseColWidth="10" defaultColWidth="11.42578125" defaultRowHeight="16.5" x14ac:dyDescent="0.3"/>
  <cols>
    <col min="1" max="1" width="8.85546875" style="100" customWidth="1"/>
    <col min="2" max="2" width="19.85546875" style="128" bestFit="1" customWidth="1"/>
    <col min="3" max="3" width="17.140625" style="128" customWidth="1"/>
    <col min="4" max="4" width="13.7109375" style="128" customWidth="1"/>
    <col min="5" max="5" width="14.140625" style="128" customWidth="1"/>
    <col min="6" max="6" width="20.42578125" style="128" customWidth="1"/>
    <col min="7" max="7" width="14.28515625" style="128" customWidth="1"/>
    <col min="8" max="8" width="11.28515625" style="128" bestFit="1" customWidth="1"/>
    <col min="9" max="9" width="16.140625" style="128" customWidth="1"/>
    <col min="10" max="10" width="13" style="128" customWidth="1"/>
    <col min="11" max="11" width="13.85546875" style="128" customWidth="1"/>
    <col min="12" max="12" width="19.85546875" style="128" customWidth="1"/>
    <col min="13" max="13" width="13" style="128" customWidth="1"/>
    <col min="14" max="14" width="10.28515625" style="128" customWidth="1"/>
    <col min="15" max="15" width="16.140625" style="100" customWidth="1"/>
    <col min="16" max="16" width="13.85546875" style="100" customWidth="1"/>
    <col min="17" max="17" width="13.42578125" style="100" customWidth="1"/>
    <col min="18" max="18" width="19.42578125" style="100" customWidth="1"/>
    <col min="19" max="19" width="13.42578125" style="100" customWidth="1"/>
    <col min="20" max="20" width="11.42578125" style="100" customWidth="1"/>
    <col min="21" max="21" width="16.85546875" style="100" customWidth="1"/>
    <col min="22" max="23" width="14.7109375" style="100" customWidth="1"/>
    <col min="24" max="24" width="18.7109375" style="100" customWidth="1"/>
    <col min="25" max="26" width="14.7109375" style="100" customWidth="1"/>
    <col min="27" max="27" width="17.28515625" style="100" customWidth="1"/>
    <col min="28" max="29" width="14.7109375" style="100" customWidth="1"/>
    <col min="30" max="30" width="20" style="100" customWidth="1"/>
    <col min="31" max="32" width="14.7109375" style="100" customWidth="1"/>
    <col min="33" max="33" width="17.42578125" style="100" customWidth="1"/>
    <col min="34" max="35" width="14.7109375" style="100" customWidth="1"/>
    <col min="36" max="36" width="19" style="100" customWidth="1"/>
    <col min="37" max="38" width="14.7109375" style="100" customWidth="1"/>
    <col min="39" max="39" width="16.42578125" style="100" customWidth="1"/>
    <col min="40" max="41" width="14.7109375" style="100" customWidth="1"/>
    <col min="42" max="42" width="20.42578125" style="100" customWidth="1"/>
    <col min="43" max="44" width="14.7109375" style="100" customWidth="1"/>
    <col min="45" max="45" width="16.42578125" style="100" customWidth="1"/>
    <col min="46" max="47" width="14.7109375" style="100" customWidth="1"/>
    <col min="48" max="48" width="19.140625" style="100" customWidth="1"/>
    <col min="49" max="50" width="14.7109375" style="100" customWidth="1"/>
    <col min="51" max="51" width="16.85546875" style="100" customWidth="1"/>
    <col min="52" max="53" width="14.7109375" style="100" customWidth="1"/>
    <col min="54" max="54" width="18.7109375" style="100" customWidth="1"/>
    <col min="55" max="56" width="14.7109375" style="100" customWidth="1"/>
    <col min="57" max="57" width="16.85546875" style="100" customWidth="1"/>
    <col min="58" max="59" width="14.7109375" style="100" customWidth="1"/>
    <col min="60" max="60" width="19.42578125" style="100" customWidth="1"/>
    <col min="61" max="62" width="14.7109375" style="100" customWidth="1"/>
    <col min="63" max="63" width="16.42578125" style="100" customWidth="1"/>
    <col min="64" max="65" width="14.7109375" style="100" customWidth="1"/>
    <col min="66" max="66" width="19.7109375" style="100" customWidth="1"/>
    <col min="67" max="68" width="14.7109375" style="100" customWidth="1"/>
    <col min="69" max="69" width="17.28515625" style="100" customWidth="1"/>
    <col min="70" max="71" width="14.7109375" style="100" customWidth="1"/>
    <col min="72" max="72" width="19.42578125" style="100" customWidth="1"/>
    <col min="73" max="74" width="14.7109375" style="100" customWidth="1"/>
    <col min="75" max="75" width="17.28515625" style="100" customWidth="1"/>
    <col min="76" max="77" width="14.7109375" style="100" customWidth="1"/>
    <col min="78" max="78" width="19.140625" style="100" customWidth="1"/>
    <col min="79" max="79" width="13.7109375" style="100" customWidth="1"/>
    <col min="80" max="16384" width="11.42578125" style="100"/>
  </cols>
  <sheetData>
    <row r="1" spans="1:80" s="83" customFormat="1" ht="12" customHeight="1" x14ac:dyDescent="0.3">
      <c r="A1" s="80"/>
      <c r="B1" s="81"/>
      <c r="C1" s="81"/>
      <c r="D1" s="81"/>
      <c r="E1" s="81"/>
      <c r="F1" s="81"/>
      <c r="G1" s="81"/>
      <c r="H1" s="81"/>
      <c r="I1" s="81"/>
      <c r="J1" s="81"/>
      <c r="K1" s="81"/>
      <c r="L1" s="81"/>
      <c r="M1" s="81"/>
      <c r="N1" s="81"/>
      <c r="O1" s="81"/>
      <c r="P1" s="81"/>
      <c r="Q1" s="81"/>
      <c r="R1" s="81"/>
      <c r="S1" s="81"/>
      <c r="T1" s="81"/>
    </row>
    <row r="2" spans="1:80" s="87" customFormat="1" x14ac:dyDescent="0.3">
      <c r="A2" s="84"/>
      <c r="B2" s="85"/>
      <c r="C2" s="85"/>
      <c r="D2" s="85"/>
      <c r="E2" s="85"/>
      <c r="F2" s="85"/>
      <c r="G2" s="85"/>
      <c r="H2" s="85"/>
      <c r="I2" s="85"/>
      <c r="J2" s="85"/>
      <c r="K2" s="85"/>
      <c r="L2" s="85"/>
      <c r="M2" s="85"/>
      <c r="N2" s="85"/>
      <c r="O2" s="85"/>
      <c r="P2" s="85"/>
      <c r="Q2" s="85"/>
      <c r="R2" s="85"/>
      <c r="S2" s="85"/>
      <c r="T2" s="85"/>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0"/>
      <c r="BP2" s="130"/>
      <c r="BQ2" s="130"/>
      <c r="BR2" s="130"/>
      <c r="BS2" s="130"/>
      <c r="BT2" s="130"/>
      <c r="BU2" s="130"/>
      <c r="BV2" s="130"/>
      <c r="BW2" s="130"/>
      <c r="BX2" s="130"/>
      <c r="BY2" s="130"/>
      <c r="BZ2" s="130"/>
      <c r="CA2" s="130"/>
      <c r="CB2" s="130"/>
    </row>
    <row r="3" spans="1:80" s="87" customFormat="1" x14ac:dyDescent="0.3">
      <c r="A3" s="84"/>
      <c r="B3" s="85"/>
      <c r="C3" s="85"/>
      <c r="D3" s="85"/>
      <c r="E3" s="85"/>
      <c r="F3" s="85"/>
      <c r="G3" s="85"/>
      <c r="H3" s="85"/>
      <c r="I3" s="85"/>
      <c r="J3" s="85"/>
      <c r="K3" s="85"/>
      <c r="L3" s="85"/>
      <c r="M3" s="85"/>
      <c r="N3" s="85"/>
      <c r="O3" s="85"/>
      <c r="P3" s="85"/>
      <c r="Q3" s="85"/>
      <c r="R3" s="85"/>
      <c r="S3" s="85"/>
      <c r="T3" s="85"/>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c r="BI3" s="130"/>
      <c r="BJ3" s="130"/>
      <c r="BK3" s="130"/>
      <c r="BL3" s="130"/>
      <c r="BM3" s="130"/>
      <c r="BN3" s="130"/>
      <c r="BO3" s="130"/>
      <c r="BP3" s="130"/>
      <c r="BQ3" s="130"/>
      <c r="BR3" s="130"/>
      <c r="BS3" s="130"/>
      <c r="BT3" s="130"/>
      <c r="BU3" s="130"/>
      <c r="BV3" s="130"/>
      <c r="BW3" s="130"/>
      <c r="BX3" s="130"/>
      <c r="BY3" s="130"/>
      <c r="BZ3" s="130"/>
      <c r="CA3" s="130"/>
      <c r="CB3" s="130"/>
    </row>
    <row r="4" spans="1:80" s="87" customFormat="1" x14ac:dyDescent="0.3">
      <c r="A4" s="84"/>
      <c r="B4" s="85"/>
      <c r="C4" s="85"/>
      <c r="D4" s="85"/>
      <c r="E4" s="85"/>
      <c r="F4" s="85"/>
      <c r="G4" s="85"/>
      <c r="H4" s="85"/>
      <c r="I4" s="85"/>
      <c r="J4" s="85"/>
      <c r="K4" s="89"/>
      <c r="L4" s="224" t="s">
        <v>0</v>
      </c>
      <c r="M4" s="85"/>
      <c r="N4" s="85"/>
      <c r="O4" s="85"/>
      <c r="P4" s="85"/>
      <c r="Q4" s="85"/>
      <c r="R4" s="85"/>
      <c r="S4" s="85"/>
      <c r="T4" s="85"/>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130"/>
      <c r="BW4" s="130"/>
      <c r="BX4" s="130"/>
      <c r="BY4" s="130"/>
      <c r="BZ4" s="130"/>
      <c r="CA4" s="130"/>
      <c r="CB4" s="130"/>
    </row>
    <row r="5" spans="1:80" s="87" customFormat="1" x14ac:dyDescent="0.3">
      <c r="A5" s="84"/>
      <c r="B5" s="85"/>
      <c r="C5" s="85"/>
      <c r="D5" s="85"/>
      <c r="E5" s="85"/>
      <c r="F5" s="85"/>
      <c r="G5" s="85"/>
      <c r="H5" s="85"/>
      <c r="I5" s="85"/>
      <c r="J5" s="85"/>
      <c r="K5" s="85"/>
      <c r="L5" s="85"/>
      <c r="M5" s="85"/>
      <c r="N5" s="85"/>
      <c r="O5" s="85"/>
      <c r="P5" s="85"/>
      <c r="Q5" s="85"/>
      <c r="R5" s="85"/>
      <c r="S5" s="85"/>
      <c r="T5" s="85"/>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row>
    <row r="6" spans="1:80" s="87" customFormat="1" x14ac:dyDescent="0.3">
      <c r="A6" s="84"/>
      <c r="B6" s="85"/>
      <c r="C6" s="85"/>
      <c r="D6" s="85"/>
      <c r="E6" s="85"/>
      <c r="F6" s="85"/>
      <c r="G6" s="85"/>
      <c r="H6" s="85"/>
      <c r="I6" s="85"/>
      <c r="J6" s="85"/>
      <c r="K6" s="85"/>
      <c r="L6" s="85"/>
      <c r="M6" s="85"/>
      <c r="N6" s="85"/>
      <c r="O6" s="85"/>
      <c r="P6" s="85"/>
      <c r="Q6" s="85"/>
      <c r="R6" s="85"/>
      <c r="S6" s="85"/>
      <c r="T6" s="85"/>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0"/>
      <c r="BK6" s="130"/>
      <c r="BL6" s="130"/>
      <c r="BM6" s="130"/>
      <c r="BN6" s="130"/>
      <c r="BO6" s="130"/>
      <c r="BP6" s="130"/>
      <c r="BQ6" s="130"/>
      <c r="BR6" s="130"/>
      <c r="BS6" s="130"/>
      <c r="BT6" s="130"/>
      <c r="BU6" s="130"/>
      <c r="BV6" s="130"/>
      <c r="BW6" s="130"/>
      <c r="BX6" s="130"/>
      <c r="BY6" s="130"/>
      <c r="BZ6" s="130"/>
      <c r="CA6" s="130"/>
      <c r="CB6" s="130"/>
    </row>
    <row r="7" spans="1:80" s="87" customFormat="1" ht="15" customHeight="1" x14ac:dyDescent="0.3">
      <c r="A7" s="421" t="s">
        <v>4</v>
      </c>
      <c r="B7" s="421"/>
      <c r="C7" s="421"/>
      <c r="D7" s="421"/>
      <c r="E7" s="421"/>
      <c r="F7" s="421"/>
      <c r="G7" s="421"/>
      <c r="H7" s="421"/>
      <c r="I7" s="421"/>
      <c r="J7" s="421"/>
      <c r="K7" s="197"/>
      <c r="L7" s="197"/>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row>
    <row r="8" spans="1:80" s="87" customFormat="1" ht="15" customHeight="1" x14ac:dyDescent="0.3">
      <c r="A8" s="421"/>
      <c r="B8" s="421"/>
      <c r="C8" s="421"/>
      <c r="D8" s="421"/>
      <c r="E8" s="421"/>
      <c r="F8" s="421"/>
      <c r="G8" s="421"/>
      <c r="H8" s="421"/>
      <c r="I8" s="421"/>
      <c r="J8" s="421"/>
      <c r="K8" s="197"/>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row>
    <row r="9" spans="1:80" s="89" customFormat="1" ht="13.5" customHeight="1" x14ac:dyDescent="0.3">
      <c r="A9" s="215"/>
      <c r="B9" s="216"/>
      <c r="C9" s="216"/>
      <c r="D9" s="216"/>
      <c r="E9" s="216"/>
      <c r="F9" s="216"/>
      <c r="G9" s="216"/>
      <c r="H9" s="216"/>
      <c r="I9" s="216"/>
      <c r="J9" s="216"/>
      <c r="K9" s="129"/>
      <c r="L9" s="129"/>
      <c r="M9" s="129"/>
      <c r="N9" s="129"/>
      <c r="O9" s="129"/>
      <c r="P9" s="129"/>
      <c r="Q9" s="129"/>
      <c r="R9" s="129"/>
      <c r="S9" s="129"/>
      <c r="T9" s="129"/>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c r="BZ9" s="130"/>
      <c r="CA9" s="130"/>
      <c r="CB9" s="130"/>
    </row>
    <row r="10" spans="1:80" s="83" customFormat="1" ht="13.5" customHeight="1" x14ac:dyDescent="0.3">
      <c r="A10" s="90" t="s">
        <v>144</v>
      </c>
      <c r="B10" s="164"/>
      <c r="C10" s="164"/>
      <c r="D10" s="164"/>
      <c r="E10" s="164"/>
      <c r="F10" s="164"/>
      <c r="G10" s="164"/>
      <c r="H10" s="164"/>
      <c r="I10" s="164"/>
      <c r="J10" s="164"/>
      <c r="K10" s="137"/>
      <c r="L10" s="137"/>
      <c r="M10" s="137"/>
      <c r="N10" s="137"/>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row>
    <row r="11" spans="1:80" s="83" customFormat="1" ht="13.5" customHeight="1" x14ac:dyDescent="0.3">
      <c r="A11" s="90" t="s">
        <v>79</v>
      </c>
      <c r="B11" s="164"/>
      <c r="C11" s="164"/>
      <c r="D11" s="164"/>
      <c r="E11" s="164"/>
      <c r="F11" s="164"/>
      <c r="G11" s="164"/>
      <c r="H11" s="164"/>
      <c r="I11" s="164"/>
      <c r="J11" s="164"/>
      <c r="K11" s="137"/>
      <c r="L11" s="137"/>
      <c r="M11" s="137"/>
      <c r="N11" s="137"/>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row>
    <row r="12" spans="1:80" s="83" customFormat="1" ht="13.5" customHeight="1" x14ac:dyDescent="0.3">
      <c r="A12" s="90" t="str">
        <f>'6.1 Porc Mens Motivo.viaje.reg'!A12</f>
        <v>Enero 2019 - octubre 2021</v>
      </c>
      <c r="B12" s="223"/>
      <c r="C12" s="223"/>
      <c r="D12" s="223"/>
      <c r="E12" s="223"/>
      <c r="F12" s="223"/>
      <c r="G12" s="223"/>
      <c r="H12" s="223"/>
      <c r="I12" s="223"/>
      <c r="J12" s="223"/>
      <c r="K12" s="225"/>
      <c r="L12" s="225"/>
      <c r="M12" s="225"/>
      <c r="N12" s="225"/>
      <c r="O12" s="225"/>
      <c r="P12" s="225"/>
      <c r="Q12" s="225"/>
      <c r="R12" s="225"/>
      <c r="S12" s="225"/>
      <c r="T12" s="225"/>
      <c r="U12" s="225"/>
      <c r="V12" s="225"/>
      <c r="W12" s="225"/>
      <c r="X12" s="225"/>
      <c r="Y12" s="225"/>
      <c r="Z12" s="225"/>
      <c r="AA12" s="225"/>
      <c r="AB12" s="225"/>
      <c r="AC12" s="225"/>
      <c r="AD12" s="225"/>
      <c r="AE12" s="225"/>
      <c r="AF12" s="225"/>
      <c r="AG12" s="225"/>
      <c r="AH12" s="225"/>
      <c r="AI12" s="225"/>
      <c r="AJ12" s="225"/>
      <c r="AK12" s="225"/>
      <c r="AL12" s="225"/>
      <c r="AM12" s="225"/>
      <c r="AN12" s="225"/>
      <c r="AO12" s="225"/>
      <c r="AP12" s="225"/>
      <c r="AQ12" s="225"/>
      <c r="AR12" s="225"/>
      <c r="AS12" s="225"/>
      <c r="AT12" s="225"/>
      <c r="AU12" s="225"/>
      <c r="AV12" s="225"/>
      <c r="AW12" s="225"/>
      <c r="AX12" s="225"/>
      <c r="AY12" s="225"/>
      <c r="AZ12" s="225"/>
      <c r="BA12" s="225"/>
      <c r="BB12" s="225"/>
      <c r="BC12" s="225"/>
      <c r="BD12" s="225"/>
      <c r="BE12" s="225"/>
      <c r="BF12" s="225"/>
      <c r="BG12" s="225"/>
      <c r="BH12" s="225"/>
      <c r="BI12" s="225"/>
      <c r="BJ12" s="225"/>
      <c r="BK12" s="225"/>
      <c r="BL12" s="225"/>
      <c r="BM12" s="225"/>
      <c r="BN12" s="225"/>
      <c r="BO12" s="225"/>
      <c r="BP12" s="225"/>
      <c r="BQ12" s="225"/>
      <c r="BR12" s="225"/>
      <c r="BS12" s="225"/>
      <c r="BT12" s="225"/>
      <c r="BU12" s="225"/>
      <c r="BV12" s="225"/>
      <c r="BW12" s="225"/>
      <c r="BX12" s="225"/>
      <c r="BY12" s="225"/>
      <c r="BZ12" s="225"/>
      <c r="CA12" s="225"/>
      <c r="CB12" s="225"/>
    </row>
    <row r="13" spans="1:80" s="83" customFormat="1" ht="13.5" customHeight="1" x14ac:dyDescent="0.3">
      <c r="A13" s="218"/>
      <c r="B13" s="219"/>
      <c r="C13" s="219"/>
      <c r="D13" s="219"/>
      <c r="E13" s="219"/>
      <c r="F13" s="219"/>
      <c r="G13" s="219"/>
      <c r="H13" s="219"/>
      <c r="I13" s="220"/>
      <c r="J13" s="220"/>
      <c r="K13" s="242"/>
      <c r="L13" s="242"/>
      <c r="M13" s="242"/>
      <c r="N13" s="242"/>
      <c r="O13" s="93"/>
      <c r="P13" s="93"/>
      <c r="Q13" s="93"/>
      <c r="R13" s="93"/>
      <c r="S13" s="93"/>
      <c r="T13" s="93"/>
    </row>
    <row r="14" spans="1:80" s="95" customFormat="1" ht="22.5" customHeight="1" x14ac:dyDescent="0.3">
      <c r="A14" s="427" t="s">
        <v>25</v>
      </c>
      <c r="B14" s="429" t="s">
        <v>26</v>
      </c>
      <c r="C14" s="425" t="s">
        <v>24</v>
      </c>
      <c r="D14" s="425"/>
      <c r="E14" s="425"/>
      <c r="F14" s="425"/>
      <c r="G14" s="425"/>
      <c r="H14" s="425"/>
      <c r="I14" s="425" t="s">
        <v>5</v>
      </c>
      <c r="J14" s="425"/>
      <c r="K14" s="425"/>
      <c r="L14" s="425"/>
      <c r="M14" s="425"/>
      <c r="N14" s="425"/>
      <c r="O14" s="425" t="s">
        <v>6</v>
      </c>
      <c r="P14" s="425"/>
      <c r="Q14" s="425"/>
      <c r="R14" s="425"/>
      <c r="S14" s="425"/>
      <c r="T14" s="425"/>
      <c r="U14" s="425" t="s">
        <v>20</v>
      </c>
      <c r="V14" s="425"/>
      <c r="W14" s="425"/>
      <c r="X14" s="425"/>
      <c r="Y14" s="425"/>
      <c r="Z14" s="425"/>
      <c r="AA14" s="425" t="s">
        <v>21</v>
      </c>
      <c r="AB14" s="425"/>
      <c r="AC14" s="425"/>
      <c r="AD14" s="425"/>
      <c r="AE14" s="425"/>
      <c r="AF14" s="425"/>
      <c r="AG14" s="425" t="s">
        <v>22</v>
      </c>
      <c r="AH14" s="425"/>
      <c r="AI14" s="425"/>
      <c r="AJ14" s="425"/>
      <c r="AK14" s="425"/>
      <c r="AL14" s="425"/>
      <c r="AM14" s="425" t="s">
        <v>3</v>
      </c>
      <c r="AN14" s="425"/>
      <c r="AO14" s="425"/>
      <c r="AP14" s="425"/>
      <c r="AQ14" s="425"/>
      <c r="AR14" s="425"/>
      <c r="AS14" s="425" t="s">
        <v>7</v>
      </c>
      <c r="AT14" s="425"/>
      <c r="AU14" s="425"/>
      <c r="AV14" s="425"/>
      <c r="AW14" s="425"/>
      <c r="AX14" s="425"/>
      <c r="AY14" s="425" t="s">
        <v>41</v>
      </c>
      <c r="AZ14" s="425"/>
      <c r="BA14" s="425"/>
      <c r="BB14" s="425"/>
      <c r="BC14" s="425"/>
      <c r="BD14" s="425"/>
      <c r="BE14" s="425" t="s">
        <v>38</v>
      </c>
      <c r="BF14" s="425"/>
      <c r="BG14" s="425"/>
      <c r="BH14" s="425"/>
      <c r="BI14" s="425"/>
      <c r="BJ14" s="425"/>
      <c r="BK14" s="425" t="s">
        <v>42</v>
      </c>
      <c r="BL14" s="425"/>
      <c r="BM14" s="425"/>
      <c r="BN14" s="425"/>
      <c r="BO14" s="425"/>
      <c r="BP14" s="425"/>
      <c r="BQ14" s="425" t="s">
        <v>23</v>
      </c>
      <c r="BR14" s="425"/>
      <c r="BS14" s="425"/>
      <c r="BT14" s="425"/>
      <c r="BU14" s="425"/>
      <c r="BV14" s="425"/>
      <c r="BW14" s="425" t="s">
        <v>40</v>
      </c>
      <c r="BX14" s="425"/>
      <c r="BY14" s="425"/>
      <c r="BZ14" s="425"/>
      <c r="CA14" s="425"/>
      <c r="CB14" s="426"/>
    </row>
    <row r="15" spans="1:80" s="95" customFormat="1" ht="49.5" x14ac:dyDescent="0.3">
      <c r="A15" s="431"/>
      <c r="B15" s="432"/>
      <c r="C15" s="213" t="s">
        <v>34</v>
      </c>
      <c r="D15" s="213" t="s">
        <v>1</v>
      </c>
      <c r="E15" s="213" t="s">
        <v>35</v>
      </c>
      <c r="F15" s="213" t="s">
        <v>36</v>
      </c>
      <c r="G15" s="213" t="s">
        <v>119</v>
      </c>
      <c r="H15" s="213" t="s">
        <v>2</v>
      </c>
      <c r="I15" s="213" t="s">
        <v>34</v>
      </c>
      <c r="J15" s="213" t="s">
        <v>1</v>
      </c>
      <c r="K15" s="213" t="s">
        <v>35</v>
      </c>
      <c r="L15" s="213" t="s">
        <v>36</v>
      </c>
      <c r="M15" s="213" t="s">
        <v>119</v>
      </c>
      <c r="N15" s="213" t="s">
        <v>2</v>
      </c>
      <c r="O15" s="213" t="s">
        <v>34</v>
      </c>
      <c r="P15" s="213" t="s">
        <v>1</v>
      </c>
      <c r="Q15" s="213" t="s">
        <v>35</v>
      </c>
      <c r="R15" s="213" t="s">
        <v>36</v>
      </c>
      <c r="S15" s="213" t="s">
        <v>119</v>
      </c>
      <c r="T15" s="213" t="s">
        <v>2</v>
      </c>
      <c r="U15" s="213" t="s">
        <v>34</v>
      </c>
      <c r="V15" s="213" t="s">
        <v>1</v>
      </c>
      <c r="W15" s="213" t="s">
        <v>35</v>
      </c>
      <c r="X15" s="213" t="s">
        <v>36</v>
      </c>
      <c r="Y15" s="213" t="s">
        <v>119</v>
      </c>
      <c r="Z15" s="213" t="s">
        <v>2</v>
      </c>
      <c r="AA15" s="213" t="s">
        <v>34</v>
      </c>
      <c r="AB15" s="213" t="s">
        <v>1</v>
      </c>
      <c r="AC15" s="213" t="s">
        <v>35</v>
      </c>
      <c r="AD15" s="213" t="s">
        <v>36</v>
      </c>
      <c r="AE15" s="213" t="s">
        <v>119</v>
      </c>
      <c r="AF15" s="213" t="s">
        <v>2</v>
      </c>
      <c r="AG15" s="213" t="s">
        <v>34</v>
      </c>
      <c r="AH15" s="213" t="s">
        <v>1</v>
      </c>
      <c r="AI15" s="213" t="s">
        <v>35</v>
      </c>
      <c r="AJ15" s="213" t="s">
        <v>36</v>
      </c>
      <c r="AK15" s="213" t="s">
        <v>119</v>
      </c>
      <c r="AL15" s="213" t="s">
        <v>2</v>
      </c>
      <c r="AM15" s="213" t="s">
        <v>34</v>
      </c>
      <c r="AN15" s="213" t="s">
        <v>1</v>
      </c>
      <c r="AO15" s="213" t="s">
        <v>35</v>
      </c>
      <c r="AP15" s="213" t="s">
        <v>36</v>
      </c>
      <c r="AQ15" s="213" t="s">
        <v>37</v>
      </c>
      <c r="AR15" s="213" t="s">
        <v>2</v>
      </c>
      <c r="AS15" s="213" t="s">
        <v>34</v>
      </c>
      <c r="AT15" s="213" t="s">
        <v>1</v>
      </c>
      <c r="AU15" s="213" t="s">
        <v>35</v>
      </c>
      <c r="AV15" s="213" t="s">
        <v>36</v>
      </c>
      <c r="AW15" s="213" t="s">
        <v>119</v>
      </c>
      <c r="AX15" s="213" t="s">
        <v>2</v>
      </c>
      <c r="AY15" s="213" t="s">
        <v>34</v>
      </c>
      <c r="AZ15" s="213" t="s">
        <v>1</v>
      </c>
      <c r="BA15" s="213" t="s">
        <v>35</v>
      </c>
      <c r="BB15" s="213" t="s">
        <v>36</v>
      </c>
      <c r="BC15" s="213" t="s">
        <v>119</v>
      </c>
      <c r="BD15" s="213" t="s">
        <v>2</v>
      </c>
      <c r="BE15" s="213" t="s">
        <v>34</v>
      </c>
      <c r="BF15" s="213" t="s">
        <v>1</v>
      </c>
      <c r="BG15" s="213" t="s">
        <v>35</v>
      </c>
      <c r="BH15" s="213" t="s">
        <v>36</v>
      </c>
      <c r="BI15" s="213" t="s">
        <v>119</v>
      </c>
      <c r="BJ15" s="213" t="s">
        <v>2</v>
      </c>
      <c r="BK15" s="213" t="s">
        <v>34</v>
      </c>
      <c r="BL15" s="213" t="s">
        <v>1</v>
      </c>
      <c r="BM15" s="213" t="s">
        <v>35</v>
      </c>
      <c r="BN15" s="213" t="s">
        <v>36</v>
      </c>
      <c r="BO15" s="213" t="s">
        <v>119</v>
      </c>
      <c r="BP15" s="213" t="s">
        <v>2</v>
      </c>
      <c r="BQ15" s="213" t="s">
        <v>34</v>
      </c>
      <c r="BR15" s="213" t="s">
        <v>1</v>
      </c>
      <c r="BS15" s="213" t="s">
        <v>35</v>
      </c>
      <c r="BT15" s="213" t="s">
        <v>36</v>
      </c>
      <c r="BU15" s="213" t="s">
        <v>37</v>
      </c>
      <c r="BV15" s="213" t="s">
        <v>2</v>
      </c>
      <c r="BW15" s="213" t="s">
        <v>34</v>
      </c>
      <c r="BX15" s="213" t="s">
        <v>1</v>
      </c>
      <c r="BY15" s="213" t="s">
        <v>35</v>
      </c>
      <c r="BZ15" s="213" t="s">
        <v>36</v>
      </c>
      <c r="CA15" s="213" t="s">
        <v>119</v>
      </c>
      <c r="CB15" s="214" t="s">
        <v>2</v>
      </c>
    </row>
    <row r="16" spans="1:80" ht="15.75" customHeight="1" x14ac:dyDescent="0.3">
      <c r="A16" s="292" t="s">
        <v>51</v>
      </c>
      <c r="B16" s="313" t="s">
        <v>47</v>
      </c>
      <c r="C16" s="271">
        <v>59.868560314198781</v>
      </c>
      <c r="D16" s="285">
        <v>32.086403267301378</v>
      </c>
      <c r="E16" s="285">
        <v>2.181857979794394</v>
      </c>
      <c r="F16" s="285">
        <v>3.1030313717803986</v>
      </c>
      <c r="G16" s="285">
        <v>0.49134602165844976</v>
      </c>
      <c r="H16" s="300">
        <v>2.26880104526643</v>
      </c>
      <c r="I16" s="271">
        <v>20.659340307335505</v>
      </c>
      <c r="J16" s="285">
        <v>59.970946551424497</v>
      </c>
      <c r="K16" s="285">
        <v>4.1724291742109791</v>
      </c>
      <c r="L16" s="285">
        <v>6.142305841200641</v>
      </c>
      <c r="M16" s="285">
        <v>1.8059905520235311</v>
      </c>
      <c r="N16" s="300">
        <v>7.2489875738048077</v>
      </c>
      <c r="O16" s="271">
        <v>72.357022434731505</v>
      </c>
      <c r="P16" s="285">
        <v>21.780410734199823</v>
      </c>
      <c r="Q16" s="285">
        <v>0.43061518272996269</v>
      </c>
      <c r="R16" s="285">
        <v>4.9104229809066551</v>
      </c>
      <c r="S16" s="285">
        <v>8.1531967874624491E-3</v>
      </c>
      <c r="T16" s="300">
        <v>0.51337547064461975</v>
      </c>
      <c r="U16" s="271">
        <v>77.928715047576532</v>
      </c>
      <c r="V16" s="285">
        <v>17.134560250759264</v>
      </c>
      <c r="W16" s="285">
        <v>1.2317731552183948</v>
      </c>
      <c r="X16" s="285">
        <v>2.1648450565254502</v>
      </c>
      <c r="Y16" s="285">
        <v>0.27804935008499693</v>
      </c>
      <c r="Z16" s="300">
        <v>1.2620571398353129</v>
      </c>
      <c r="AA16" s="271">
        <v>67.131389211898565</v>
      </c>
      <c r="AB16" s="285">
        <v>27.67979627651528</v>
      </c>
      <c r="AC16" s="285">
        <v>1.3553940971046055</v>
      </c>
      <c r="AD16" s="285">
        <v>1.3735372919216842</v>
      </c>
      <c r="AE16" s="285">
        <v>0.24967077757742406</v>
      </c>
      <c r="AF16" s="300">
        <v>2.2102123449824083</v>
      </c>
      <c r="AG16" s="271">
        <v>72.578935711573919</v>
      </c>
      <c r="AH16" s="285">
        <v>20.97841631903739</v>
      </c>
      <c r="AI16" s="285">
        <v>2.221612205953174</v>
      </c>
      <c r="AJ16" s="285">
        <v>2.9524965195168753</v>
      </c>
      <c r="AK16" s="285">
        <v>7.2843866132767804E-2</v>
      </c>
      <c r="AL16" s="300">
        <v>1.1956953777858432</v>
      </c>
      <c r="AM16" s="271">
        <v>47.120097656277416</v>
      </c>
      <c r="AN16" s="285">
        <v>42.56844631398188</v>
      </c>
      <c r="AO16" s="285">
        <v>4.0680379886082134</v>
      </c>
      <c r="AP16" s="285">
        <v>3.979868277282709</v>
      </c>
      <c r="AQ16" s="285">
        <v>0.66835778715324079</v>
      </c>
      <c r="AR16" s="300">
        <v>1.5951919766965656</v>
      </c>
      <c r="AS16" s="271">
        <v>98.988509581945578</v>
      </c>
      <c r="AT16" s="285">
        <v>0.91465311038604868</v>
      </c>
      <c r="AU16" s="285">
        <v>0</v>
      </c>
      <c r="AV16" s="285">
        <v>7.4925216152180188E-2</v>
      </c>
      <c r="AW16" s="285">
        <v>0</v>
      </c>
      <c r="AX16" s="300">
        <v>2.1912091516203637E-2</v>
      </c>
      <c r="AY16" s="271">
        <v>42.556395996693027</v>
      </c>
      <c r="AZ16" s="285">
        <v>45.644580695186917</v>
      </c>
      <c r="BA16" s="285">
        <v>4.4488777286521977</v>
      </c>
      <c r="BB16" s="285">
        <v>3.619922049512426</v>
      </c>
      <c r="BC16" s="285">
        <v>7.3277566383723888E-2</v>
      </c>
      <c r="BD16" s="300">
        <v>3.6569459635717561</v>
      </c>
      <c r="BE16" s="271">
        <v>38.558307673166183</v>
      </c>
      <c r="BF16" s="285">
        <v>50.923800011830053</v>
      </c>
      <c r="BG16" s="285">
        <v>2.7875474138018945</v>
      </c>
      <c r="BH16" s="285">
        <v>2.508860661383018</v>
      </c>
      <c r="BI16" s="285">
        <v>1.8705123036223834</v>
      </c>
      <c r="BJ16" s="300">
        <v>3.350971936196439</v>
      </c>
      <c r="BK16" s="271">
        <v>58.117868973132126</v>
      </c>
      <c r="BL16" s="285">
        <v>38.011563987794894</v>
      </c>
      <c r="BM16" s="285">
        <v>0.71139598940957183</v>
      </c>
      <c r="BN16" s="285">
        <v>2.4649904424946878</v>
      </c>
      <c r="BO16" s="285">
        <v>6.5670746910135719E-2</v>
      </c>
      <c r="BP16" s="300">
        <v>0.62850986025858691</v>
      </c>
      <c r="BQ16" s="271">
        <v>59.34533377897322</v>
      </c>
      <c r="BR16" s="285">
        <v>36.492814056755421</v>
      </c>
      <c r="BS16" s="285">
        <v>0.5785891253256088</v>
      </c>
      <c r="BT16" s="285">
        <v>0.5350861835718036</v>
      </c>
      <c r="BU16" s="285">
        <v>0</v>
      </c>
      <c r="BV16" s="300">
        <v>3.0481768553739395</v>
      </c>
      <c r="BW16" s="271">
        <v>82.028932130215054</v>
      </c>
      <c r="BX16" s="285">
        <v>10.938555030384874</v>
      </c>
      <c r="BY16" s="285">
        <v>4.2293290774047021</v>
      </c>
      <c r="BZ16" s="285">
        <v>0.327379125488511</v>
      </c>
      <c r="CA16" s="285">
        <v>0.51152988357579854</v>
      </c>
      <c r="CB16" s="300">
        <v>1.9642747529310662</v>
      </c>
    </row>
    <row r="17" spans="1:80" ht="15.75" customHeight="1" x14ac:dyDescent="0.3">
      <c r="A17" s="152"/>
      <c r="B17" s="86" t="s">
        <v>48</v>
      </c>
      <c r="C17" s="103">
        <v>46.35765074381758</v>
      </c>
      <c r="D17" s="105">
        <v>42.774937826317611</v>
      </c>
      <c r="E17" s="105">
        <v>2.9998498566930651</v>
      </c>
      <c r="F17" s="105">
        <v>5.2710549053076647</v>
      </c>
      <c r="G17" s="105">
        <v>0.53019618601074214</v>
      </c>
      <c r="H17" s="106">
        <v>2.0663104818532854</v>
      </c>
      <c r="I17" s="103">
        <v>16.584890577148329</v>
      </c>
      <c r="J17" s="105">
        <v>63.773750814232102</v>
      </c>
      <c r="K17" s="105">
        <v>4.6387571163608996</v>
      </c>
      <c r="L17" s="105">
        <v>6.8089871339361618</v>
      </c>
      <c r="M17" s="105">
        <v>2.2381302543055339</v>
      </c>
      <c r="N17" s="106">
        <v>5.9554841040169757</v>
      </c>
      <c r="O17" s="103">
        <v>58.001693027146096</v>
      </c>
      <c r="P17" s="105">
        <v>28.167159624215021</v>
      </c>
      <c r="Q17" s="105">
        <v>1.3216952477434125</v>
      </c>
      <c r="R17" s="105">
        <v>11.304564076417549</v>
      </c>
      <c r="S17" s="105">
        <v>0</v>
      </c>
      <c r="T17" s="106">
        <v>1.2048880244779248</v>
      </c>
      <c r="U17" s="103">
        <v>58.49598455967017</v>
      </c>
      <c r="V17" s="105">
        <v>32.317310772537787</v>
      </c>
      <c r="W17" s="105">
        <v>0.71819486126521959</v>
      </c>
      <c r="X17" s="105">
        <v>7.1317031692316872</v>
      </c>
      <c r="Y17" s="105">
        <v>3.8760377650969818E-2</v>
      </c>
      <c r="Z17" s="106">
        <v>1.2980462596441886</v>
      </c>
      <c r="AA17" s="103">
        <v>57.346506261325501</v>
      </c>
      <c r="AB17" s="105">
        <v>37.991448261806049</v>
      </c>
      <c r="AC17" s="105">
        <v>0.94742311256484946</v>
      </c>
      <c r="AD17" s="105">
        <v>2.6617478903056804</v>
      </c>
      <c r="AE17" s="105">
        <v>0.12463819789099821</v>
      </c>
      <c r="AF17" s="106">
        <v>0.92823627610696335</v>
      </c>
      <c r="AG17" s="103">
        <v>59.842530331484781</v>
      </c>
      <c r="AH17" s="105">
        <v>31.214654186559709</v>
      </c>
      <c r="AI17" s="105">
        <v>4.2750865876803896</v>
      </c>
      <c r="AJ17" s="105">
        <v>3.4017732416847726</v>
      </c>
      <c r="AK17" s="105">
        <v>0</v>
      </c>
      <c r="AL17" s="106">
        <v>1.2659556525903721</v>
      </c>
      <c r="AM17" s="103">
        <v>36.766894063480429</v>
      </c>
      <c r="AN17" s="105">
        <v>47.90330939029505</v>
      </c>
      <c r="AO17" s="105">
        <v>7.6550614479559593</v>
      </c>
      <c r="AP17" s="105">
        <v>4.4857510720374965</v>
      </c>
      <c r="AQ17" s="105">
        <v>0.57498228048132149</v>
      </c>
      <c r="AR17" s="106">
        <v>2.6140017457497411</v>
      </c>
      <c r="AS17" s="103">
        <v>97.97701620291285</v>
      </c>
      <c r="AT17" s="105">
        <v>1.9173700250512669</v>
      </c>
      <c r="AU17" s="105">
        <v>0</v>
      </c>
      <c r="AV17" s="105">
        <v>0.10561377203587349</v>
      </c>
      <c r="AW17" s="105">
        <v>0</v>
      </c>
      <c r="AX17" s="106">
        <v>0</v>
      </c>
      <c r="AY17" s="103">
        <v>28.769168267858049</v>
      </c>
      <c r="AZ17" s="105">
        <v>59.573856725215037</v>
      </c>
      <c r="BA17" s="105">
        <v>3.9969720731700695</v>
      </c>
      <c r="BB17" s="105">
        <v>6.3740395115475943</v>
      </c>
      <c r="BC17" s="105">
        <v>0.10074979822875939</v>
      </c>
      <c r="BD17" s="106">
        <v>1.1852136239805047</v>
      </c>
      <c r="BE17" s="103">
        <v>25.39632628030737</v>
      </c>
      <c r="BF17" s="105">
        <v>63.780153023636785</v>
      </c>
      <c r="BG17" s="105">
        <v>4.2634245521033547</v>
      </c>
      <c r="BH17" s="105">
        <v>3.024748013121016</v>
      </c>
      <c r="BI17" s="105">
        <v>1.14582518757537</v>
      </c>
      <c r="BJ17" s="106">
        <v>2.3895229432561358</v>
      </c>
      <c r="BK17" s="103">
        <v>36.967760150708997</v>
      </c>
      <c r="BL17" s="105">
        <v>58.723938684411635</v>
      </c>
      <c r="BM17" s="105">
        <v>0.92684090366988103</v>
      </c>
      <c r="BN17" s="105">
        <v>2.8218995370663338</v>
      </c>
      <c r="BO17" s="105">
        <v>8.6161155435697967E-2</v>
      </c>
      <c r="BP17" s="106">
        <v>0.47339956870743649</v>
      </c>
      <c r="BQ17" s="103">
        <v>38.807646620752479</v>
      </c>
      <c r="BR17" s="105">
        <v>57.503061971848311</v>
      </c>
      <c r="BS17" s="105">
        <v>0.94490297088203234</v>
      </c>
      <c r="BT17" s="105">
        <v>1.6500797035888155</v>
      </c>
      <c r="BU17" s="105">
        <v>0</v>
      </c>
      <c r="BV17" s="106">
        <v>1.0943087329283527</v>
      </c>
      <c r="BW17" s="103">
        <v>84.769809863912755</v>
      </c>
      <c r="BX17" s="105">
        <v>13.840362899334041</v>
      </c>
      <c r="BY17" s="105">
        <v>0.4439725895183862</v>
      </c>
      <c r="BZ17" s="105">
        <v>0.30885049705626866</v>
      </c>
      <c r="CA17" s="105">
        <v>0.14477367049512596</v>
      </c>
      <c r="CB17" s="106">
        <v>0.49223047968342826</v>
      </c>
    </row>
    <row r="18" spans="1:80" ht="15.75" customHeight="1" x14ac:dyDescent="0.3">
      <c r="A18" s="152"/>
      <c r="B18" s="148" t="s">
        <v>49</v>
      </c>
      <c r="C18" s="97">
        <v>48.470627310476608</v>
      </c>
      <c r="D18" s="131">
        <v>41.535179290139375</v>
      </c>
      <c r="E18" s="131">
        <v>2.1031627831921687</v>
      </c>
      <c r="F18" s="131">
        <v>4.845052204470341</v>
      </c>
      <c r="G18" s="131">
        <v>0.5356745742093455</v>
      </c>
      <c r="H18" s="191">
        <v>2.510303837512347</v>
      </c>
      <c r="I18" s="97">
        <v>17.439618854924795</v>
      </c>
      <c r="J18" s="131">
        <v>64.477695739290183</v>
      </c>
      <c r="K18" s="131">
        <v>3.1244583632255205</v>
      </c>
      <c r="L18" s="131">
        <v>6.4164844730523347</v>
      </c>
      <c r="M18" s="131">
        <v>1.7623715064729519</v>
      </c>
      <c r="N18" s="191">
        <v>6.7793710630342217</v>
      </c>
      <c r="O18" s="97">
        <v>61.878046539104083</v>
      </c>
      <c r="P18" s="131">
        <v>26.053373702303002</v>
      </c>
      <c r="Q18" s="131">
        <v>0.74283849926138279</v>
      </c>
      <c r="R18" s="131">
        <v>11.254231037836862</v>
      </c>
      <c r="S18" s="131">
        <v>6.2182801299777997E-2</v>
      </c>
      <c r="T18" s="191">
        <v>9.3274201949666985E-3</v>
      </c>
      <c r="U18" s="97">
        <v>61.246887126753968</v>
      </c>
      <c r="V18" s="131">
        <v>26.912367651008267</v>
      </c>
      <c r="W18" s="131">
        <v>2.0405354348026497</v>
      </c>
      <c r="X18" s="131">
        <v>6.7335196828486792</v>
      </c>
      <c r="Y18" s="131">
        <v>0.36402558752079117</v>
      </c>
      <c r="Z18" s="191">
        <v>2.7026645170656267</v>
      </c>
      <c r="AA18" s="97">
        <v>63.106131151785341</v>
      </c>
      <c r="AB18" s="131">
        <v>33.930429923084901</v>
      </c>
      <c r="AC18" s="131">
        <v>0.76182668535228426</v>
      </c>
      <c r="AD18" s="131">
        <v>1.9521116410293324</v>
      </c>
      <c r="AE18" s="131">
        <v>5.8992638383435485E-2</v>
      </c>
      <c r="AF18" s="191">
        <v>0.19050796036466075</v>
      </c>
      <c r="AG18" s="97">
        <v>58.468610849188074</v>
      </c>
      <c r="AH18" s="131">
        <v>34.892236520929742</v>
      </c>
      <c r="AI18" s="131">
        <v>0.59671988888538774</v>
      </c>
      <c r="AJ18" s="131">
        <v>4.6616506725294338</v>
      </c>
      <c r="AK18" s="131">
        <v>5.029729945921315E-2</v>
      </c>
      <c r="AL18" s="191">
        <v>1.3304847690081376</v>
      </c>
      <c r="AM18" s="97">
        <v>40.762402534449905</v>
      </c>
      <c r="AN18" s="131">
        <v>45.059226117672083</v>
      </c>
      <c r="AO18" s="131">
        <v>5.2855433338161664</v>
      </c>
      <c r="AP18" s="131">
        <v>3.1362825784217154</v>
      </c>
      <c r="AQ18" s="131">
        <v>1.1990223543433589</v>
      </c>
      <c r="AR18" s="191">
        <v>4.5575230812967735</v>
      </c>
      <c r="AS18" s="97">
        <v>98.308977238004246</v>
      </c>
      <c r="AT18" s="131">
        <v>0.93043032604671394</v>
      </c>
      <c r="AU18" s="131">
        <v>0</v>
      </c>
      <c r="AV18" s="131">
        <v>9.9024947819915249E-2</v>
      </c>
      <c r="AW18" s="131">
        <v>0</v>
      </c>
      <c r="AX18" s="191">
        <v>0.66156748812913169</v>
      </c>
      <c r="AY18" s="97">
        <v>30.318419733899653</v>
      </c>
      <c r="AZ18" s="131">
        <v>60.672270948172915</v>
      </c>
      <c r="BA18" s="131">
        <v>2.372474265265891</v>
      </c>
      <c r="BB18" s="131">
        <v>4.3859426429456043</v>
      </c>
      <c r="BC18" s="131">
        <v>0.11827050224399377</v>
      </c>
      <c r="BD18" s="191">
        <v>2.1326219074719588</v>
      </c>
      <c r="BE18" s="97">
        <v>22.604153307121745</v>
      </c>
      <c r="BF18" s="131">
        <v>67.832602508853697</v>
      </c>
      <c r="BG18" s="131">
        <v>3.9995625281779841</v>
      </c>
      <c r="BH18" s="131">
        <v>1.8348638290271995</v>
      </c>
      <c r="BI18" s="131">
        <v>0.44321560672856836</v>
      </c>
      <c r="BJ18" s="191">
        <v>3.2856022200908148</v>
      </c>
      <c r="BK18" s="97">
        <v>34.042344219732172</v>
      </c>
      <c r="BL18" s="131">
        <v>61.625123838480469</v>
      </c>
      <c r="BM18" s="131">
        <v>0.50720398332877847</v>
      </c>
      <c r="BN18" s="131">
        <v>2.2522589846952727</v>
      </c>
      <c r="BO18" s="131">
        <v>8.1882857338070533E-2</v>
      </c>
      <c r="BP18" s="191">
        <v>1.4911861164252531</v>
      </c>
      <c r="BQ18" s="97">
        <v>52.502606268693967</v>
      </c>
      <c r="BR18" s="131">
        <v>44.253618771723815</v>
      </c>
      <c r="BS18" s="131">
        <v>0.7609363270320072</v>
      </c>
      <c r="BT18" s="131">
        <v>2.4828386325502376</v>
      </c>
      <c r="BU18" s="131">
        <v>0</v>
      </c>
      <c r="BV18" s="191">
        <v>0</v>
      </c>
      <c r="BW18" s="97">
        <v>72.872903128305879</v>
      </c>
      <c r="BX18" s="131">
        <v>21.535439020704246</v>
      </c>
      <c r="BY18" s="131">
        <v>1.118331570197975</v>
      </c>
      <c r="BZ18" s="131">
        <v>2.765603747922019</v>
      </c>
      <c r="CA18" s="131">
        <v>0.90675532718754726</v>
      </c>
      <c r="CB18" s="191">
        <v>0.80096720568233337</v>
      </c>
    </row>
    <row r="19" spans="1:80" s="109" customFormat="1" ht="15.75" customHeight="1" x14ac:dyDescent="0.3">
      <c r="A19" s="173"/>
      <c r="B19" s="130" t="s">
        <v>14</v>
      </c>
      <c r="C19" s="192">
        <v>51.900011743192998</v>
      </c>
      <c r="D19" s="193">
        <v>39.057317440611499</v>
      </c>
      <c r="E19" s="193">
        <v>2.3657099245755058</v>
      </c>
      <c r="F19" s="193">
        <v>4.4016320500178852</v>
      </c>
      <c r="G19" s="193">
        <v>0.43907905600057617</v>
      </c>
      <c r="H19" s="194">
        <v>1.8362497856015028</v>
      </c>
      <c r="I19" s="192">
        <v>17.684996670924445</v>
      </c>
      <c r="J19" s="193">
        <v>63.860064070745082</v>
      </c>
      <c r="K19" s="193">
        <v>3.9357028238801579</v>
      </c>
      <c r="L19" s="193">
        <v>6.9188933991112975</v>
      </c>
      <c r="M19" s="193">
        <v>1.4485040724856624</v>
      </c>
      <c r="N19" s="194">
        <v>6.151838962853371</v>
      </c>
      <c r="O19" s="192">
        <v>64.916974386779074</v>
      </c>
      <c r="P19" s="193">
        <v>23.956232321961625</v>
      </c>
      <c r="Q19" s="193">
        <v>0.65346634849196628</v>
      </c>
      <c r="R19" s="193">
        <v>10.473326942767333</v>
      </c>
      <c r="S19" s="193">
        <v>0</v>
      </c>
      <c r="T19" s="194">
        <v>0</v>
      </c>
      <c r="U19" s="192">
        <v>66.75245710551259</v>
      </c>
      <c r="V19" s="193">
        <v>27.972550865971051</v>
      </c>
      <c r="W19" s="193">
        <v>0.48980704178462869</v>
      </c>
      <c r="X19" s="193">
        <v>3.0570310242236491</v>
      </c>
      <c r="Y19" s="193">
        <v>0.15441180991766759</v>
      </c>
      <c r="Z19" s="194">
        <v>1.5737421525904474</v>
      </c>
      <c r="AA19" s="192">
        <v>61.505955695716061</v>
      </c>
      <c r="AB19" s="193">
        <v>33.88067295282832</v>
      </c>
      <c r="AC19" s="193">
        <v>1.7726216708012232</v>
      </c>
      <c r="AD19" s="193">
        <v>1.8806262710757495</v>
      </c>
      <c r="AE19" s="193">
        <v>3.092076691989552E-2</v>
      </c>
      <c r="AF19" s="194">
        <v>0.9292026426587281</v>
      </c>
      <c r="AG19" s="192">
        <v>61.623581588106823</v>
      </c>
      <c r="AH19" s="193">
        <v>32.177337823202393</v>
      </c>
      <c r="AI19" s="193">
        <v>0.2927182830109562</v>
      </c>
      <c r="AJ19" s="193">
        <v>5.0218726767114177</v>
      </c>
      <c r="AK19" s="193">
        <v>5.3379363923781974E-3</v>
      </c>
      <c r="AL19" s="194">
        <v>0.87915169257602355</v>
      </c>
      <c r="AM19" s="192">
        <v>49.015833577352112</v>
      </c>
      <c r="AN19" s="193">
        <v>40.364517481240611</v>
      </c>
      <c r="AO19" s="193">
        <v>5.6279194402073021</v>
      </c>
      <c r="AP19" s="193">
        <v>2.4404888819904338</v>
      </c>
      <c r="AQ19" s="193">
        <v>1.117253463451704</v>
      </c>
      <c r="AR19" s="194">
        <v>1.4339871557577801</v>
      </c>
      <c r="AS19" s="192">
        <v>99.388737780318749</v>
      </c>
      <c r="AT19" s="193">
        <v>0.51163897357245181</v>
      </c>
      <c r="AU19" s="193">
        <v>0</v>
      </c>
      <c r="AV19" s="193">
        <v>8.9010460440841405E-2</v>
      </c>
      <c r="AW19" s="193">
        <v>0</v>
      </c>
      <c r="AX19" s="194">
        <v>1.0612785667946475E-2</v>
      </c>
      <c r="AY19" s="192">
        <v>34.612243059836111</v>
      </c>
      <c r="AZ19" s="193">
        <v>56.496184774562529</v>
      </c>
      <c r="BA19" s="193">
        <v>1.7347665408528878</v>
      </c>
      <c r="BB19" s="193">
        <v>6.0744130801295855</v>
      </c>
      <c r="BC19" s="193">
        <v>0.18559643330603146</v>
      </c>
      <c r="BD19" s="194">
        <v>0.89679611131282599</v>
      </c>
      <c r="BE19" s="192">
        <v>29.070219007886521</v>
      </c>
      <c r="BF19" s="193">
        <v>59.833404858555916</v>
      </c>
      <c r="BG19" s="193">
        <v>4.8690384899501185</v>
      </c>
      <c r="BH19" s="193">
        <v>1.6106542095524861</v>
      </c>
      <c r="BI19" s="193">
        <v>0.6438677088243363</v>
      </c>
      <c r="BJ19" s="194">
        <v>3.9728157252305807</v>
      </c>
      <c r="BK19" s="192">
        <v>33.52770909285482</v>
      </c>
      <c r="BL19" s="193">
        <v>54.18782522439647</v>
      </c>
      <c r="BM19" s="193">
        <v>5.3241876914560065</v>
      </c>
      <c r="BN19" s="193">
        <v>4.4551047560836317</v>
      </c>
      <c r="BO19" s="193">
        <v>0.12142053797530224</v>
      </c>
      <c r="BP19" s="194">
        <v>2.3837526972337724</v>
      </c>
      <c r="BQ19" s="192">
        <v>57.651266630791085</v>
      </c>
      <c r="BR19" s="193">
        <v>39.592782706119742</v>
      </c>
      <c r="BS19" s="193">
        <v>0.53435297290553174</v>
      </c>
      <c r="BT19" s="193">
        <v>2.2215976901836592</v>
      </c>
      <c r="BU19" s="193">
        <v>0</v>
      </c>
      <c r="BV19" s="194">
        <v>0</v>
      </c>
      <c r="BW19" s="192">
        <v>77.072821898216205</v>
      </c>
      <c r="BX19" s="193">
        <v>18.769615827738271</v>
      </c>
      <c r="BY19" s="193">
        <v>0.77072821898216204</v>
      </c>
      <c r="BZ19" s="193">
        <v>2.7511819156966348</v>
      </c>
      <c r="CA19" s="193">
        <v>0.19864129355210361</v>
      </c>
      <c r="CB19" s="194">
        <v>0.43701084581462796</v>
      </c>
    </row>
    <row r="20" spans="1:80" ht="15.75" customHeight="1" x14ac:dyDescent="0.3">
      <c r="A20" s="152"/>
      <c r="B20" s="148" t="s">
        <v>15</v>
      </c>
      <c r="C20" s="97">
        <v>44.707999924702989</v>
      </c>
      <c r="D20" s="131">
        <v>44.656203426154896</v>
      </c>
      <c r="E20" s="131">
        <v>2.3337325666292941</v>
      </c>
      <c r="F20" s="131">
        <v>5.4306475158620335</v>
      </c>
      <c r="G20" s="131">
        <v>0.45063277176863997</v>
      </c>
      <c r="H20" s="191">
        <v>2.4207837948821456</v>
      </c>
      <c r="I20" s="97">
        <v>17.377691649126721</v>
      </c>
      <c r="J20" s="131">
        <v>64.732206174407807</v>
      </c>
      <c r="K20" s="131">
        <v>4.391702665214706</v>
      </c>
      <c r="L20" s="131">
        <v>7.2897188558900776</v>
      </c>
      <c r="M20" s="131">
        <v>1.7142623620198754</v>
      </c>
      <c r="N20" s="191">
        <v>4.4944182933408623</v>
      </c>
      <c r="O20" s="97">
        <v>54.123969854179535</v>
      </c>
      <c r="P20" s="131">
        <v>29.133704664007642</v>
      </c>
      <c r="Q20" s="131">
        <v>0.79040313908614301</v>
      </c>
      <c r="R20" s="131">
        <v>12.612685972919092</v>
      </c>
      <c r="S20" s="131">
        <v>0</v>
      </c>
      <c r="T20" s="191">
        <v>3.3392363698076051</v>
      </c>
      <c r="U20" s="97">
        <v>57.382668598629664</v>
      </c>
      <c r="V20" s="131">
        <v>35.284996713417328</v>
      </c>
      <c r="W20" s="131">
        <v>0.28626621173314698</v>
      </c>
      <c r="X20" s="131">
        <v>5.6866468082602237</v>
      </c>
      <c r="Y20" s="131">
        <v>0.20178832170724964</v>
      </c>
      <c r="Z20" s="191">
        <v>1.1576333462524375</v>
      </c>
      <c r="AA20" s="97">
        <v>51.898248662315972</v>
      </c>
      <c r="AB20" s="131">
        <v>44.643321321044695</v>
      </c>
      <c r="AC20" s="131">
        <v>0.89660696522153893</v>
      </c>
      <c r="AD20" s="131">
        <v>2.2175616589346494</v>
      </c>
      <c r="AE20" s="131">
        <v>8.6253950052385009E-2</v>
      </c>
      <c r="AF20" s="191">
        <v>0.2580074424307493</v>
      </c>
      <c r="AG20" s="97">
        <v>53.29999895661787</v>
      </c>
      <c r="AH20" s="131">
        <v>36.496968974863577</v>
      </c>
      <c r="AI20" s="131">
        <v>0.12109964400474306</v>
      </c>
      <c r="AJ20" s="131">
        <v>7.3602532658702629</v>
      </c>
      <c r="AK20" s="131">
        <v>4.7490716423205237E-2</v>
      </c>
      <c r="AL20" s="191">
        <v>2.6741884422203581</v>
      </c>
      <c r="AM20" s="97">
        <v>41.133475488589198</v>
      </c>
      <c r="AN20" s="131">
        <v>44.624320392515656</v>
      </c>
      <c r="AO20" s="131">
        <v>5.9627651827539738</v>
      </c>
      <c r="AP20" s="131">
        <v>4.1362550161281151</v>
      </c>
      <c r="AQ20" s="131">
        <v>0.83460976969435763</v>
      </c>
      <c r="AR20" s="191">
        <v>3.308574150318738</v>
      </c>
      <c r="AS20" s="97">
        <v>99.035126813697943</v>
      </c>
      <c r="AT20" s="131">
        <v>0.7579633227354472</v>
      </c>
      <c r="AU20" s="131">
        <v>0</v>
      </c>
      <c r="AV20" s="131">
        <v>9.2587652259609479E-2</v>
      </c>
      <c r="AW20" s="131">
        <v>0</v>
      </c>
      <c r="AX20" s="191">
        <v>0.11432221130699238</v>
      </c>
      <c r="AY20" s="97">
        <v>31.922174413138077</v>
      </c>
      <c r="AZ20" s="131">
        <v>58.49614426166373</v>
      </c>
      <c r="BA20" s="131">
        <v>1.5163309390097885</v>
      </c>
      <c r="BB20" s="131">
        <v>6.0689597956443286</v>
      </c>
      <c r="BC20" s="131">
        <v>3.1188001683844811E-2</v>
      </c>
      <c r="BD20" s="191">
        <v>1.9652025888601987</v>
      </c>
      <c r="BE20" s="97">
        <v>21.289574736615968</v>
      </c>
      <c r="BF20" s="131">
        <v>65.913139215352771</v>
      </c>
      <c r="BG20" s="131">
        <v>5.6921830664434863</v>
      </c>
      <c r="BH20" s="131">
        <v>2.5771504101063081</v>
      </c>
      <c r="BI20" s="131">
        <v>0.25040503405866499</v>
      </c>
      <c r="BJ20" s="191">
        <v>4.2775475374227589</v>
      </c>
      <c r="BK20" s="97">
        <v>26.32916241561416</v>
      </c>
      <c r="BL20" s="131">
        <v>68.393147759418454</v>
      </c>
      <c r="BM20" s="131">
        <v>0.94741464342627657</v>
      </c>
      <c r="BN20" s="131">
        <v>2.108131139594791</v>
      </c>
      <c r="BO20" s="131">
        <v>6.1501817039912324E-2</v>
      </c>
      <c r="BP20" s="191">
        <v>2.1606422249064114</v>
      </c>
      <c r="BQ20" s="97">
        <v>49.806348710160556</v>
      </c>
      <c r="BR20" s="131">
        <v>45.062845904770562</v>
      </c>
      <c r="BS20" s="131">
        <v>0.77731270837358735</v>
      </c>
      <c r="BT20" s="131">
        <v>4.3534926766952617</v>
      </c>
      <c r="BU20" s="131">
        <v>0</v>
      </c>
      <c r="BV20" s="191">
        <v>0</v>
      </c>
      <c r="BW20" s="97">
        <v>81.713641488162352</v>
      </c>
      <c r="BX20" s="131">
        <v>15.942985988081817</v>
      </c>
      <c r="BY20" s="131">
        <v>0.39458850056369782</v>
      </c>
      <c r="BZ20" s="131">
        <v>0.49122241906909325</v>
      </c>
      <c r="CA20" s="131">
        <v>0.16105653084232566</v>
      </c>
      <c r="CB20" s="191">
        <v>1.2965050732807215</v>
      </c>
    </row>
    <row r="21" spans="1:80" s="109" customFormat="1" ht="15.75" customHeight="1" x14ac:dyDescent="0.3">
      <c r="A21" s="173"/>
      <c r="B21" s="130" t="s">
        <v>16</v>
      </c>
      <c r="C21" s="192">
        <v>53.78779616438608</v>
      </c>
      <c r="D21" s="193">
        <v>37.091824572562416</v>
      </c>
      <c r="E21" s="193">
        <v>2.2405880579855357</v>
      </c>
      <c r="F21" s="193">
        <v>4.2519215990178179</v>
      </c>
      <c r="G21" s="193">
        <v>0.29626883877672577</v>
      </c>
      <c r="H21" s="194">
        <v>2.331600767271377</v>
      </c>
      <c r="I21" s="192">
        <v>19.596330657352599</v>
      </c>
      <c r="J21" s="193">
        <v>61.444717203492871</v>
      </c>
      <c r="K21" s="193">
        <v>4.3624671483605475</v>
      </c>
      <c r="L21" s="193">
        <v>8.3432658369353714</v>
      </c>
      <c r="M21" s="193">
        <v>1.317933211180583</v>
      </c>
      <c r="N21" s="194">
        <v>4.9352859426779538</v>
      </c>
      <c r="O21" s="192">
        <v>61.643112450501192</v>
      </c>
      <c r="P21" s="193">
        <v>24.977064633106998</v>
      </c>
      <c r="Q21" s="193">
        <v>0.58860853122300971</v>
      </c>
      <c r="R21" s="193">
        <v>8.7075902895214412</v>
      </c>
      <c r="S21" s="193">
        <v>0</v>
      </c>
      <c r="T21" s="194">
        <v>4.0836240956473615</v>
      </c>
      <c r="U21" s="192">
        <v>72.390280354584277</v>
      </c>
      <c r="V21" s="193">
        <v>20.733981060487178</v>
      </c>
      <c r="W21" s="193">
        <v>0.38568636073660484</v>
      </c>
      <c r="X21" s="193">
        <v>5.0747286609567661</v>
      </c>
      <c r="Y21" s="193">
        <v>0.12860326294522723</v>
      </c>
      <c r="Z21" s="194">
        <v>1.2867203002899859</v>
      </c>
      <c r="AA21" s="192">
        <v>64.148422936971144</v>
      </c>
      <c r="AB21" s="193">
        <v>32.549424262836162</v>
      </c>
      <c r="AC21" s="193">
        <v>0.86158643535995738</v>
      </c>
      <c r="AD21" s="193">
        <v>1.5551578438995868</v>
      </c>
      <c r="AE21" s="193">
        <v>6.6928716610348285E-2</v>
      </c>
      <c r="AF21" s="194">
        <v>0.818479804322784</v>
      </c>
      <c r="AG21" s="192">
        <v>65.273307243739652</v>
      </c>
      <c r="AH21" s="193">
        <v>30.776418444170435</v>
      </c>
      <c r="AI21" s="193">
        <v>0.25590811336849573</v>
      </c>
      <c r="AJ21" s="193">
        <v>2.4100744569188586</v>
      </c>
      <c r="AK21" s="193">
        <v>2.7196380806126949E-2</v>
      </c>
      <c r="AL21" s="194">
        <v>1.2570953609964584</v>
      </c>
      <c r="AM21" s="192">
        <v>48.2930667941651</v>
      </c>
      <c r="AN21" s="193">
        <v>39.722117294290825</v>
      </c>
      <c r="AO21" s="193">
        <v>5.1964672264472229</v>
      </c>
      <c r="AP21" s="193">
        <v>2.6460706869179886</v>
      </c>
      <c r="AQ21" s="193">
        <v>0.55946608643302598</v>
      </c>
      <c r="AR21" s="194">
        <v>3.5828119117458193</v>
      </c>
      <c r="AS21" s="192">
        <v>99.2428202532043</v>
      </c>
      <c r="AT21" s="193">
        <v>0.60852229469338415</v>
      </c>
      <c r="AU21" s="193">
        <v>0</v>
      </c>
      <c r="AV21" s="193">
        <v>6.5930443382231738E-2</v>
      </c>
      <c r="AW21" s="193">
        <v>0</v>
      </c>
      <c r="AX21" s="194">
        <v>8.2727008720086023E-2</v>
      </c>
      <c r="AY21" s="192">
        <v>34.229238824484135</v>
      </c>
      <c r="AZ21" s="193">
        <v>55.670665294040653</v>
      </c>
      <c r="BA21" s="193">
        <v>2.3721086908820044</v>
      </c>
      <c r="BB21" s="193">
        <v>5.3503057310452453</v>
      </c>
      <c r="BC21" s="193">
        <v>6.8017631842004031E-2</v>
      </c>
      <c r="BD21" s="194">
        <v>2.3096638277059141</v>
      </c>
      <c r="BE21" s="192">
        <v>31.188737427705004</v>
      </c>
      <c r="BF21" s="193">
        <v>58.519970376842501</v>
      </c>
      <c r="BG21" s="193">
        <v>7.298736686470102</v>
      </c>
      <c r="BH21" s="193">
        <v>1.4352406684758048</v>
      </c>
      <c r="BI21" s="193">
        <v>0.15716803663930656</v>
      </c>
      <c r="BJ21" s="194">
        <v>1.4001468038672784</v>
      </c>
      <c r="BK21" s="192">
        <v>23.277115241146273</v>
      </c>
      <c r="BL21" s="193">
        <v>72.28888730416466</v>
      </c>
      <c r="BM21" s="193">
        <v>1.0855970509501032</v>
      </c>
      <c r="BN21" s="193">
        <v>1.915840172027911</v>
      </c>
      <c r="BO21" s="193">
        <v>0.10518607100539783</v>
      </c>
      <c r="BP21" s="194">
        <v>1.3273741607056653</v>
      </c>
      <c r="BQ21" s="192">
        <v>57.281958310990824</v>
      </c>
      <c r="BR21" s="193">
        <v>39.555511579807472</v>
      </c>
      <c r="BS21" s="193">
        <v>0.54271038139740735</v>
      </c>
      <c r="BT21" s="193">
        <v>2.6198197278043045</v>
      </c>
      <c r="BU21" s="193">
        <v>0</v>
      </c>
      <c r="BV21" s="194">
        <v>0</v>
      </c>
      <c r="BW21" s="192">
        <v>81.794601248571169</v>
      </c>
      <c r="BX21" s="193">
        <v>17.576716785368856</v>
      </c>
      <c r="BY21" s="193">
        <v>0.20369881883994254</v>
      </c>
      <c r="BZ21" s="193">
        <v>0.20516427796828746</v>
      </c>
      <c r="CA21" s="193">
        <v>0.21981886925173658</v>
      </c>
      <c r="CB21" s="194">
        <v>0</v>
      </c>
    </row>
    <row r="22" spans="1:80" ht="15.75" customHeight="1" x14ac:dyDescent="0.3">
      <c r="A22" s="152"/>
      <c r="B22" s="148" t="s">
        <v>8</v>
      </c>
      <c r="C22" s="97">
        <v>51.121129038307366</v>
      </c>
      <c r="D22" s="131">
        <v>37.924188211877116</v>
      </c>
      <c r="E22" s="131">
        <v>2.9065274782306294</v>
      </c>
      <c r="F22" s="131">
        <v>4.5466977139935238</v>
      </c>
      <c r="G22" s="131">
        <v>0.1709234736510431</v>
      </c>
      <c r="H22" s="191">
        <v>3.3305340839402611</v>
      </c>
      <c r="I22" s="97">
        <v>21.806732364243782</v>
      </c>
      <c r="J22" s="131">
        <v>57.191187478936058</v>
      </c>
      <c r="K22" s="131">
        <v>4.9711287023220034</v>
      </c>
      <c r="L22" s="131">
        <v>7.8065059631420031</v>
      </c>
      <c r="M22" s="131">
        <v>0.11250432882516652</v>
      </c>
      <c r="N22" s="191">
        <v>8.1119411625309787</v>
      </c>
      <c r="O22" s="97">
        <v>64.482520883770405</v>
      </c>
      <c r="P22" s="131">
        <v>21.223558366582715</v>
      </c>
      <c r="Q22" s="131">
        <v>1.7893841747140968</v>
      </c>
      <c r="R22" s="131">
        <v>8.9646766773518216</v>
      </c>
      <c r="S22" s="131">
        <v>8.0169288933222404E-3</v>
      </c>
      <c r="T22" s="191">
        <v>3.5318429686875854</v>
      </c>
      <c r="U22" s="97">
        <v>69.758633322208553</v>
      </c>
      <c r="V22" s="131">
        <v>23.159001038975727</v>
      </c>
      <c r="W22" s="131">
        <v>1.7118819874550752</v>
      </c>
      <c r="X22" s="131">
        <v>4.1268271087732957</v>
      </c>
      <c r="Y22" s="131">
        <v>0.11387551680678394</v>
      </c>
      <c r="Z22" s="191">
        <v>1.1297810257804968</v>
      </c>
      <c r="AA22" s="97">
        <v>61.332098847459157</v>
      </c>
      <c r="AB22" s="131">
        <v>33.738957300371993</v>
      </c>
      <c r="AC22" s="131">
        <v>2.2723935097618844</v>
      </c>
      <c r="AD22" s="131">
        <v>2.2900443391649095</v>
      </c>
      <c r="AE22" s="131">
        <v>0</v>
      </c>
      <c r="AF22" s="191">
        <v>0.36650600324208349</v>
      </c>
      <c r="AG22" s="97">
        <v>64.037492202057521</v>
      </c>
      <c r="AH22" s="131">
        <v>29.499425521889705</v>
      </c>
      <c r="AI22" s="131">
        <v>1.5883632818423192</v>
      </c>
      <c r="AJ22" s="131">
        <v>1.8656799958478818</v>
      </c>
      <c r="AK22" s="131">
        <v>0.87634625815794531</v>
      </c>
      <c r="AL22" s="191">
        <v>2.1326927402046136</v>
      </c>
      <c r="AM22" s="97">
        <v>43.155623064308998</v>
      </c>
      <c r="AN22" s="131">
        <v>43.17480224699267</v>
      </c>
      <c r="AO22" s="131">
        <v>5.714362388810291</v>
      </c>
      <c r="AP22" s="131">
        <v>4.4243346159257877</v>
      </c>
      <c r="AQ22" s="131">
        <v>0.37472036000729253</v>
      </c>
      <c r="AR22" s="191">
        <v>3.1561573239549841</v>
      </c>
      <c r="AS22" s="97">
        <v>98.987697341803027</v>
      </c>
      <c r="AT22" s="131">
        <v>0.89187801146758672</v>
      </c>
      <c r="AU22" s="131">
        <v>0</v>
      </c>
      <c r="AV22" s="131">
        <v>0.10353250171305421</v>
      </c>
      <c r="AW22" s="131">
        <v>0</v>
      </c>
      <c r="AX22" s="191">
        <v>1.6892145016340423E-2</v>
      </c>
      <c r="AY22" s="97">
        <v>32.100211302432221</v>
      </c>
      <c r="AZ22" s="131">
        <v>53.870610978734888</v>
      </c>
      <c r="BA22" s="131">
        <v>1.9776109337769188</v>
      </c>
      <c r="BB22" s="131">
        <v>4.40012588230005</v>
      </c>
      <c r="BC22" s="131">
        <v>1.8882345007418064E-2</v>
      </c>
      <c r="BD22" s="191">
        <v>7.6325585577485064</v>
      </c>
      <c r="BE22" s="97">
        <v>27.19774045412311</v>
      </c>
      <c r="BF22" s="131">
        <v>62.335154790297644</v>
      </c>
      <c r="BG22" s="131">
        <v>5.1108807733980059</v>
      </c>
      <c r="BH22" s="131">
        <v>2.331599091619621</v>
      </c>
      <c r="BI22" s="131">
        <v>0.3408103638553166</v>
      </c>
      <c r="BJ22" s="191">
        <v>2.6838145267063167</v>
      </c>
      <c r="BK22" s="97">
        <v>23.612573594718583</v>
      </c>
      <c r="BL22" s="131">
        <v>73.103542095328805</v>
      </c>
      <c r="BM22" s="131">
        <v>0.37567479538673454</v>
      </c>
      <c r="BN22" s="131">
        <v>1.8979948750214199</v>
      </c>
      <c r="BO22" s="131">
        <v>0.21609149093972335</v>
      </c>
      <c r="BP22" s="191">
        <v>0.79412314860475808</v>
      </c>
      <c r="BQ22" s="97">
        <v>54.634066645603916</v>
      </c>
      <c r="BR22" s="131">
        <v>41.15298168140859</v>
      </c>
      <c r="BS22" s="131">
        <v>0.31389913662721197</v>
      </c>
      <c r="BT22" s="131">
        <v>3.8990525363602835</v>
      </c>
      <c r="BU22" s="131">
        <v>0</v>
      </c>
      <c r="BV22" s="191">
        <v>0</v>
      </c>
      <c r="BW22" s="97">
        <v>82.472780505657383</v>
      </c>
      <c r="BX22" s="131">
        <v>16.597029491597791</v>
      </c>
      <c r="BY22" s="131">
        <v>0.46966970630394334</v>
      </c>
      <c r="BZ22" s="131">
        <v>0.34615267315258164</v>
      </c>
      <c r="CA22" s="131">
        <v>0.11436762328829791</v>
      </c>
      <c r="CB22" s="191">
        <v>0</v>
      </c>
    </row>
    <row r="23" spans="1:80" s="109" customFormat="1" ht="15.75" customHeight="1" x14ac:dyDescent="0.3">
      <c r="A23" s="173"/>
      <c r="B23" s="130" t="s">
        <v>9</v>
      </c>
      <c r="C23" s="192">
        <v>48.517773931982887</v>
      </c>
      <c r="D23" s="193">
        <v>40.562575614292498</v>
      </c>
      <c r="E23" s="193">
        <v>2.8320281407925156</v>
      </c>
      <c r="F23" s="193">
        <v>4.9477821186332012</v>
      </c>
      <c r="G23" s="193">
        <v>0.31136546714630597</v>
      </c>
      <c r="H23" s="194">
        <v>2.8284747271527197</v>
      </c>
      <c r="I23" s="192">
        <v>23.149219121057197</v>
      </c>
      <c r="J23" s="193">
        <v>56.572690631952447</v>
      </c>
      <c r="K23" s="193">
        <v>4.9277497658318961</v>
      </c>
      <c r="L23" s="193">
        <v>7.1994671113287376</v>
      </c>
      <c r="M23" s="193">
        <v>1.1083025643061644</v>
      </c>
      <c r="N23" s="194">
        <v>7.0425708055235736</v>
      </c>
      <c r="O23" s="192">
        <v>62.07959920013171</v>
      </c>
      <c r="P23" s="193">
        <v>28.738962354976444</v>
      </c>
      <c r="Q23" s="193">
        <v>1.213335418198195</v>
      </c>
      <c r="R23" s="193">
        <v>4.7112636445367002</v>
      </c>
      <c r="S23" s="193">
        <v>0.17438451700887383</v>
      </c>
      <c r="T23" s="194">
        <v>3.0824548651480703</v>
      </c>
      <c r="U23" s="192">
        <v>62.236512164366587</v>
      </c>
      <c r="V23" s="193">
        <v>27.143673440234277</v>
      </c>
      <c r="W23" s="193">
        <v>1.0216141889744168</v>
      </c>
      <c r="X23" s="193">
        <v>9.128680727642811</v>
      </c>
      <c r="Y23" s="193">
        <v>6.5926927627495899E-2</v>
      </c>
      <c r="Z23" s="194">
        <v>0.40359255115444526</v>
      </c>
      <c r="AA23" s="192">
        <v>54.718412500607506</v>
      </c>
      <c r="AB23" s="193">
        <v>40.431660647867766</v>
      </c>
      <c r="AC23" s="193">
        <v>1.2557182230081032</v>
      </c>
      <c r="AD23" s="193">
        <v>2.9930313722042348</v>
      </c>
      <c r="AE23" s="193">
        <v>9.6329906995768367E-3</v>
      </c>
      <c r="AF23" s="194">
        <v>0.59154426561278972</v>
      </c>
      <c r="AG23" s="192">
        <v>59.719713542948739</v>
      </c>
      <c r="AH23" s="193">
        <v>33.32682497355632</v>
      </c>
      <c r="AI23" s="193">
        <v>6.7632771734376734E-2</v>
      </c>
      <c r="AJ23" s="193">
        <v>4.9262707194071655</v>
      </c>
      <c r="AK23" s="193">
        <v>3.173721585273933E-2</v>
      </c>
      <c r="AL23" s="194">
        <v>1.9278207765006956</v>
      </c>
      <c r="AM23" s="192">
        <v>44.248182143006282</v>
      </c>
      <c r="AN23" s="193">
        <v>40.697200941062924</v>
      </c>
      <c r="AO23" s="193">
        <v>5.7725718210124306</v>
      </c>
      <c r="AP23" s="193">
        <v>4.6274147219734472</v>
      </c>
      <c r="AQ23" s="193">
        <v>0.35613523835156208</v>
      </c>
      <c r="AR23" s="194">
        <v>4.2984951345933418</v>
      </c>
      <c r="AS23" s="192">
        <v>99.791683578020979</v>
      </c>
      <c r="AT23" s="193">
        <v>1.5102232676323286E-2</v>
      </c>
      <c r="AU23" s="193">
        <v>0</v>
      </c>
      <c r="AV23" s="193">
        <v>0.14347121042507122</v>
      </c>
      <c r="AW23" s="193">
        <v>0</v>
      </c>
      <c r="AX23" s="194">
        <v>4.9742978877639822E-2</v>
      </c>
      <c r="AY23" s="192">
        <v>35.172219157463253</v>
      </c>
      <c r="AZ23" s="193">
        <v>53.036075054526307</v>
      </c>
      <c r="BA23" s="193">
        <v>4.4210619572484395</v>
      </c>
      <c r="BB23" s="193">
        <v>4.320640360074675</v>
      </c>
      <c r="BC23" s="193">
        <v>0.37282488373197525</v>
      </c>
      <c r="BD23" s="194">
        <v>2.6771785869553302</v>
      </c>
      <c r="BE23" s="192">
        <v>27.622558838422918</v>
      </c>
      <c r="BF23" s="193">
        <v>62.216418038714835</v>
      </c>
      <c r="BG23" s="193">
        <v>4.9233755227401028</v>
      </c>
      <c r="BH23" s="193">
        <v>1.7068133710406941</v>
      </c>
      <c r="BI23" s="193">
        <v>0.11363771582241577</v>
      </c>
      <c r="BJ23" s="194">
        <v>3.4171965132590563</v>
      </c>
      <c r="BK23" s="192">
        <v>24.952068692223452</v>
      </c>
      <c r="BL23" s="193">
        <v>68.439494739888403</v>
      </c>
      <c r="BM23" s="193">
        <v>1.0729049167820417</v>
      </c>
      <c r="BN23" s="193">
        <v>3.8948503852591903</v>
      </c>
      <c r="BO23" s="193">
        <v>0.58175288821070703</v>
      </c>
      <c r="BP23" s="194">
        <v>1.0589283776362219</v>
      </c>
      <c r="BQ23" s="192">
        <v>49.544059298707197</v>
      </c>
      <c r="BR23" s="193">
        <v>47.335282836447782</v>
      </c>
      <c r="BS23" s="193">
        <v>1.0405274753142189</v>
      </c>
      <c r="BT23" s="193">
        <v>1.9447482288050975</v>
      </c>
      <c r="BU23" s="193">
        <v>0</v>
      </c>
      <c r="BV23" s="194">
        <v>0.13538216072570122</v>
      </c>
      <c r="BW23" s="192">
        <v>78.902570188777204</v>
      </c>
      <c r="BX23" s="193">
        <v>19.971813225531285</v>
      </c>
      <c r="BY23" s="193">
        <v>0.48214219485962245</v>
      </c>
      <c r="BZ23" s="193">
        <v>0.550754737974261</v>
      </c>
      <c r="CA23" s="193">
        <v>9.2719652857619711E-2</v>
      </c>
      <c r="CB23" s="194">
        <v>0</v>
      </c>
    </row>
    <row r="24" spans="1:80" ht="15.75" customHeight="1" x14ac:dyDescent="0.3">
      <c r="A24" s="152"/>
      <c r="B24" s="148" t="s">
        <v>10</v>
      </c>
      <c r="C24" s="97">
        <v>46.574484375215079</v>
      </c>
      <c r="D24" s="131">
        <v>41.733805447926613</v>
      </c>
      <c r="E24" s="131">
        <v>2.6579227738494344</v>
      </c>
      <c r="F24" s="131">
        <v>5.5488755812679038</v>
      </c>
      <c r="G24" s="131">
        <v>0.48267589889173201</v>
      </c>
      <c r="H24" s="191">
        <v>3.0022359228492763</v>
      </c>
      <c r="I24" s="97">
        <v>27.576733997113369</v>
      </c>
      <c r="J24" s="131">
        <v>52.074056164875351</v>
      </c>
      <c r="K24" s="131">
        <v>3.1033841059117449</v>
      </c>
      <c r="L24" s="131">
        <v>6.7652226154105408</v>
      </c>
      <c r="M24" s="131">
        <v>1.3079543706178429</v>
      </c>
      <c r="N24" s="191">
        <v>9.1726487460711699</v>
      </c>
      <c r="O24" s="97">
        <v>57.33064540063485</v>
      </c>
      <c r="P24" s="131">
        <v>30.680971029155359</v>
      </c>
      <c r="Q24" s="131">
        <v>2.2772986246995761</v>
      </c>
      <c r="R24" s="131">
        <v>8.2443975527098541</v>
      </c>
      <c r="S24" s="131">
        <v>3.7553873499865255E-2</v>
      </c>
      <c r="T24" s="191">
        <v>1.4291335193004278</v>
      </c>
      <c r="U24" s="97">
        <v>57.894380031088446</v>
      </c>
      <c r="V24" s="131">
        <v>27.791123170568344</v>
      </c>
      <c r="W24" s="131">
        <v>2.3738908805645642</v>
      </c>
      <c r="X24" s="131">
        <v>9.5455482147824533</v>
      </c>
      <c r="Y24" s="131">
        <v>0.74978114883009472</v>
      </c>
      <c r="Z24" s="191">
        <v>1.6452765541661358</v>
      </c>
      <c r="AA24" s="97">
        <v>52.486199428904548</v>
      </c>
      <c r="AB24" s="131">
        <v>40.376866171320493</v>
      </c>
      <c r="AC24" s="131">
        <v>1.5385669770132508</v>
      </c>
      <c r="AD24" s="131">
        <v>4.5661933689625442</v>
      </c>
      <c r="AE24" s="131">
        <v>8.7787999421059068E-2</v>
      </c>
      <c r="AF24" s="191">
        <v>0.94438605437805967</v>
      </c>
      <c r="AG24" s="97">
        <v>58.803377306847096</v>
      </c>
      <c r="AH24" s="131">
        <v>34.176740949490203</v>
      </c>
      <c r="AI24" s="131">
        <v>2.9591088676334611E-2</v>
      </c>
      <c r="AJ24" s="131">
        <v>5.1088261320296953</v>
      </c>
      <c r="AK24" s="131">
        <v>4.718655831192646E-2</v>
      </c>
      <c r="AL24" s="191">
        <v>1.8342779646447607</v>
      </c>
      <c r="AM24" s="97">
        <v>41.104039724784542</v>
      </c>
      <c r="AN24" s="131">
        <v>45.456084467892552</v>
      </c>
      <c r="AO24" s="131">
        <v>6.7159834943668564</v>
      </c>
      <c r="AP24" s="131">
        <v>3.1191953012212514</v>
      </c>
      <c r="AQ24" s="131">
        <v>0.48454695223344341</v>
      </c>
      <c r="AR24" s="191">
        <v>3.1201500595013929</v>
      </c>
      <c r="AS24" s="97">
        <v>99.13088131129949</v>
      </c>
      <c r="AT24" s="131">
        <v>0.21369109717263007</v>
      </c>
      <c r="AU24" s="131">
        <v>0</v>
      </c>
      <c r="AV24" s="131">
        <v>0.4938562741534594</v>
      </c>
      <c r="AW24" s="131">
        <v>0</v>
      </c>
      <c r="AX24" s="191">
        <v>0.16157131737442762</v>
      </c>
      <c r="AY24" s="97">
        <v>31.133760441965098</v>
      </c>
      <c r="AZ24" s="131">
        <v>60.206823805349572</v>
      </c>
      <c r="BA24" s="131">
        <v>1.1523980757260124</v>
      </c>
      <c r="BB24" s="131">
        <v>5.1535936630217067</v>
      </c>
      <c r="BC24" s="131">
        <v>0.71739808029630059</v>
      </c>
      <c r="BD24" s="191">
        <v>1.6360259336412484</v>
      </c>
      <c r="BE24" s="97">
        <v>24.229557388269757</v>
      </c>
      <c r="BF24" s="131">
        <v>63.624780855949204</v>
      </c>
      <c r="BG24" s="131">
        <v>5.4665891956686155</v>
      </c>
      <c r="BH24" s="131">
        <v>2.8834724627230677</v>
      </c>
      <c r="BI24" s="131">
        <v>0.13337173366734922</v>
      </c>
      <c r="BJ24" s="191">
        <v>3.6622283637220283</v>
      </c>
      <c r="BK24" s="97">
        <v>23.853648491942209</v>
      </c>
      <c r="BL24" s="131">
        <v>63.666085046583788</v>
      </c>
      <c r="BM24" s="131">
        <v>0.5371857535592619</v>
      </c>
      <c r="BN24" s="131">
        <v>10.966368390694559</v>
      </c>
      <c r="BO24" s="131">
        <v>7.8151435566007829E-2</v>
      </c>
      <c r="BP24" s="191">
        <v>0.89856088165416093</v>
      </c>
      <c r="BQ24" s="97">
        <v>49.579384052875845</v>
      </c>
      <c r="BR24" s="131">
        <v>45.509773590212369</v>
      </c>
      <c r="BS24" s="131">
        <v>1.9499367177612155</v>
      </c>
      <c r="BT24" s="131">
        <v>2.9609056391506128</v>
      </c>
      <c r="BU24" s="131">
        <v>0</v>
      </c>
      <c r="BV24" s="191">
        <v>0</v>
      </c>
      <c r="BW24" s="97">
        <v>81.779015622960088</v>
      </c>
      <c r="BX24" s="131">
        <v>15.377808723907336</v>
      </c>
      <c r="BY24" s="131">
        <v>0.51496293717452168</v>
      </c>
      <c r="BZ24" s="131">
        <v>2.1831527336553664</v>
      </c>
      <c r="CA24" s="131">
        <v>0.14505998230268216</v>
      </c>
      <c r="CB24" s="191">
        <v>0</v>
      </c>
    </row>
    <row r="25" spans="1:80" s="109" customFormat="1" ht="15.75" customHeight="1" x14ac:dyDescent="0.3">
      <c r="A25" s="173"/>
      <c r="B25" s="130" t="s">
        <v>11</v>
      </c>
      <c r="C25" s="192">
        <v>49.728995066455461</v>
      </c>
      <c r="D25" s="193">
        <v>38.858015565743351</v>
      </c>
      <c r="E25" s="193">
        <v>2.7738058624300885</v>
      </c>
      <c r="F25" s="193">
        <v>5.4747287866338503</v>
      </c>
      <c r="G25" s="193">
        <v>0.74897029742256727</v>
      </c>
      <c r="H25" s="194">
        <v>2.4154844213146558</v>
      </c>
      <c r="I25" s="192">
        <v>26.524253014528455</v>
      </c>
      <c r="J25" s="193">
        <v>53.374195110552648</v>
      </c>
      <c r="K25" s="193">
        <v>5.5955101217842609</v>
      </c>
      <c r="L25" s="193">
        <v>7.8203166021928867</v>
      </c>
      <c r="M25" s="193">
        <v>3.1090097135393133</v>
      </c>
      <c r="N25" s="194">
        <v>3.5767154374024925</v>
      </c>
      <c r="O25" s="192">
        <v>61.550692320372171</v>
      </c>
      <c r="P25" s="193">
        <v>23.549881865968235</v>
      </c>
      <c r="Q25" s="193">
        <v>2.1187557362670462</v>
      </c>
      <c r="R25" s="193">
        <v>7.3250603897914282</v>
      </c>
      <c r="S25" s="193">
        <v>0</v>
      </c>
      <c r="T25" s="194">
        <v>5.4556096876011155</v>
      </c>
      <c r="U25" s="192">
        <v>61.734027585992216</v>
      </c>
      <c r="V25" s="193">
        <v>24.039427330235227</v>
      </c>
      <c r="W25" s="193">
        <v>1.8914469814632284</v>
      </c>
      <c r="X25" s="193">
        <v>9.7990103442946346</v>
      </c>
      <c r="Y25" s="193">
        <v>0.59784007334643829</v>
      </c>
      <c r="Z25" s="194">
        <v>1.9382476846682268</v>
      </c>
      <c r="AA25" s="192">
        <v>54.825854628502491</v>
      </c>
      <c r="AB25" s="193">
        <v>37.490168215675915</v>
      </c>
      <c r="AC25" s="193">
        <v>1.5755586059864626</v>
      </c>
      <c r="AD25" s="193">
        <v>5.1188608697641937</v>
      </c>
      <c r="AE25" s="193">
        <v>9.687904553511606E-2</v>
      </c>
      <c r="AF25" s="194">
        <v>0.89267863453590668</v>
      </c>
      <c r="AG25" s="192">
        <v>57.252133773107836</v>
      </c>
      <c r="AH25" s="193">
        <v>36.09376934106669</v>
      </c>
      <c r="AI25" s="193">
        <v>1.7412512489331875E-2</v>
      </c>
      <c r="AJ25" s="193">
        <v>4.420053765574278</v>
      </c>
      <c r="AK25" s="193">
        <v>1.228944333855906E-2</v>
      </c>
      <c r="AL25" s="194">
        <v>2.2043411644232753</v>
      </c>
      <c r="AM25" s="192">
        <v>53.407930343767482</v>
      </c>
      <c r="AN25" s="193">
        <v>35.13346548492909</v>
      </c>
      <c r="AO25" s="193">
        <v>4.4027723754630683</v>
      </c>
      <c r="AP25" s="193">
        <v>3.0018813922094338</v>
      </c>
      <c r="AQ25" s="193">
        <v>0.68247268393234894</v>
      </c>
      <c r="AR25" s="194">
        <v>3.3714777196985604</v>
      </c>
      <c r="AS25" s="192">
        <v>99.261936492580006</v>
      </c>
      <c r="AT25" s="193">
        <v>2.8829223989805416E-2</v>
      </c>
      <c r="AU25" s="193">
        <v>0</v>
      </c>
      <c r="AV25" s="193">
        <v>0.70923428343018236</v>
      </c>
      <c r="AW25" s="193">
        <v>0</v>
      </c>
      <c r="AX25" s="194">
        <v>0</v>
      </c>
      <c r="AY25" s="192">
        <v>35.312390486123633</v>
      </c>
      <c r="AZ25" s="193">
        <v>56.532530137592261</v>
      </c>
      <c r="BA25" s="193">
        <v>1.2042088414742393</v>
      </c>
      <c r="BB25" s="193">
        <v>5.17542478331133</v>
      </c>
      <c r="BC25" s="193">
        <v>0.48477446459070483</v>
      </c>
      <c r="BD25" s="194">
        <v>1.2906712869078736</v>
      </c>
      <c r="BE25" s="192">
        <v>28.639684737022719</v>
      </c>
      <c r="BF25" s="193">
        <v>60.545528850778837</v>
      </c>
      <c r="BG25" s="193">
        <v>6.4921330943571522</v>
      </c>
      <c r="BH25" s="193">
        <v>2.1361850368800637</v>
      </c>
      <c r="BI25" s="193">
        <v>9.5995284154910585E-2</v>
      </c>
      <c r="BJ25" s="194">
        <v>2.0904729968062967</v>
      </c>
      <c r="BK25" s="192">
        <v>21.589723626279866</v>
      </c>
      <c r="BL25" s="193">
        <v>72.705834510902591</v>
      </c>
      <c r="BM25" s="193">
        <v>1.2417353028626428</v>
      </c>
      <c r="BN25" s="193">
        <v>3.5938085910958386</v>
      </c>
      <c r="BO25" s="193">
        <v>0.31347353815375523</v>
      </c>
      <c r="BP25" s="194">
        <v>0.55542443070528469</v>
      </c>
      <c r="BQ25" s="192">
        <v>45.86533011268353</v>
      </c>
      <c r="BR25" s="193">
        <v>48.624677484224065</v>
      </c>
      <c r="BS25" s="193">
        <v>1.0048850703125551</v>
      </c>
      <c r="BT25" s="193">
        <v>2.06845213595407</v>
      </c>
      <c r="BU25" s="193">
        <v>0</v>
      </c>
      <c r="BV25" s="194">
        <v>2.4366551968257628</v>
      </c>
      <c r="BW25" s="192">
        <v>79.011262249524648</v>
      </c>
      <c r="BX25" s="193">
        <v>18.155623811613282</v>
      </c>
      <c r="BY25" s="193">
        <v>2.3606845107503291</v>
      </c>
      <c r="BZ25" s="193">
        <v>0.2676612549363756</v>
      </c>
      <c r="CA25" s="193">
        <v>0.20476817317536933</v>
      </c>
      <c r="CB25" s="194">
        <v>0</v>
      </c>
    </row>
    <row r="26" spans="1:80" ht="15.75" customHeight="1" x14ac:dyDescent="0.3">
      <c r="A26" s="152"/>
      <c r="B26" s="148" t="s">
        <v>12</v>
      </c>
      <c r="C26" s="97">
        <v>49.392884798356889</v>
      </c>
      <c r="D26" s="131">
        <v>38.600799234264841</v>
      </c>
      <c r="E26" s="131">
        <v>2.8779703756032551</v>
      </c>
      <c r="F26" s="131">
        <v>5.5132574175058338</v>
      </c>
      <c r="G26" s="131">
        <v>0.9774231654366321</v>
      </c>
      <c r="H26" s="191">
        <v>2.6376650088326414</v>
      </c>
      <c r="I26" s="97">
        <v>23.55946720674147</v>
      </c>
      <c r="J26" s="131">
        <v>51.933995937194247</v>
      </c>
      <c r="K26" s="131">
        <v>6.1348917625940231</v>
      </c>
      <c r="L26" s="131">
        <v>8.4977904361210133</v>
      </c>
      <c r="M26" s="131">
        <v>2.8477904973447274</v>
      </c>
      <c r="N26" s="191">
        <v>7.0260641600045037</v>
      </c>
      <c r="O26" s="97">
        <v>63.123363570549159</v>
      </c>
      <c r="P26" s="131">
        <v>28.308706424691309</v>
      </c>
      <c r="Q26" s="131">
        <v>1.0370280273823536</v>
      </c>
      <c r="R26" s="131">
        <v>6.1007534826928005</v>
      </c>
      <c r="S26" s="131">
        <v>0.12632086988982749</v>
      </c>
      <c r="T26" s="191">
        <v>1.3038276247945599</v>
      </c>
      <c r="U26" s="97">
        <v>59.326437306883186</v>
      </c>
      <c r="V26" s="131">
        <v>24.810462274550972</v>
      </c>
      <c r="W26" s="131">
        <v>1.2787642338744809</v>
      </c>
      <c r="X26" s="131">
        <v>12.785072015358431</v>
      </c>
      <c r="Y26" s="131">
        <v>0.49107351257181064</v>
      </c>
      <c r="Z26" s="191">
        <v>1.3081906567610933</v>
      </c>
      <c r="AA26" s="97">
        <v>58.068399438994554</v>
      </c>
      <c r="AB26" s="131">
        <v>36.465124261145156</v>
      </c>
      <c r="AC26" s="131">
        <v>1.4287605455234167</v>
      </c>
      <c r="AD26" s="131">
        <v>2.4536990407247461</v>
      </c>
      <c r="AE26" s="131">
        <v>0.1252121379258446</v>
      </c>
      <c r="AF26" s="191">
        <v>1.4588045756862922</v>
      </c>
      <c r="AG26" s="97">
        <v>57.074512723335147</v>
      </c>
      <c r="AH26" s="131">
        <v>36.744518137520288</v>
      </c>
      <c r="AI26" s="131">
        <v>5.5360043313481308E-2</v>
      </c>
      <c r="AJ26" s="131">
        <v>3.5565782349756345</v>
      </c>
      <c r="AK26" s="131">
        <v>1.9660259880887921E-2</v>
      </c>
      <c r="AL26" s="191">
        <v>2.5493706009745525</v>
      </c>
      <c r="AM26" s="97">
        <v>48.059461826736438</v>
      </c>
      <c r="AN26" s="131">
        <v>39.935237422222919</v>
      </c>
      <c r="AO26" s="131">
        <v>4.6683581757174508</v>
      </c>
      <c r="AP26" s="131">
        <v>3.2046744866489436</v>
      </c>
      <c r="AQ26" s="131">
        <v>0.61762652302332466</v>
      </c>
      <c r="AR26" s="191">
        <v>3.5146415656508903</v>
      </c>
      <c r="AS26" s="97">
        <v>98.53285686599186</v>
      </c>
      <c r="AT26" s="131">
        <v>0.24480719733160156</v>
      </c>
      <c r="AU26" s="131">
        <v>0</v>
      </c>
      <c r="AV26" s="131">
        <v>1.2223359366765383</v>
      </c>
      <c r="AW26" s="131">
        <v>0</v>
      </c>
      <c r="AX26" s="191">
        <v>0</v>
      </c>
      <c r="AY26" s="97">
        <v>35.462046992044236</v>
      </c>
      <c r="AZ26" s="131">
        <v>54.008630369848596</v>
      </c>
      <c r="BA26" s="131">
        <v>2.4877651789923991</v>
      </c>
      <c r="BB26" s="131">
        <v>6.1473764577484422</v>
      </c>
      <c r="BC26" s="131">
        <v>0.31625135328349363</v>
      </c>
      <c r="BD26" s="191">
        <v>1.5779296480828136</v>
      </c>
      <c r="BE26" s="97">
        <v>30.374986625329154</v>
      </c>
      <c r="BF26" s="131">
        <v>60.159269495050694</v>
      </c>
      <c r="BG26" s="131">
        <v>6.2663268847847124</v>
      </c>
      <c r="BH26" s="131">
        <v>1.1892365868361923</v>
      </c>
      <c r="BI26" s="131">
        <v>4.9518903303086996E-2</v>
      </c>
      <c r="BJ26" s="191">
        <v>1.96066150469614</v>
      </c>
      <c r="BK26" s="97">
        <v>28.723806889025933</v>
      </c>
      <c r="BL26" s="131">
        <v>51.187875713964594</v>
      </c>
      <c r="BM26" s="131">
        <v>3.579284892288126</v>
      </c>
      <c r="BN26" s="131">
        <v>2.2512579033215565</v>
      </c>
      <c r="BO26" s="131">
        <v>10.295979512361939</v>
      </c>
      <c r="BP26" s="191">
        <v>3.9617950890378451</v>
      </c>
      <c r="BQ26" s="97">
        <v>50.597672264885219</v>
      </c>
      <c r="BR26" s="131">
        <v>45.897587979438512</v>
      </c>
      <c r="BS26" s="131">
        <v>1.8170797694116669</v>
      </c>
      <c r="BT26" s="131">
        <v>1.6343312313999707</v>
      </c>
      <c r="BU26" s="131">
        <v>0</v>
      </c>
      <c r="BV26" s="191">
        <v>5.3328754864623004E-2</v>
      </c>
      <c r="BW26" s="97">
        <v>81.995801216727699</v>
      </c>
      <c r="BX26" s="131">
        <v>14.472010665522472</v>
      </c>
      <c r="BY26" s="131">
        <v>0.45205878296581214</v>
      </c>
      <c r="BZ26" s="131">
        <v>3.0035092020779381</v>
      </c>
      <c r="CA26" s="131">
        <v>7.6620132706069849E-2</v>
      </c>
      <c r="CB26" s="191">
        <v>0</v>
      </c>
    </row>
    <row r="27" spans="1:80" s="109" customFormat="1" ht="15.75" customHeight="1" x14ac:dyDescent="0.3">
      <c r="A27" s="173"/>
      <c r="B27" s="130" t="s">
        <v>13</v>
      </c>
      <c r="C27" s="192">
        <v>59.134687647033267</v>
      </c>
      <c r="D27" s="193">
        <v>30.386925997400834</v>
      </c>
      <c r="E27" s="193">
        <v>3.0001474736514839</v>
      </c>
      <c r="F27" s="193">
        <v>3.5465126252945609</v>
      </c>
      <c r="G27" s="193">
        <v>0.65011644673767977</v>
      </c>
      <c r="H27" s="194">
        <v>3.281609809882208</v>
      </c>
      <c r="I27" s="192">
        <v>26.91502725641136</v>
      </c>
      <c r="J27" s="193">
        <v>51.714451580047502</v>
      </c>
      <c r="K27" s="193">
        <v>5.9053824430265704</v>
      </c>
      <c r="L27" s="193">
        <v>7.1181396223202515</v>
      </c>
      <c r="M27" s="193">
        <v>1.9997665552218251</v>
      </c>
      <c r="N27" s="194">
        <v>6.3472325429725256</v>
      </c>
      <c r="O27" s="192">
        <v>67.600145130504757</v>
      </c>
      <c r="P27" s="193">
        <v>24.058275819552051</v>
      </c>
      <c r="Q27" s="193">
        <v>0.59829873815124779</v>
      </c>
      <c r="R27" s="193">
        <v>5.2455905118943811</v>
      </c>
      <c r="S27" s="193">
        <v>0.10473790995279725</v>
      </c>
      <c r="T27" s="194">
        <v>2.3929518899447628</v>
      </c>
      <c r="U27" s="192">
        <v>73.932987282880447</v>
      </c>
      <c r="V27" s="193">
        <v>17.031890607886943</v>
      </c>
      <c r="W27" s="193">
        <v>0.67555399650735082</v>
      </c>
      <c r="X27" s="193">
        <v>5.5207349545960458</v>
      </c>
      <c r="Y27" s="193">
        <v>0.56853842520778142</v>
      </c>
      <c r="Z27" s="194">
        <v>2.2702947329213972</v>
      </c>
      <c r="AA27" s="192">
        <v>67.147748146394889</v>
      </c>
      <c r="AB27" s="193">
        <v>29.590905114972383</v>
      </c>
      <c r="AC27" s="193">
        <v>0.81956871845269597</v>
      </c>
      <c r="AD27" s="193">
        <v>1.6655844322900313</v>
      </c>
      <c r="AE27" s="193">
        <v>2.9143148221516729E-2</v>
      </c>
      <c r="AF27" s="194">
        <v>0.74705043966843465</v>
      </c>
      <c r="AG27" s="192">
        <v>71.638392946741789</v>
      </c>
      <c r="AH27" s="193">
        <v>22.467469161378091</v>
      </c>
      <c r="AI27" s="193">
        <v>1.5189535144907915</v>
      </c>
      <c r="AJ27" s="193">
        <v>2.9332947693045353</v>
      </c>
      <c r="AK27" s="193">
        <v>5.9330684988979289E-2</v>
      </c>
      <c r="AL27" s="194">
        <v>1.3825589230958302</v>
      </c>
      <c r="AM27" s="192">
        <v>60.404753798250709</v>
      </c>
      <c r="AN27" s="193">
        <v>25.580590008957721</v>
      </c>
      <c r="AO27" s="193">
        <v>6.3445642588256215</v>
      </c>
      <c r="AP27" s="193">
        <v>2.2630095750374211</v>
      </c>
      <c r="AQ27" s="193">
        <v>0.44297304334759469</v>
      </c>
      <c r="AR27" s="194">
        <v>4.9641093155809042</v>
      </c>
      <c r="AS27" s="192">
        <v>98.96156168924945</v>
      </c>
      <c r="AT27" s="193">
        <v>0.28798452337290859</v>
      </c>
      <c r="AU27" s="193">
        <v>0</v>
      </c>
      <c r="AV27" s="193">
        <v>0.75045378737763824</v>
      </c>
      <c r="AW27" s="193">
        <v>0</v>
      </c>
      <c r="AX27" s="194">
        <v>0</v>
      </c>
      <c r="AY27" s="192">
        <v>40.988616513282786</v>
      </c>
      <c r="AZ27" s="193">
        <v>44.514976741234555</v>
      </c>
      <c r="BA27" s="193">
        <v>3.3910733580933279</v>
      </c>
      <c r="BB27" s="193">
        <v>3.6392608665762984</v>
      </c>
      <c r="BC27" s="193">
        <v>0.74636928820598147</v>
      </c>
      <c r="BD27" s="194">
        <v>6.7197032326070438</v>
      </c>
      <c r="BE27" s="192">
        <v>41.040554161053656</v>
      </c>
      <c r="BF27" s="193">
        <v>47.48062907649512</v>
      </c>
      <c r="BG27" s="193">
        <v>6.8646240175222637</v>
      </c>
      <c r="BH27" s="193">
        <v>1.3913992615062554</v>
      </c>
      <c r="BI27" s="193">
        <v>6.3600593120959836E-2</v>
      </c>
      <c r="BJ27" s="194">
        <v>3.1591928903016964</v>
      </c>
      <c r="BK27" s="192">
        <v>35.293292674487795</v>
      </c>
      <c r="BL27" s="193">
        <v>50.011579466975455</v>
      </c>
      <c r="BM27" s="193">
        <v>2.9497654119937438</v>
      </c>
      <c r="BN27" s="193">
        <v>2.0032939200878377</v>
      </c>
      <c r="BO27" s="193">
        <v>5.5737372152996576</v>
      </c>
      <c r="BP27" s="194">
        <v>4.1683313111555007</v>
      </c>
      <c r="BQ27" s="192">
        <v>61.497555422969839</v>
      </c>
      <c r="BR27" s="193">
        <v>35.844361589697954</v>
      </c>
      <c r="BS27" s="193">
        <v>0.68104022301547373</v>
      </c>
      <c r="BT27" s="193">
        <v>1.9352986334396953</v>
      </c>
      <c r="BU27" s="193">
        <v>4.1744130877013633E-2</v>
      </c>
      <c r="BV27" s="194">
        <v>0</v>
      </c>
      <c r="BW27" s="192">
        <v>76.934703748488502</v>
      </c>
      <c r="BX27" s="193">
        <v>16.881939100802462</v>
      </c>
      <c r="BY27" s="193">
        <v>3.0229746070133015</v>
      </c>
      <c r="BZ27" s="193">
        <v>1.3465977794877433</v>
      </c>
      <c r="CA27" s="193">
        <v>0</v>
      </c>
      <c r="CB27" s="194">
        <v>1.8137847642079807</v>
      </c>
    </row>
    <row r="28" spans="1:80" ht="15.75" customHeight="1" x14ac:dyDescent="0.3">
      <c r="A28" s="147" t="s">
        <v>52</v>
      </c>
      <c r="B28" s="148" t="s">
        <v>54</v>
      </c>
      <c r="C28" s="97">
        <v>62.590362840561575</v>
      </c>
      <c r="D28" s="131">
        <v>28.459299651633902</v>
      </c>
      <c r="E28" s="131">
        <v>2.4934316948344302</v>
      </c>
      <c r="F28" s="131">
        <v>3.1659321021145916</v>
      </c>
      <c r="G28" s="131">
        <v>0.47903546185656071</v>
      </c>
      <c r="H28" s="191">
        <v>2.811938248998934</v>
      </c>
      <c r="I28" s="97">
        <v>28.259242704508221</v>
      </c>
      <c r="J28" s="131">
        <v>52.778545355770468</v>
      </c>
      <c r="K28" s="131">
        <v>6.1320957801649669</v>
      </c>
      <c r="L28" s="131">
        <v>7.759417660103944</v>
      </c>
      <c r="M28" s="131">
        <v>1.6005110112433441</v>
      </c>
      <c r="N28" s="191">
        <v>3.4701874882090888</v>
      </c>
      <c r="O28" s="97">
        <v>75.904997926242814</v>
      </c>
      <c r="P28" s="131">
        <v>18.927898778872546</v>
      </c>
      <c r="Q28" s="131">
        <v>1.2255330423016222</v>
      </c>
      <c r="R28" s="131">
        <v>2.8607364670960154</v>
      </c>
      <c r="S28" s="131">
        <v>0.93481385685167551</v>
      </c>
      <c r="T28" s="191">
        <v>0.14601992863533061</v>
      </c>
      <c r="U28" s="97">
        <v>77.848252720912598</v>
      </c>
      <c r="V28" s="131">
        <v>12.924887826511169</v>
      </c>
      <c r="W28" s="131">
        <v>1.5547423789031329</v>
      </c>
      <c r="X28" s="131">
        <v>3.6357116027358645</v>
      </c>
      <c r="Y28" s="131">
        <v>0.50355119778247359</v>
      </c>
      <c r="Z28" s="191">
        <v>3.5328542731547405</v>
      </c>
      <c r="AA28" s="97">
        <v>69.430477584279146</v>
      </c>
      <c r="AB28" s="131">
        <v>24.244331676296387</v>
      </c>
      <c r="AC28" s="131">
        <v>2.559785943297292</v>
      </c>
      <c r="AD28" s="131">
        <v>2.000349502472381</v>
      </c>
      <c r="AE28" s="131">
        <v>2.68617060951565E-2</v>
      </c>
      <c r="AF28" s="191">
        <v>1.7381935875595718</v>
      </c>
      <c r="AG28" s="97">
        <v>78.387677783446435</v>
      </c>
      <c r="AH28" s="131">
        <v>17.60235600026359</v>
      </c>
      <c r="AI28" s="131">
        <v>0.15824794301677481</v>
      </c>
      <c r="AJ28" s="131">
        <v>3.2915659432620448</v>
      </c>
      <c r="AK28" s="131">
        <v>1.2678165318911498E-2</v>
      </c>
      <c r="AL28" s="191">
        <v>0.547474164692204</v>
      </c>
      <c r="AM28" s="97">
        <v>61.274364435480337</v>
      </c>
      <c r="AN28" s="131">
        <v>27.256351428323526</v>
      </c>
      <c r="AO28" s="131">
        <v>3.4657955168521539</v>
      </c>
      <c r="AP28" s="131">
        <v>1.8957797636674396</v>
      </c>
      <c r="AQ28" s="131">
        <v>0.39739814695824782</v>
      </c>
      <c r="AR28" s="191">
        <v>5.7103107087183087</v>
      </c>
      <c r="AS28" s="97">
        <v>99.265523424597504</v>
      </c>
      <c r="AT28" s="131">
        <v>9.5684806592300446E-3</v>
      </c>
      <c r="AU28" s="131">
        <v>0</v>
      </c>
      <c r="AV28" s="131">
        <v>0.49947469041180831</v>
      </c>
      <c r="AW28" s="131">
        <v>0</v>
      </c>
      <c r="AX28" s="191">
        <v>0.22543340433145981</v>
      </c>
      <c r="AY28" s="97">
        <v>44.362150579767402</v>
      </c>
      <c r="AZ28" s="131">
        <v>42.209153875133168</v>
      </c>
      <c r="BA28" s="131">
        <v>1.9143699278077333</v>
      </c>
      <c r="BB28" s="131">
        <v>5.4022667026155577</v>
      </c>
      <c r="BC28" s="131">
        <v>0.25739466067437133</v>
      </c>
      <c r="BD28" s="191">
        <v>5.8546642540017952</v>
      </c>
      <c r="BE28" s="97">
        <v>41.37904393642588</v>
      </c>
      <c r="BF28" s="131">
        <v>52.107048268006317</v>
      </c>
      <c r="BG28" s="131">
        <v>4.1893866063242093</v>
      </c>
      <c r="BH28" s="131">
        <v>0.49579484245663946</v>
      </c>
      <c r="BI28" s="131">
        <v>0.48404645211381642</v>
      </c>
      <c r="BJ28" s="191">
        <v>1.3446798946731264</v>
      </c>
      <c r="BK28" s="97">
        <v>45.351366002815666</v>
      </c>
      <c r="BL28" s="131">
        <v>49.801968799094197</v>
      </c>
      <c r="BM28" s="131">
        <v>1.0830298728412151</v>
      </c>
      <c r="BN28" s="131">
        <v>2.1390451895506248</v>
      </c>
      <c r="BO28" s="131">
        <v>0</v>
      </c>
      <c r="BP28" s="191">
        <v>1.6245901356982853</v>
      </c>
      <c r="BQ28" s="97">
        <v>58.412440158478482</v>
      </c>
      <c r="BR28" s="131">
        <v>37.790787992918034</v>
      </c>
      <c r="BS28" s="131">
        <v>1.3973002683603926</v>
      </c>
      <c r="BT28" s="131">
        <v>0.73262505795896671</v>
      </c>
      <c r="BU28" s="131">
        <v>0</v>
      </c>
      <c r="BV28" s="191">
        <v>1.6668465222841107</v>
      </c>
      <c r="BW28" s="97">
        <v>79.064217966531743</v>
      </c>
      <c r="BX28" s="131">
        <v>15.622545762097506</v>
      </c>
      <c r="BY28" s="131">
        <v>3.2411043315411101</v>
      </c>
      <c r="BZ28" s="131">
        <v>0</v>
      </c>
      <c r="CA28" s="131">
        <v>3.020600495378481E-2</v>
      </c>
      <c r="CB28" s="191">
        <v>2.0419259348758536</v>
      </c>
    </row>
    <row r="29" spans="1:80" s="109" customFormat="1" ht="15.75" customHeight="1" x14ac:dyDescent="0.3">
      <c r="A29" s="173"/>
      <c r="B29" s="109" t="s">
        <v>56</v>
      </c>
      <c r="C29" s="192">
        <v>49.138435041544554</v>
      </c>
      <c r="D29" s="193">
        <v>40.052347066204511</v>
      </c>
      <c r="E29" s="193">
        <v>3.2878109420236821</v>
      </c>
      <c r="F29" s="193">
        <v>4.4189599060090528</v>
      </c>
      <c r="G29" s="193">
        <v>0.57947635076679416</v>
      </c>
      <c r="H29" s="194">
        <v>2.5229706934514051</v>
      </c>
      <c r="I29" s="192">
        <v>21.051729005311241</v>
      </c>
      <c r="J29" s="193">
        <v>60.163212630567486</v>
      </c>
      <c r="K29" s="193">
        <v>6.9051497547777592</v>
      </c>
      <c r="L29" s="193">
        <v>5.0405489050480528</v>
      </c>
      <c r="M29" s="193">
        <v>2.4769112342823676</v>
      </c>
      <c r="N29" s="194">
        <v>4.3624484700130983</v>
      </c>
      <c r="O29" s="192">
        <v>65.736362796415079</v>
      </c>
      <c r="P29" s="193">
        <v>21.905412299695083</v>
      </c>
      <c r="Q29" s="193">
        <v>2.0250428830247489</v>
      </c>
      <c r="R29" s="193">
        <v>8.0670568653680537</v>
      </c>
      <c r="S29" s="193">
        <v>0</v>
      </c>
      <c r="T29" s="194">
        <v>2.2661251554969937</v>
      </c>
      <c r="U29" s="192">
        <v>61.7387418219529</v>
      </c>
      <c r="V29" s="193">
        <v>25.458903699255824</v>
      </c>
      <c r="W29" s="193">
        <v>1.3201800564793962</v>
      </c>
      <c r="X29" s="193">
        <v>8.4675987167154112</v>
      </c>
      <c r="Y29" s="193">
        <v>0.3049281406076666</v>
      </c>
      <c r="Z29" s="194">
        <v>2.7096475649888347</v>
      </c>
      <c r="AA29" s="192">
        <v>59.910733680192806</v>
      </c>
      <c r="AB29" s="193">
        <v>33.641248694105094</v>
      </c>
      <c r="AC29" s="193">
        <v>2.5316905779037406</v>
      </c>
      <c r="AD29" s="193">
        <v>2.6572633615027352</v>
      </c>
      <c r="AE29" s="193">
        <v>0.14682913205829717</v>
      </c>
      <c r="AF29" s="194">
        <v>1.1122345542373053</v>
      </c>
      <c r="AG29" s="192">
        <v>66.736569044500911</v>
      </c>
      <c r="AH29" s="193">
        <v>28.779752636455559</v>
      </c>
      <c r="AI29" s="193">
        <v>0.51965427681970755</v>
      </c>
      <c r="AJ29" s="193">
        <v>3.1194285620416808</v>
      </c>
      <c r="AK29" s="193">
        <v>5.8018973602415556E-3</v>
      </c>
      <c r="AL29" s="194">
        <v>0.83879358282191019</v>
      </c>
      <c r="AM29" s="192">
        <v>46.278156743783043</v>
      </c>
      <c r="AN29" s="193">
        <v>41.824712637693644</v>
      </c>
      <c r="AO29" s="193">
        <v>3.8986084401609276</v>
      </c>
      <c r="AP29" s="193">
        <v>3.2773929804582944</v>
      </c>
      <c r="AQ29" s="193">
        <v>0.27602942481165904</v>
      </c>
      <c r="AR29" s="194">
        <v>4.4450997730924566</v>
      </c>
      <c r="AS29" s="192">
        <v>99.040639275898982</v>
      </c>
      <c r="AT29" s="193">
        <v>0.16717211008577978</v>
      </c>
      <c r="AU29" s="193">
        <v>0</v>
      </c>
      <c r="AV29" s="193">
        <v>0.79218861401523821</v>
      </c>
      <c r="AW29" s="193">
        <v>0</v>
      </c>
      <c r="AX29" s="194">
        <v>0</v>
      </c>
      <c r="AY29" s="192">
        <v>34.276113456739814</v>
      </c>
      <c r="AZ29" s="193">
        <v>55.079593135272432</v>
      </c>
      <c r="BA29" s="193">
        <v>3.0180713948875963</v>
      </c>
      <c r="BB29" s="193">
        <v>5.2484207003524492</v>
      </c>
      <c r="BC29" s="193">
        <v>0.57548771679143185</v>
      </c>
      <c r="BD29" s="194">
        <v>1.8023135959563223</v>
      </c>
      <c r="BE29" s="192">
        <v>25.356690400155461</v>
      </c>
      <c r="BF29" s="193">
        <v>64.163238140831297</v>
      </c>
      <c r="BG29" s="193">
        <v>6.9600812003913219</v>
      </c>
      <c r="BH29" s="193">
        <v>1.7702118999940786</v>
      </c>
      <c r="BI29" s="193">
        <v>0.10333533776643879</v>
      </c>
      <c r="BJ29" s="194">
        <v>1.6464430208613945</v>
      </c>
      <c r="BK29" s="192">
        <v>36.197619654621811</v>
      </c>
      <c r="BL29" s="193">
        <v>55.324692169728195</v>
      </c>
      <c r="BM29" s="193">
        <v>2.8591427715235191</v>
      </c>
      <c r="BN29" s="193">
        <v>1.670423694321074</v>
      </c>
      <c r="BO29" s="193">
        <v>0.42881550757890879</v>
      </c>
      <c r="BP29" s="194">
        <v>3.5193062022264856</v>
      </c>
      <c r="BQ29" s="192">
        <v>37.453123637315038</v>
      </c>
      <c r="BR29" s="193">
        <v>58.923224512340489</v>
      </c>
      <c r="BS29" s="193">
        <v>1.1660545687697641</v>
      </c>
      <c r="BT29" s="193">
        <v>2.4575972815747233</v>
      </c>
      <c r="BU29" s="193">
        <v>0</v>
      </c>
      <c r="BV29" s="194">
        <v>0</v>
      </c>
      <c r="BW29" s="192">
        <v>71.405875386348541</v>
      </c>
      <c r="BX29" s="193">
        <v>26.023282012767556</v>
      </c>
      <c r="BY29" s="193">
        <v>1.5742800196423929</v>
      </c>
      <c r="BZ29" s="193">
        <v>0.12998642364019758</v>
      </c>
      <c r="CA29" s="193">
        <v>0.86657615760131723</v>
      </c>
      <c r="CB29" s="194">
        <v>0</v>
      </c>
    </row>
    <row r="30" spans="1:80" ht="15.75" customHeight="1" x14ac:dyDescent="0.3">
      <c r="A30" s="101"/>
      <c r="B30" s="156" t="s">
        <v>65</v>
      </c>
      <c r="C30" s="97">
        <v>44.308277955507968</v>
      </c>
      <c r="D30" s="131">
        <v>44.241721169525363</v>
      </c>
      <c r="E30" s="131">
        <v>4.3595552945517149</v>
      </c>
      <c r="F30" s="131">
        <v>4.0767469546628075</v>
      </c>
      <c r="G30" s="131">
        <v>0.80201264252627513</v>
      </c>
      <c r="H30" s="191">
        <v>2.2116859832258879</v>
      </c>
      <c r="I30" s="97">
        <v>19.793843923586973</v>
      </c>
      <c r="J30" s="131">
        <v>55.080506745745026</v>
      </c>
      <c r="K30" s="131">
        <v>12.092936057312054</v>
      </c>
      <c r="L30" s="131">
        <v>5.5729039640226947</v>
      </c>
      <c r="M30" s="131">
        <v>3.0896059226706734</v>
      </c>
      <c r="N30" s="191">
        <v>4.3702033866625944</v>
      </c>
      <c r="O30" s="97">
        <v>63.365389056942476</v>
      </c>
      <c r="P30" s="131">
        <v>26.509504981891396</v>
      </c>
      <c r="Q30" s="131">
        <v>1.9545793326100709</v>
      </c>
      <c r="R30" s="131">
        <v>7.7450090574169019</v>
      </c>
      <c r="S30" s="131">
        <v>0.31560509911972623</v>
      </c>
      <c r="T30" s="191">
        <v>0.10991247201938567</v>
      </c>
      <c r="U30" s="97">
        <v>55.086959508802799</v>
      </c>
      <c r="V30" s="131">
        <v>32.819421932371327</v>
      </c>
      <c r="W30" s="131">
        <v>2.328911778401471</v>
      </c>
      <c r="X30" s="131">
        <v>8.2312168733253763</v>
      </c>
      <c r="Y30" s="131">
        <v>0.57600655472405771</v>
      </c>
      <c r="Z30" s="191">
        <v>0.95748335237494198</v>
      </c>
      <c r="AA30" s="97">
        <v>57.820603260851819</v>
      </c>
      <c r="AB30" s="131">
        <v>35.318054044779487</v>
      </c>
      <c r="AC30" s="131">
        <v>1.7703938451410099</v>
      </c>
      <c r="AD30" s="131">
        <v>3.9234148818268748</v>
      </c>
      <c r="AE30" s="131">
        <v>0.15817495245426444</v>
      </c>
      <c r="AF30" s="191">
        <v>1.0093590149465421</v>
      </c>
      <c r="AG30" s="97">
        <v>62.09322319426532</v>
      </c>
      <c r="AH30" s="131">
        <v>32.596458819838972</v>
      </c>
      <c r="AI30" s="131">
        <v>2.903494707980435</v>
      </c>
      <c r="AJ30" s="131">
        <v>0.44112265170262444</v>
      </c>
      <c r="AK30" s="131">
        <v>6.0268609203815368E-3</v>
      </c>
      <c r="AL30" s="191">
        <v>1.959673765292252</v>
      </c>
      <c r="AM30" s="97">
        <v>38.911480830043352</v>
      </c>
      <c r="AN30" s="131">
        <v>48.549987623984073</v>
      </c>
      <c r="AO30" s="131">
        <v>5.5229327196376943</v>
      </c>
      <c r="AP30" s="131">
        <v>2.2196592697368436</v>
      </c>
      <c r="AQ30" s="131">
        <v>0.32273520801168509</v>
      </c>
      <c r="AR30" s="191">
        <v>4.4732043485863198</v>
      </c>
      <c r="AS30" s="97">
        <v>99.596427580581832</v>
      </c>
      <c r="AT30" s="131">
        <v>0.11218767481947639</v>
      </c>
      <c r="AU30" s="131">
        <v>0</v>
      </c>
      <c r="AV30" s="131">
        <v>9.3995078902804549E-2</v>
      </c>
      <c r="AW30" s="131">
        <v>0</v>
      </c>
      <c r="AX30" s="191">
        <v>0.19738966569588959</v>
      </c>
      <c r="AY30" s="97">
        <v>26.033393342511197</v>
      </c>
      <c r="AZ30" s="131">
        <v>64.450878865064794</v>
      </c>
      <c r="BA30" s="131">
        <v>2.0875019275393814</v>
      </c>
      <c r="BB30" s="131">
        <v>4.6928849180029379</v>
      </c>
      <c r="BC30" s="131">
        <v>0.3603337476381836</v>
      </c>
      <c r="BD30" s="191">
        <v>2.3750071992434751</v>
      </c>
      <c r="BE30" s="97">
        <v>19.44354722939995</v>
      </c>
      <c r="BF30" s="131">
        <v>72.449986669947947</v>
      </c>
      <c r="BG30" s="131">
        <v>4.7093535950125114</v>
      </c>
      <c r="BH30" s="131">
        <v>0.71482404331241578</v>
      </c>
      <c r="BI30" s="131">
        <v>0.89195992781264166</v>
      </c>
      <c r="BJ30" s="191">
        <v>1.7903285345145821</v>
      </c>
      <c r="BK30" s="97">
        <v>30.956468568472062</v>
      </c>
      <c r="BL30" s="131">
        <v>62.048073983353056</v>
      </c>
      <c r="BM30" s="131">
        <v>1.7938647509918182</v>
      </c>
      <c r="BN30" s="131">
        <v>2.4661117673981918</v>
      </c>
      <c r="BO30" s="131">
        <v>0.34155069078989037</v>
      </c>
      <c r="BP30" s="191">
        <v>2.3939302389950314</v>
      </c>
      <c r="BQ30" s="97">
        <v>29.447599356114772</v>
      </c>
      <c r="BR30" s="131">
        <v>67.73752708424793</v>
      </c>
      <c r="BS30" s="131">
        <v>0.90705677424836773</v>
      </c>
      <c r="BT30" s="131">
        <v>1.9078167853889036</v>
      </c>
      <c r="BU30" s="131">
        <v>0</v>
      </c>
      <c r="BV30" s="191">
        <v>0</v>
      </c>
      <c r="BW30" s="97">
        <v>70.521969390960905</v>
      </c>
      <c r="BX30" s="131">
        <v>28.535523540236074</v>
      </c>
      <c r="BY30" s="131">
        <v>0.85274449082177639</v>
      </c>
      <c r="BZ30" s="131">
        <v>8.9762577981239614E-2</v>
      </c>
      <c r="CA30" s="131">
        <v>0</v>
      </c>
      <c r="CB30" s="191">
        <v>0</v>
      </c>
    </row>
    <row r="31" spans="1:80" s="109" customFormat="1" ht="15.75" customHeight="1" x14ac:dyDescent="0.3">
      <c r="A31" s="173"/>
      <c r="B31" s="109" t="s">
        <v>66</v>
      </c>
      <c r="C31" s="192">
        <v>6.4850213598740476</v>
      </c>
      <c r="D31" s="193">
        <v>71.966889892005383</v>
      </c>
      <c r="E31" s="193">
        <v>13.674854853008261</v>
      </c>
      <c r="F31" s="193">
        <v>0.83048995089758937</v>
      </c>
      <c r="G31" s="193">
        <v>1.2284829221276319</v>
      </c>
      <c r="H31" s="194">
        <v>5.8142610220871243</v>
      </c>
      <c r="I31" s="192">
        <v>1.3579190482520274</v>
      </c>
      <c r="J31" s="193">
        <v>58.68129403163632</v>
      </c>
      <c r="K31" s="193">
        <v>27.071563870796229</v>
      </c>
      <c r="L31" s="193">
        <v>2.1334573973149014</v>
      </c>
      <c r="M31" s="193">
        <v>1.9702080287119501</v>
      </c>
      <c r="N31" s="194">
        <v>8.7855576232885824</v>
      </c>
      <c r="O31" s="192">
        <v>2.082250375012995</v>
      </c>
      <c r="P31" s="193">
        <v>75.038243899541072</v>
      </c>
      <c r="Q31" s="193">
        <v>3.2265969612808365</v>
      </c>
      <c r="R31" s="193">
        <v>0.29332699648007604</v>
      </c>
      <c r="S31" s="193">
        <v>3.050600763392791</v>
      </c>
      <c r="T31" s="194">
        <v>16.308981004292232</v>
      </c>
      <c r="U31" s="192">
        <v>0</v>
      </c>
      <c r="V31" s="193">
        <v>100</v>
      </c>
      <c r="W31" s="193">
        <v>0</v>
      </c>
      <c r="X31" s="193">
        <v>0</v>
      </c>
      <c r="Y31" s="193">
        <v>0</v>
      </c>
      <c r="Z31" s="194">
        <v>0</v>
      </c>
      <c r="AA31" s="192">
        <v>1.9759879939969984</v>
      </c>
      <c r="AB31" s="193">
        <v>92.255338195413486</v>
      </c>
      <c r="AC31" s="193">
        <v>0</v>
      </c>
      <c r="AD31" s="193">
        <v>0</v>
      </c>
      <c r="AE31" s="193">
        <v>0</v>
      </c>
      <c r="AF31" s="194">
        <v>5.7686738105895046</v>
      </c>
      <c r="AG31" s="192">
        <v>0</v>
      </c>
      <c r="AH31" s="193">
        <v>93.112947658402206</v>
      </c>
      <c r="AI31" s="193">
        <v>6.8870523415977951</v>
      </c>
      <c r="AJ31" s="193">
        <v>0</v>
      </c>
      <c r="AK31" s="193">
        <v>0</v>
      </c>
      <c r="AL31" s="194">
        <v>0</v>
      </c>
      <c r="AM31" s="192">
        <v>23.90358537014734</v>
      </c>
      <c r="AN31" s="193">
        <v>61.664678054382705</v>
      </c>
      <c r="AO31" s="193">
        <v>11.676833272324384</v>
      </c>
      <c r="AP31" s="193">
        <v>0</v>
      </c>
      <c r="AQ31" s="193">
        <v>0.49794479016181808</v>
      </c>
      <c r="AR31" s="194">
        <v>2.2569585129837288</v>
      </c>
      <c r="AS31" s="192" t="s">
        <v>108</v>
      </c>
      <c r="AT31" s="193" t="s">
        <v>108</v>
      </c>
      <c r="AU31" s="193" t="s">
        <v>108</v>
      </c>
      <c r="AV31" s="193" t="s">
        <v>108</v>
      </c>
      <c r="AW31" s="193" t="s">
        <v>108</v>
      </c>
      <c r="AX31" s="194" t="s">
        <v>108</v>
      </c>
      <c r="AY31" s="192">
        <v>8.8170679229044477</v>
      </c>
      <c r="AZ31" s="193">
        <v>64.364822322379027</v>
      </c>
      <c r="BA31" s="193">
        <v>18.256970081308182</v>
      </c>
      <c r="BB31" s="193">
        <v>0.52318075781940077</v>
      </c>
      <c r="BC31" s="193">
        <v>0.14268566122347295</v>
      </c>
      <c r="BD31" s="194">
        <v>7.8952732543655033</v>
      </c>
      <c r="BE31" s="192">
        <v>4.4881050041017234</v>
      </c>
      <c r="BF31" s="193">
        <v>89.986874487284652</v>
      </c>
      <c r="BG31" s="193">
        <v>3.3437243642329779</v>
      </c>
      <c r="BH31" s="193">
        <v>0</v>
      </c>
      <c r="BI31" s="193">
        <v>0.89663658736669416</v>
      </c>
      <c r="BJ31" s="194">
        <v>1.2846595570139459</v>
      </c>
      <c r="BK31" s="192">
        <v>0.33846872082166191</v>
      </c>
      <c r="BL31" s="193">
        <v>89.080298786181118</v>
      </c>
      <c r="BM31" s="193">
        <v>7.5746965452847785</v>
      </c>
      <c r="BN31" s="193">
        <v>1.3538748832866476</v>
      </c>
      <c r="BO31" s="193">
        <v>0.82633053221288499</v>
      </c>
      <c r="BP31" s="194">
        <v>0.82633053221288499</v>
      </c>
      <c r="BQ31" s="192">
        <v>0</v>
      </c>
      <c r="BR31" s="193">
        <v>100</v>
      </c>
      <c r="BS31" s="193">
        <v>0</v>
      </c>
      <c r="BT31" s="193">
        <v>0</v>
      </c>
      <c r="BU31" s="193">
        <v>0</v>
      </c>
      <c r="BV31" s="194">
        <v>0</v>
      </c>
      <c r="BW31" s="192">
        <v>0</v>
      </c>
      <c r="BX31" s="193">
        <v>100</v>
      </c>
      <c r="BY31" s="193">
        <v>0</v>
      </c>
      <c r="BZ31" s="193">
        <v>0</v>
      </c>
      <c r="CA31" s="193">
        <v>0</v>
      </c>
      <c r="CB31" s="194">
        <v>0</v>
      </c>
    </row>
    <row r="32" spans="1:80" ht="15.75" customHeight="1" x14ac:dyDescent="0.3">
      <c r="A32" s="101"/>
      <c r="B32" s="156" t="s">
        <v>15</v>
      </c>
      <c r="C32" s="97">
        <v>6.0807317966036525</v>
      </c>
      <c r="D32" s="131">
        <v>69.542260580156892</v>
      </c>
      <c r="E32" s="131">
        <v>7.516625906960285</v>
      </c>
      <c r="F32" s="131">
        <v>1.1688108876301961</v>
      </c>
      <c r="G32" s="131">
        <v>0.36935672665343183</v>
      </c>
      <c r="H32" s="191">
        <v>15.322214101995494</v>
      </c>
      <c r="I32" s="97">
        <v>0.10716503821813772</v>
      </c>
      <c r="J32" s="131">
        <v>55.690098194025559</v>
      </c>
      <c r="K32" s="131">
        <v>6.4242192986373015</v>
      </c>
      <c r="L32" s="131">
        <v>2.7180950602600387</v>
      </c>
      <c r="M32" s="131">
        <v>0.8037377866360329</v>
      </c>
      <c r="N32" s="191">
        <v>34.256684622222963</v>
      </c>
      <c r="O32" s="97">
        <v>0</v>
      </c>
      <c r="P32" s="131">
        <v>44.775233943525791</v>
      </c>
      <c r="Q32" s="131">
        <v>2.6929317097953098</v>
      </c>
      <c r="R32" s="131">
        <v>0</v>
      </c>
      <c r="S32" s="131">
        <v>0.33743588062734559</v>
      </c>
      <c r="T32" s="191">
        <v>52.19439846605156</v>
      </c>
      <c r="U32" s="97">
        <v>0</v>
      </c>
      <c r="V32" s="131">
        <v>97.883777796668653</v>
      </c>
      <c r="W32" s="131">
        <v>2.11622220333135</v>
      </c>
      <c r="X32" s="131">
        <v>0</v>
      </c>
      <c r="Y32" s="131">
        <v>0</v>
      </c>
      <c r="Z32" s="191">
        <v>0</v>
      </c>
      <c r="AA32" s="97">
        <v>8.1212755996730852</v>
      </c>
      <c r="AB32" s="131">
        <v>86.886143445452163</v>
      </c>
      <c r="AC32" s="131">
        <v>0.21027240194561478</v>
      </c>
      <c r="AD32" s="131">
        <v>0</v>
      </c>
      <c r="AE32" s="131">
        <v>0</v>
      </c>
      <c r="AF32" s="191">
        <v>4.782308552929134</v>
      </c>
      <c r="AG32" s="97">
        <v>0</v>
      </c>
      <c r="AH32" s="131">
        <v>86.678696791417394</v>
      </c>
      <c r="AI32" s="131">
        <v>11.679932763138378</v>
      </c>
      <c r="AJ32" s="131">
        <v>0</v>
      </c>
      <c r="AK32" s="131">
        <v>0</v>
      </c>
      <c r="AL32" s="191">
        <v>1.6413704454442082</v>
      </c>
      <c r="AM32" s="97">
        <v>21.130187504693072</v>
      </c>
      <c r="AN32" s="131">
        <v>58.354749868594091</v>
      </c>
      <c r="AO32" s="131">
        <v>14.75657816651851</v>
      </c>
      <c r="AP32" s="131">
        <v>1.9204637113866534</v>
      </c>
      <c r="AQ32" s="131">
        <v>0</v>
      </c>
      <c r="AR32" s="191">
        <v>3.8380207488076592</v>
      </c>
      <c r="AS32" s="97" t="s">
        <v>108</v>
      </c>
      <c r="AT32" s="131" t="s">
        <v>108</v>
      </c>
      <c r="AU32" s="131" t="s">
        <v>108</v>
      </c>
      <c r="AV32" s="131" t="s">
        <v>108</v>
      </c>
      <c r="AW32" s="131" t="s">
        <v>108</v>
      </c>
      <c r="AX32" s="191" t="s">
        <v>108</v>
      </c>
      <c r="AY32" s="97">
        <v>0.28885245704745954</v>
      </c>
      <c r="AZ32" s="131">
        <v>84.594135274229686</v>
      </c>
      <c r="BA32" s="131">
        <v>11.480834249133745</v>
      </c>
      <c r="BB32" s="131">
        <v>0.92060460842776604</v>
      </c>
      <c r="BC32" s="131">
        <v>5.0444088133028281E-2</v>
      </c>
      <c r="BD32" s="191">
        <v>2.6651293230283271</v>
      </c>
      <c r="BE32" s="97">
        <v>2.0488509712560181</v>
      </c>
      <c r="BF32" s="131">
        <v>95.036163356089347</v>
      </c>
      <c r="BG32" s="131">
        <v>1.2086921934232213</v>
      </c>
      <c r="BH32" s="131">
        <v>0</v>
      </c>
      <c r="BI32" s="131">
        <v>1.5342029856077155</v>
      </c>
      <c r="BJ32" s="191">
        <v>0.17209049362372258</v>
      </c>
      <c r="BK32" s="97">
        <v>1.4383599390120694</v>
      </c>
      <c r="BL32" s="131">
        <v>94.872972426842054</v>
      </c>
      <c r="BM32" s="131">
        <v>0</v>
      </c>
      <c r="BN32" s="131">
        <v>0</v>
      </c>
      <c r="BO32" s="131">
        <v>0.75867516578797511</v>
      </c>
      <c r="BP32" s="191">
        <v>2.929992468357919</v>
      </c>
      <c r="BQ32" s="97">
        <v>0</v>
      </c>
      <c r="BR32" s="131">
        <v>100</v>
      </c>
      <c r="BS32" s="131">
        <v>0</v>
      </c>
      <c r="BT32" s="131">
        <v>0</v>
      </c>
      <c r="BU32" s="131">
        <v>0</v>
      </c>
      <c r="BV32" s="191">
        <v>0</v>
      </c>
      <c r="BW32" s="97">
        <v>0</v>
      </c>
      <c r="BX32" s="131">
        <v>91.853360488798373</v>
      </c>
      <c r="BY32" s="131">
        <v>8.146639511201629</v>
      </c>
      <c r="BZ32" s="131">
        <v>0</v>
      </c>
      <c r="CA32" s="131">
        <v>0</v>
      </c>
      <c r="CB32" s="191">
        <v>0</v>
      </c>
    </row>
    <row r="33" spans="1:80" ht="15.75" customHeight="1" x14ac:dyDescent="0.3">
      <c r="A33" s="101"/>
      <c r="B33" s="130" t="s">
        <v>16</v>
      </c>
      <c r="C33" s="192">
        <v>3.4754914972446596</v>
      </c>
      <c r="D33" s="193">
        <v>67.2517301642051</v>
      </c>
      <c r="E33" s="193">
        <v>12.91792208490547</v>
      </c>
      <c r="F33" s="193">
        <v>0.44500772603260863</v>
      </c>
      <c r="G33" s="193">
        <v>1.5472457237990924</v>
      </c>
      <c r="H33" s="194">
        <v>14.362602803813015</v>
      </c>
      <c r="I33" s="192">
        <v>1.2227197663432774</v>
      </c>
      <c r="J33" s="193">
        <v>49.694712626832313</v>
      </c>
      <c r="K33" s="193">
        <v>18.767125797241032</v>
      </c>
      <c r="L33" s="193">
        <v>0.16958955663322856</v>
      </c>
      <c r="M33" s="193">
        <v>3.536256310537321</v>
      </c>
      <c r="N33" s="194">
        <v>26.609595942412827</v>
      </c>
      <c r="O33" s="192">
        <v>0</v>
      </c>
      <c r="P33" s="193">
        <v>45.860225039582609</v>
      </c>
      <c r="Q33" s="193">
        <v>6.1750154888434876</v>
      </c>
      <c r="R33" s="193">
        <v>0</v>
      </c>
      <c r="S33" s="193">
        <v>4.5187158482366101</v>
      </c>
      <c r="T33" s="194">
        <v>43.446043623337303</v>
      </c>
      <c r="U33" s="192">
        <v>0.90390652651507997</v>
      </c>
      <c r="V33" s="193">
        <v>95.643405105522078</v>
      </c>
      <c r="W33" s="193">
        <v>2.9312038334349069</v>
      </c>
      <c r="X33" s="193">
        <v>0</v>
      </c>
      <c r="Y33" s="193">
        <v>0</v>
      </c>
      <c r="Z33" s="194">
        <v>0.52148453452793075</v>
      </c>
      <c r="AA33" s="192">
        <v>0.89539735972573409</v>
      </c>
      <c r="AB33" s="193">
        <v>90.447233296619771</v>
      </c>
      <c r="AC33" s="193">
        <v>0.44831919085366789</v>
      </c>
      <c r="AD33" s="193">
        <v>0</v>
      </c>
      <c r="AE33" s="193">
        <v>9.1525371143136372E-2</v>
      </c>
      <c r="AF33" s="194">
        <v>8.1175247816576945</v>
      </c>
      <c r="AG33" s="192">
        <v>6.3338283841081005</v>
      </c>
      <c r="AH33" s="193">
        <v>90.161827737720529</v>
      </c>
      <c r="AI33" s="193">
        <v>0.3116511354104945</v>
      </c>
      <c r="AJ33" s="193">
        <v>0</v>
      </c>
      <c r="AK33" s="193">
        <v>0</v>
      </c>
      <c r="AL33" s="194">
        <v>3.1926927427608436</v>
      </c>
      <c r="AM33" s="192">
        <v>9.1559174005859951</v>
      </c>
      <c r="AN33" s="193">
        <v>53.191589207674284</v>
      </c>
      <c r="AO33" s="193">
        <v>24.427184565424756</v>
      </c>
      <c r="AP33" s="193">
        <v>1.2492128960476714</v>
      </c>
      <c r="AQ33" s="193">
        <v>0.63138962029593393</v>
      </c>
      <c r="AR33" s="193">
        <v>11.344706309971347</v>
      </c>
      <c r="AS33" s="192" t="s">
        <v>108</v>
      </c>
      <c r="AT33" s="193" t="s">
        <v>108</v>
      </c>
      <c r="AU33" s="193" t="s">
        <v>108</v>
      </c>
      <c r="AV33" s="193" t="s">
        <v>108</v>
      </c>
      <c r="AW33" s="193" t="s">
        <v>108</v>
      </c>
      <c r="AX33" s="194" t="s">
        <v>108</v>
      </c>
      <c r="AY33" s="193">
        <v>1.6630397891752677</v>
      </c>
      <c r="AZ33" s="193">
        <v>89.443989698336935</v>
      </c>
      <c r="BA33" s="193">
        <v>6.7998961847910708</v>
      </c>
      <c r="BB33" s="193">
        <v>0.5366447723052965</v>
      </c>
      <c r="BC33" s="193">
        <v>1.0161911797001337</v>
      </c>
      <c r="BD33" s="194">
        <v>0.54023837569126953</v>
      </c>
      <c r="BE33" s="192">
        <v>1.2063268273340086</v>
      </c>
      <c r="BF33" s="193">
        <v>81.240692602546574</v>
      </c>
      <c r="BG33" s="193">
        <v>10.544124774199231</v>
      </c>
      <c r="BH33" s="193">
        <v>0</v>
      </c>
      <c r="BI33" s="193">
        <v>0.12028021324404109</v>
      </c>
      <c r="BJ33" s="194">
        <v>6.8885755826761246</v>
      </c>
      <c r="BK33" s="192">
        <v>0.92672591129762216</v>
      </c>
      <c r="BL33" s="193">
        <v>95.848761622644602</v>
      </c>
      <c r="BM33" s="193">
        <v>0.97095367398996135</v>
      </c>
      <c r="BN33" s="193">
        <v>1.1931210400724102</v>
      </c>
      <c r="BO33" s="193">
        <v>0.97095367398996135</v>
      </c>
      <c r="BP33" s="194">
        <v>8.9484078005430762E-2</v>
      </c>
      <c r="BQ33" s="192">
        <v>12.098752476026814</v>
      </c>
      <c r="BR33" s="193">
        <v>87.901247523973183</v>
      </c>
      <c r="BS33" s="193">
        <v>0</v>
      </c>
      <c r="BT33" s="193">
        <v>0</v>
      </c>
      <c r="BU33" s="193">
        <v>0</v>
      </c>
      <c r="BV33" s="194">
        <v>0</v>
      </c>
      <c r="BW33" s="192">
        <v>0</v>
      </c>
      <c r="BX33" s="193">
        <v>61.821835231078367</v>
      </c>
      <c r="BY33" s="193">
        <v>38.178164768921633</v>
      </c>
      <c r="BZ33" s="193">
        <v>0</v>
      </c>
      <c r="CA33" s="193">
        <v>0</v>
      </c>
      <c r="CB33" s="194">
        <v>0</v>
      </c>
    </row>
    <row r="34" spans="1:80" ht="15.75" customHeight="1" x14ac:dyDescent="0.3">
      <c r="A34" s="101"/>
      <c r="B34" s="148" t="s">
        <v>8</v>
      </c>
      <c r="C34" s="97">
        <v>1.3833064753091147</v>
      </c>
      <c r="D34" s="131">
        <v>74.998949642440422</v>
      </c>
      <c r="E34" s="131">
        <v>11.015943495430577</v>
      </c>
      <c r="F34" s="131">
        <v>0.32751271550155464</v>
      </c>
      <c r="G34" s="131">
        <v>0.3690777834291285</v>
      </c>
      <c r="H34" s="191">
        <v>11.905209887889141</v>
      </c>
      <c r="I34" s="97">
        <v>0</v>
      </c>
      <c r="J34" s="131">
        <v>63.774687685029384</v>
      </c>
      <c r="K34" s="131">
        <v>15.024533799192172</v>
      </c>
      <c r="L34" s="131">
        <v>0</v>
      </c>
      <c r="M34" s="131">
        <v>0.86703677431835913</v>
      </c>
      <c r="N34" s="191">
        <v>20.333741741460067</v>
      </c>
      <c r="O34" s="97">
        <v>0.29339925469505218</v>
      </c>
      <c r="P34" s="131">
        <v>61.544035715603442</v>
      </c>
      <c r="Q34" s="131">
        <v>2.5859867911301331</v>
      </c>
      <c r="R34" s="131">
        <v>0</v>
      </c>
      <c r="S34" s="131">
        <v>0</v>
      </c>
      <c r="T34" s="191">
        <v>35.576578238571379</v>
      </c>
      <c r="U34" s="97">
        <v>1.0914627586948789</v>
      </c>
      <c r="V34" s="131">
        <v>93.382896200508554</v>
      </c>
      <c r="W34" s="131">
        <v>1.8696604561375723</v>
      </c>
      <c r="X34" s="131">
        <v>9.8116981448797713E-2</v>
      </c>
      <c r="Y34" s="131">
        <v>8.156712915622942E-3</v>
      </c>
      <c r="Z34" s="191">
        <v>3.5497068902945759</v>
      </c>
      <c r="AA34" s="97">
        <v>0</v>
      </c>
      <c r="AB34" s="131">
        <v>85.743711839329364</v>
      </c>
      <c r="AC34" s="131">
        <v>4.5754918264878421</v>
      </c>
      <c r="AD34" s="131">
        <v>4.7059011202437495E-2</v>
      </c>
      <c r="AE34" s="131">
        <v>5.8823764003046862E-2</v>
      </c>
      <c r="AF34" s="191">
        <v>9.574913558977304</v>
      </c>
      <c r="AG34" s="97">
        <v>11.966601623148845</v>
      </c>
      <c r="AH34" s="131">
        <v>81.720215755354573</v>
      </c>
      <c r="AI34" s="131">
        <v>3.4552292304802354</v>
      </c>
      <c r="AJ34" s="131">
        <v>0</v>
      </c>
      <c r="AK34" s="131">
        <v>0</v>
      </c>
      <c r="AL34" s="191">
        <v>2.8579533910163271</v>
      </c>
      <c r="AM34" s="97">
        <v>1.3788845084493533</v>
      </c>
      <c r="AN34" s="131">
        <v>50.768532988294233</v>
      </c>
      <c r="AO34" s="131">
        <v>27.924839520391014</v>
      </c>
      <c r="AP34" s="131">
        <v>0.16928192204359357</v>
      </c>
      <c r="AQ34" s="131">
        <v>0.69872153991046793</v>
      </c>
      <c r="AR34" s="131">
        <v>19.05973952091135</v>
      </c>
      <c r="AS34" s="97" t="s">
        <v>108</v>
      </c>
      <c r="AT34" s="131" t="s">
        <v>108</v>
      </c>
      <c r="AU34" s="131" t="s">
        <v>108</v>
      </c>
      <c r="AV34" s="131" t="s">
        <v>108</v>
      </c>
      <c r="AW34" s="131" t="s">
        <v>108</v>
      </c>
      <c r="AX34" s="191" t="s">
        <v>108</v>
      </c>
      <c r="AY34" s="131">
        <v>1.5529558799520347</v>
      </c>
      <c r="AZ34" s="131">
        <v>87.291771050898234</v>
      </c>
      <c r="BA34" s="131">
        <v>7.3324175669513423</v>
      </c>
      <c r="BB34" s="131">
        <v>0.70793620411081526</v>
      </c>
      <c r="BC34" s="131">
        <v>2.308181659526316E-2</v>
      </c>
      <c r="BD34" s="191">
        <v>3.0918374814923237</v>
      </c>
      <c r="BE34" s="97">
        <v>1.6244064384083854</v>
      </c>
      <c r="BF34" s="131">
        <v>84.720068396060555</v>
      </c>
      <c r="BG34" s="131">
        <v>8.6949602318359975</v>
      </c>
      <c r="BH34" s="131">
        <v>1.3135152540240054</v>
      </c>
      <c r="BI34" s="131">
        <v>0.38195202652938098</v>
      </c>
      <c r="BJ34" s="191">
        <v>3.2650976531416664</v>
      </c>
      <c r="BK34" s="97">
        <v>0</v>
      </c>
      <c r="BL34" s="131">
        <v>98.265880286652859</v>
      </c>
      <c r="BM34" s="131">
        <v>0.55021303815171785</v>
      </c>
      <c r="BN34" s="131">
        <v>0.75457788089378453</v>
      </c>
      <c r="BO34" s="131">
        <v>0.2878454416340514</v>
      </c>
      <c r="BP34" s="191">
        <v>0.14148335266758461</v>
      </c>
      <c r="BQ34" s="97">
        <v>0</v>
      </c>
      <c r="BR34" s="131">
        <v>98.383656635701072</v>
      </c>
      <c r="BS34" s="131">
        <v>1.201896347812023</v>
      </c>
      <c r="BT34" s="131">
        <v>0</v>
      </c>
      <c r="BU34" s="131">
        <v>0</v>
      </c>
      <c r="BV34" s="191">
        <v>0.41444701648690446</v>
      </c>
      <c r="BW34" s="97">
        <v>0</v>
      </c>
      <c r="BX34" s="131">
        <v>89.354198809786197</v>
      </c>
      <c r="BY34" s="131">
        <v>5.5102490632576595</v>
      </c>
      <c r="BZ34" s="131">
        <v>0</v>
      </c>
      <c r="CA34" s="131">
        <v>2.7551245316288298</v>
      </c>
      <c r="CB34" s="191">
        <v>2.3804275953273089</v>
      </c>
    </row>
    <row r="35" spans="1:80" ht="15.75" customHeight="1" x14ac:dyDescent="0.3">
      <c r="A35" s="101"/>
      <c r="B35" s="130" t="s">
        <v>9</v>
      </c>
      <c r="C35" s="192">
        <v>4.7801324426712837</v>
      </c>
      <c r="D35" s="193">
        <v>76.596481182061382</v>
      </c>
      <c r="E35" s="193">
        <v>10.489013782904347</v>
      </c>
      <c r="F35" s="193">
        <v>0.69034504318536116</v>
      </c>
      <c r="G35" s="193">
        <v>0.45061092483118437</v>
      </c>
      <c r="H35" s="194">
        <v>6.9934166243465006</v>
      </c>
      <c r="I35" s="192">
        <v>2.0209045769817813</v>
      </c>
      <c r="J35" s="193">
        <v>69.885044146911639</v>
      </c>
      <c r="K35" s="193">
        <v>16.247029502115577</v>
      </c>
      <c r="L35" s="193">
        <v>4.5209528777603904E-2</v>
      </c>
      <c r="M35" s="193">
        <v>1.3980177360459054</v>
      </c>
      <c r="N35" s="194">
        <v>10.40379450916749</v>
      </c>
      <c r="O35" s="192">
        <v>1.1081461313517345</v>
      </c>
      <c r="P35" s="193">
        <v>91.986100483188139</v>
      </c>
      <c r="Q35" s="193">
        <v>5.255673504425431</v>
      </c>
      <c r="R35" s="193">
        <v>0</v>
      </c>
      <c r="S35" s="193">
        <v>0.3732839667816289</v>
      </c>
      <c r="T35" s="194">
        <v>1.2767959142530745</v>
      </c>
      <c r="U35" s="192">
        <v>3.2968221656289662</v>
      </c>
      <c r="V35" s="193">
        <v>92.779221000451429</v>
      </c>
      <c r="W35" s="193">
        <v>2.6791417888200875</v>
      </c>
      <c r="X35" s="193">
        <v>0</v>
      </c>
      <c r="Y35" s="193">
        <v>2.9384960010902246E-2</v>
      </c>
      <c r="Z35" s="194">
        <v>1.2154300850886233</v>
      </c>
      <c r="AA35" s="192">
        <v>0.55456799816434132</v>
      </c>
      <c r="AB35" s="193">
        <v>88.566389198364504</v>
      </c>
      <c r="AC35" s="193">
        <v>3.2274696383696919</v>
      </c>
      <c r="AD35" s="193">
        <v>2.4466235213132702E-2</v>
      </c>
      <c r="AE35" s="193">
        <v>0.65243293901687205</v>
      </c>
      <c r="AF35" s="194">
        <v>6.9746739908714686</v>
      </c>
      <c r="AG35" s="192">
        <v>46.180354940358363</v>
      </c>
      <c r="AH35" s="193">
        <v>52.625378522461375</v>
      </c>
      <c r="AI35" s="193">
        <v>0.52040435828405862</v>
      </c>
      <c r="AJ35" s="193">
        <v>0</v>
      </c>
      <c r="AK35" s="193">
        <v>3.4010678533525095E-2</v>
      </c>
      <c r="AL35" s="194">
        <v>0.63985150036264371</v>
      </c>
      <c r="AM35" s="192">
        <v>1.6834577601190726</v>
      </c>
      <c r="AN35" s="193">
        <v>62.816331652360404</v>
      </c>
      <c r="AO35" s="193">
        <v>19.981090607299627</v>
      </c>
      <c r="AP35" s="193">
        <v>0.40583134859254238</v>
      </c>
      <c r="AQ35" s="193">
        <v>0.32022969569792686</v>
      </c>
      <c r="AR35" s="193">
        <v>14.793058935930459</v>
      </c>
      <c r="AS35" s="192" t="s">
        <v>108</v>
      </c>
      <c r="AT35" s="193" t="s">
        <v>108</v>
      </c>
      <c r="AU35" s="193" t="s">
        <v>108</v>
      </c>
      <c r="AV35" s="193" t="s">
        <v>108</v>
      </c>
      <c r="AW35" s="193" t="s">
        <v>108</v>
      </c>
      <c r="AX35" s="194" t="s">
        <v>108</v>
      </c>
      <c r="AY35" s="193">
        <v>0.22843072541588491</v>
      </c>
      <c r="AZ35" s="193">
        <v>82.069918590651639</v>
      </c>
      <c r="BA35" s="193">
        <v>9.2447694555487185</v>
      </c>
      <c r="BB35" s="193">
        <v>4.5307899401481837</v>
      </c>
      <c r="BC35" s="193">
        <v>6.7490896145602358E-2</v>
      </c>
      <c r="BD35" s="194">
        <v>3.8586003920899699</v>
      </c>
      <c r="BE35" s="192">
        <v>3.1499071331570572</v>
      </c>
      <c r="BF35" s="193">
        <v>83.126605310243363</v>
      </c>
      <c r="BG35" s="193">
        <v>8.8282133629901978</v>
      </c>
      <c r="BH35" s="193">
        <v>0.11121324572453163</v>
      </c>
      <c r="BI35" s="193">
        <v>0.40891673002795464</v>
      </c>
      <c r="BJ35" s="194">
        <v>4.3751442178569135</v>
      </c>
      <c r="BK35" s="192">
        <v>0</v>
      </c>
      <c r="BL35" s="193">
        <v>95.798022965137392</v>
      </c>
      <c r="BM35" s="193">
        <v>3.8861286006202866</v>
      </c>
      <c r="BN35" s="193">
        <v>0.21056562282821789</v>
      </c>
      <c r="BO35" s="193">
        <v>0</v>
      </c>
      <c r="BP35" s="194">
        <v>0.10528281141410895</v>
      </c>
      <c r="BQ35" s="192">
        <v>4.7707484963623037E-2</v>
      </c>
      <c r="BR35" s="193">
        <v>96.507130565163308</v>
      </c>
      <c r="BS35" s="193">
        <v>0.55885910957386986</v>
      </c>
      <c r="BT35" s="193">
        <v>0</v>
      </c>
      <c r="BU35" s="193">
        <v>0</v>
      </c>
      <c r="BV35" s="194">
        <v>2.8863028402991939</v>
      </c>
      <c r="BW35" s="192">
        <v>0</v>
      </c>
      <c r="BX35" s="193">
        <v>83.299053887289176</v>
      </c>
      <c r="BY35" s="193">
        <v>16.700946112710817</v>
      </c>
      <c r="BZ35" s="193">
        <v>0</v>
      </c>
      <c r="CA35" s="193">
        <v>0</v>
      </c>
      <c r="CB35" s="194">
        <v>0</v>
      </c>
    </row>
    <row r="36" spans="1:80" ht="15.75" customHeight="1" x14ac:dyDescent="0.3">
      <c r="A36" s="101"/>
      <c r="B36" s="148" t="s">
        <v>10</v>
      </c>
      <c r="C36" s="97">
        <v>30.135270494742894</v>
      </c>
      <c r="D36" s="131">
        <v>58.184240428574874</v>
      </c>
      <c r="E36" s="131">
        <v>7.1094972996048096</v>
      </c>
      <c r="F36" s="131">
        <v>0.89879511000603307</v>
      </c>
      <c r="G36" s="131">
        <v>0.27157421280707877</v>
      </c>
      <c r="H36" s="191">
        <v>3.4006224542643042</v>
      </c>
      <c r="I36" s="97">
        <v>11.050858421151929</v>
      </c>
      <c r="J36" s="131">
        <v>65.158747271110158</v>
      </c>
      <c r="K36" s="131">
        <v>12.047947605314937</v>
      </c>
      <c r="L36" s="131">
        <v>1.4781823572217885</v>
      </c>
      <c r="M36" s="131">
        <v>1.0794275395520581</v>
      </c>
      <c r="N36" s="191">
        <v>9.184836805649141</v>
      </c>
      <c r="O36" s="97">
        <v>46.476214575366157</v>
      </c>
      <c r="P36" s="131">
        <v>45.749690393756346</v>
      </c>
      <c r="Q36" s="131">
        <v>7.5875463024102672</v>
      </c>
      <c r="R36" s="131">
        <v>0.15736585807335801</v>
      </c>
      <c r="S36" s="131">
        <v>0</v>
      </c>
      <c r="T36" s="191">
        <v>2.9182870393885642E-2</v>
      </c>
      <c r="U36" s="97">
        <v>36.3866732917703</v>
      </c>
      <c r="V36" s="131">
        <v>59.849669939313046</v>
      </c>
      <c r="W36" s="131">
        <v>2.6976610474737259</v>
      </c>
      <c r="X36" s="131">
        <v>2.2101473791936246E-2</v>
      </c>
      <c r="Y36" s="131">
        <v>0</v>
      </c>
      <c r="Z36" s="191">
        <v>1.0438942476510178</v>
      </c>
      <c r="AA36" s="97">
        <v>34.729299837160781</v>
      </c>
      <c r="AB36" s="131">
        <v>62.805552565462051</v>
      </c>
      <c r="AC36" s="131">
        <v>1.1172579799233671</v>
      </c>
      <c r="AD36" s="131">
        <v>0.14188311762671574</v>
      </c>
      <c r="AE36" s="131">
        <v>2.3647186271119287E-2</v>
      </c>
      <c r="AF36" s="191">
        <v>1.1823593135559645</v>
      </c>
      <c r="AG36" s="97">
        <v>66.82026161777388</v>
      </c>
      <c r="AH36" s="131">
        <v>32.808336543930153</v>
      </c>
      <c r="AI36" s="131">
        <v>0.28612838717962835</v>
      </c>
      <c r="AJ36" s="131">
        <v>0</v>
      </c>
      <c r="AK36" s="131">
        <v>4.8727686352211662E-2</v>
      </c>
      <c r="AL36" s="191">
        <v>3.6545764764158745E-2</v>
      </c>
      <c r="AM36" s="97">
        <v>33.302616532437611</v>
      </c>
      <c r="AN36" s="131">
        <v>44.726295847811272</v>
      </c>
      <c r="AO36" s="131">
        <v>13.546017320233217</v>
      </c>
      <c r="AP36" s="131">
        <v>0.66554089438259223</v>
      </c>
      <c r="AQ36" s="131">
        <v>0.42391022731657657</v>
      </c>
      <c r="AR36" s="131">
        <v>7.3356191778187325</v>
      </c>
      <c r="AS36" s="97">
        <v>100</v>
      </c>
      <c r="AT36" s="131">
        <v>0</v>
      </c>
      <c r="AU36" s="131">
        <v>0</v>
      </c>
      <c r="AV36" s="131">
        <v>0</v>
      </c>
      <c r="AW36" s="131">
        <v>0</v>
      </c>
      <c r="AX36" s="191">
        <v>0</v>
      </c>
      <c r="AY36" s="131">
        <v>15.972761257607376</v>
      </c>
      <c r="AZ36" s="131">
        <v>73.353100256455392</v>
      </c>
      <c r="BA36" s="131">
        <v>6.9525491903668257</v>
      </c>
      <c r="BB36" s="131">
        <v>3.5995508753125587</v>
      </c>
      <c r="BC36" s="131">
        <v>4.8931872561598082E-2</v>
      </c>
      <c r="BD36" s="191">
        <v>7.3106547696197122E-2</v>
      </c>
      <c r="BE36" s="97">
        <v>14.844947264040384</v>
      </c>
      <c r="BF36" s="131">
        <v>74.993464346885403</v>
      </c>
      <c r="BG36" s="131">
        <v>8.2216262507887841</v>
      </c>
      <c r="BH36" s="131">
        <v>0.20350671594699363</v>
      </c>
      <c r="BI36" s="131">
        <v>0.12778328675741457</v>
      </c>
      <c r="BJ36" s="191">
        <v>1.6086721355809968</v>
      </c>
      <c r="BK36" s="97">
        <v>13.740171604040302</v>
      </c>
      <c r="BL36" s="131">
        <v>81.856509533009273</v>
      </c>
      <c r="BM36" s="131">
        <v>1.1328367984360141</v>
      </c>
      <c r="BN36" s="131">
        <v>3.0180457413301132</v>
      </c>
      <c r="BO36" s="131">
        <v>5.8254536119458016E-2</v>
      </c>
      <c r="BP36" s="191">
        <v>0.19418178706486008</v>
      </c>
      <c r="BQ36" s="97">
        <v>13.941647164034867</v>
      </c>
      <c r="BR36" s="131">
        <v>84.518215878808434</v>
      </c>
      <c r="BS36" s="131">
        <v>1.086497928333688</v>
      </c>
      <c r="BT36" s="131">
        <v>0</v>
      </c>
      <c r="BU36" s="131">
        <v>0</v>
      </c>
      <c r="BV36" s="191">
        <v>0.45363902882302676</v>
      </c>
      <c r="BW36" s="97">
        <v>12.742253684576998</v>
      </c>
      <c r="BX36" s="131">
        <v>80.72414993617268</v>
      </c>
      <c r="BY36" s="131">
        <v>2.2629685505396306</v>
      </c>
      <c r="BZ36" s="131">
        <v>0</v>
      </c>
      <c r="CA36" s="131">
        <v>0</v>
      </c>
      <c r="CB36" s="191">
        <v>4.2706278287106878</v>
      </c>
    </row>
    <row r="37" spans="1:80" ht="15.75" customHeight="1" x14ac:dyDescent="0.3">
      <c r="A37" s="101"/>
      <c r="B37" s="130" t="s">
        <v>11</v>
      </c>
      <c r="C37" s="192">
        <v>49.747445444244072</v>
      </c>
      <c r="D37" s="193">
        <v>43.1966250640032</v>
      </c>
      <c r="E37" s="193">
        <v>3.1998792105077487</v>
      </c>
      <c r="F37" s="193">
        <v>0.75385339022702513</v>
      </c>
      <c r="G37" s="193">
        <v>0.41269761883386746</v>
      </c>
      <c r="H37" s="194">
        <v>2.6894992721840554</v>
      </c>
      <c r="I37" s="192">
        <v>18.510640604141837</v>
      </c>
      <c r="J37" s="193">
        <v>64.709364715534861</v>
      </c>
      <c r="K37" s="193">
        <v>8.6378042242235367</v>
      </c>
      <c r="L37" s="193">
        <v>1.0283318644466326</v>
      </c>
      <c r="M37" s="193">
        <v>0.76743423987406179</v>
      </c>
      <c r="N37" s="194">
        <v>6.3464243517790466</v>
      </c>
      <c r="O37" s="192">
        <v>71.378031718041811</v>
      </c>
      <c r="P37" s="193">
        <v>27.732192907200638</v>
      </c>
      <c r="Q37" s="193">
        <v>0.65110610241793121</v>
      </c>
      <c r="R37" s="193">
        <v>0.11592507513640048</v>
      </c>
      <c r="S37" s="193">
        <v>0</v>
      </c>
      <c r="T37" s="194">
        <v>0.12274419720324757</v>
      </c>
      <c r="U37" s="192">
        <v>60.90266172049045</v>
      </c>
      <c r="V37" s="193">
        <v>31.783237208882507</v>
      </c>
      <c r="W37" s="193">
        <v>0.8862588188386491</v>
      </c>
      <c r="X37" s="193">
        <v>0.49033856240582285</v>
      </c>
      <c r="Y37" s="193">
        <v>0.52405298125278077</v>
      </c>
      <c r="Z37" s="194">
        <v>5.4134507081298242</v>
      </c>
      <c r="AA37" s="192">
        <v>63.064817127677266</v>
      </c>
      <c r="AB37" s="193">
        <v>35.120557361624037</v>
      </c>
      <c r="AC37" s="193">
        <v>1.2561319977858953</v>
      </c>
      <c r="AD37" s="193">
        <v>2.0398428954531658E-2</v>
      </c>
      <c r="AE37" s="193">
        <v>0.10089282824217456</v>
      </c>
      <c r="AF37" s="194">
        <v>0.43720225571608973</v>
      </c>
      <c r="AG37" s="192">
        <v>72.688496023453411</v>
      </c>
      <c r="AH37" s="193">
        <v>26.677202027351125</v>
      </c>
      <c r="AI37" s="193">
        <v>9.6310918647672258E-2</v>
      </c>
      <c r="AJ37" s="193">
        <v>9.0566645310828059E-2</v>
      </c>
      <c r="AK37" s="193">
        <v>0</v>
      </c>
      <c r="AL37" s="194">
        <v>0.44742438523696587</v>
      </c>
      <c r="AM37" s="192">
        <v>41.486983227105576</v>
      </c>
      <c r="AN37" s="193">
        <v>43.735503837207141</v>
      </c>
      <c r="AO37" s="193">
        <v>7.246793317870762</v>
      </c>
      <c r="AP37" s="193">
        <v>1.9695988120959449</v>
      </c>
      <c r="AQ37" s="193">
        <v>0.43828456653833747</v>
      </c>
      <c r="AR37" s="193">
        <v>5.1228362391822522</v>
      </c>
      <c r="AS37" s="192">
        <v>97.461421603901812</v>
      </c>
      <c r="AT37" s="193">
        <v>2.5385783960981847</v>
      </c>
      <c r="AU37" s="193">
        <v>0</v>
      </c>
      <c r="AV37" s="193">
        <v>0</v>
      </c>
      <c r="AW37" s="193">
        <v>0</v>
      </c>
      <c r="AX37" s="194">
        <v>0</v>
      </c>
      <c r="AY37" s="193">
        <v>36.246175033226976</v>
      </c>
      <c r="AZ37" s="193">
        <v>57.620913596104117</v>
      </c>
      <c r="BA37" s="193">
        <v>2.957459157425502</v>
      </c>
      <c r="BB37" s="193">
        <v>1.5297291356862963</v>
      </c>
      <c r="BC37" s="193">
        <v>1.0659250838831098</v>
      </c>
      <c r="BD37" s="194">
        <v>0.57979799367399443</v>
      </c>
      <c r="BE37" s="192">
        <v>30.095116620910101</v>
      </c>
      <c r="BF37" s="193">
        <v>63.788280616067418</v>
      </c>
      <c r="BG37" s="193">
        <v>3.7497051099583385</v>
      </c>
      <c r="BH37" s="193">
        <v>0.85744950575132806</v>
      </c>
      <c r="BI37" s="193">
        <v>0.65873898537086162</v>
      </c>
      <c r="BJ37" s="194">
        <v>0.8507091619419449</v>
      </c>
      <c r="BK37" s="192">
        <v>43.207104473093324</v>
      </c>
      <c r="BL37" s="193">
        <v>54.227615611675951</v>
      </c>
      <c r="BM37" s="193">
        <v>1.8052156654977249</v>
      </c>
      <c r="BN37" s="193">
        <v>0.19510390123705965</v>
      </c>
      <c r="BO37" s="193">
        <v>0.36649258689271808</v>
      </c>
      <c r="BP37" s="194">
        <v>0.19846776160321586</v>
      </c>
      <c r="BQ37" s="192">
        <v>29.506090738038111</v>
      </c>
      <c r="BR37" s="193">
        <v>69.524747666181696</v>
      </c>
      <c r="BS37" s="193">
        <v>0.96916159578017502</v>
      </c>
      <c r="BT37" s="193">
        <v>0</v>
      </c>
      <c r="BU37" s="193">
        <v>0</v>
      </c>
      <c r="BV37" s="194">
        <v>0</v>
      </c>
      <c r="BW37" s="192">
        <v>6.5018958011515231</v>
      </c>
      <c r="BX37" s="193">
        <v>88.526892290408654</v>
      </c>
      <c r="BY37" s="193">
        <v>4.9150400224687543</v>
      </c>
      <c r="BZ37" s="193">
        <v>0</v>
      </c>
      <c r="CA37" s="193">
        <v>0</v>
      </c>
      <c r="CB37" s="194">
        <v>5.6171885971071485E-2</v>
      </c>
    </row>
    <row r="38" spans="1:80" ht="15.75" customHeight="1" x14ac:dyDescent="0.3">
      <c r="A38" s="101"/>
      <c r="B38" s="148" t="s">
        <v>12</v>
      </c>
      <c r="C38" s="97">
        <v>50.912275273938334</v>
      </c>
      <c r="D38" s="131">
        <v>41.905711179426234</v>
      </c>
      <c r="E38" s="131">
        <v>3.5511879852701163</v>
      </c>
      <c r="F38" s="131">
        <v>0.96419354834123738</v>
      </c>
      <c r="G38" s="131">
        <v>0.23979145911342398</v>
      </c>
      <c r="H38" s="191">
        <v>2.4268405539104241</v>
      </c>
      <c r="I38" s="97">
        <v>20.045821692830998</v>
      </c>
      <c r="J38" s="131">
        <v>58.207836704370855</v>
      </c>
      <c r="K38" s="131">
        <v>11.793306240348281</v>
      </c>
      <c r="L38" s="131">
        <v>1.569146207306793</v>
      </c>
      <c r="M38" s="131">
        <v>0.5626405140134112</v>
      </c>
      <c r="N38" s="191">
        <v>7.8212486411296425</v>
      </c>
      <c r="O38" s="97">
        <v>74.716535029822978</v>
      </c>
      <c r="P38" s="131">
        <v>25.01009158466017</v>
      </c>
      <c r="Q38" s="131">
        <v>6.4609508736011734E-2</v>
      </c>
      <c r="R38" s="131">
        <v>0.20876387678082636</v>
      </c>
      <c r="S38" s="131">
        <v>0</v>
      </c>
      <c r="T38" s="191">
        <v>0</v>
      </c>
      <c r="U38" s="97">
        <v>60.074725288588162</v>
      </c>
      <c r="V38" s="131">
        <v>34.259507741463054</v>
      </c>
      <c r="W38" s="131">
        <v>1.8228463330621041</v>
      </c>
      <c r="X38" s="131">
        <v>0.24913685883706879</v>
      </c>
      <c r="Y38" s="131">
        <v>0.5062585977231765</v>
      </c>
      <c r="Z38" s="191">
        <v>3.0875251803264012</v>
      </c>
      <c r="AA38" s="97">
        <v>63.84376398619672</v>
      </c>
      <c r="AB38" s="131">
        <v>32.969086267626331</v>
      </c>
      <c r="AC38" s="131">
        <v>0.68623457884667816</v>
      </c>
      <c r="AD38" s="131">
        <v>2.7555676235781888E-2</v>
      </c>
      <c r="AE38" s="131">
        <v>9.7870160423639121E-2</v>
      </c>
      <c r="AF38" s="191">
        <v>2.3754893306708524</v>
      </c>
      <c r="AG38" s="97">
        <v>72.885231751232865</v>
      </c>
      <c r="AH38" s="131">
        <v>24.456085882292236</v>
      </c>
      <c r="AI38" s="131">
        <v>0.97097164762788912</v>
      </c>
      <c r="AJ38" s="131">
        <v>0.84497532672045983</v>
      </c>
      <c r="AK38" s="131">
        <v>0</v>
      </c>
      <c r="AL38" s="191">
        <v>0.84273539212654969</v>
      </c>
      <c r="AM38" s="97">
        <v>50.611754321717974</v>
      </c>
      <c r="AN38" s="131">
        <v>39.078295882473149</v>
      </c>
      <c r="AO38" s="131">
        <v>5.6949361674157624</v>
      </c>
      <c r="AP38" s="131">
        <v>1.1567402058473726</v>
      </c>
      <c r="AQ38" s="131">
        <v>0.37138195282296432</v>
      </c>
      <c r="AR38" s="131">
        <v>3.0868914697227505</v>
      </c>
      <c r="AS38" s="97">
        <v>98.537614889098435</v>
      </c>
      <c r="AT38" s="131">
        <v>1.4623851109015764</v>
      </c>
      <c r="AU38" s="131">
        <v>0</v>
      </c>
      <c r="AV38" s="131">
        <v>0</v>
      </c>
      <c r="AW38" s="131">
        <v>0</v>
      </c>
      <c r="AX38" s="191">
        <v>0</v>
      </c>
      <c r="AY38" s="131">
        <v>28.457596799136454</v>
      </c>
      <c r="AZ38" s="131">
        <v>63.952391032798829</v>
      </c>
      <c r="BA38" s="131">
        <v>2.7839497893615892</v>
      </c>
      <c r="BB38" s="131">
        <v>4.385189542251303</v>
      </c>
      <c r="BC38" s="131">
        <v>0</v>
      </c>
      <c r="BD38" s="191">
        <v>0.4208728364518376</v>
      </c>
      <c r="BE38" s="97">
        <v>26.334421503370514</v>
      </c>
      <c r="BF38" s="131">
        <v>66.921676302512779</v>
      </c>
      <c r="BG38" s="131">
        <v>5.8838164644663777</v>
      </c>
      <c r="BH38" s="131">
        <v>0.36081427548181105</v>
      </c>
      <c r="BI38" s="131">
        <v>0.15229173965141377</v>
      </c>
      <c r="BJ38" s="191">
        <v>0.34697971451714038</v>
      </c>
      <c r="BK38" s="97">
        <v>37.259268008003559</v>
      </c>
      <c r="BL38" s="131">
        <v>60.056205535793694</v>
      </c>
      <c r="BM38" s="131">
        <v>0.72115384615384615</v>
      </c>
      <c r="BN38" s="131">
        <v>1.6026219986660741</v>
      </c>
      <c r="BO38" s="131">
        <v>0.36075061138283682</v>
      </c>
      <c r="BP38" s="191">
        <v>0</v>
      </c>
      <c r="BQ38" s="97">
        <v>31.381372515941823</v>
      </c>
      <c r="BR38" s="131">
        <v>66.383818617362252</v>
      </c>
      <c r="BS38" s="131">
        <v>2.1462431256115253</v>
      </c>
      <c r="BT38" s="131">
        <v>8.856574108438206E-2</v>
      </c>
      <c r="BU38" s="131">
        <v>0</v>
      </c>
      <c r="BV38" s="191">
        <v>0</v>
      </c>
      <c r="BW38" s="97">
        <v>9.9468615078047158</v>
      </c>
      <c r="BX38" s="131">
        <v>84.573231484556615</v>
      </c>
      <c r="BY38" s="131">
        <v>4.9817336433078712</v>
      </c>
      <c r="BZ38" s="131">
        <v>0</v>
      </c>
      <c r="CA38" s="131">
        <v>0</v>
      </c>
      <c r="CB38" s="191">
        <v>0.49817336433078707</v>
      </c>
    </row>
    <row r="39" spans="1:80" ht="15.75" customHeight="1" x14ac:dyDescent="0.3">
      <c r="A39" s="101"/>
      <c r="B39" s="130" t="s">
        <v>13</v>
      </c>
      <c r="C39" s="192">
        <v>60.350054333879889</v>
      </c>
      <c r="D39" s="193">
        <v>32.571499059735324</v>
      </c>
      <c r="E39" s="193">
        <v>3.379766648955655</v>
      </c>
      <c r="F39" s="193">
        <v>1.3890684546769791</v>
      </c>
      <c r="G39" s="193">
        <v>0.34249526100933836</v>
      </c>
      <c r="H39" s="194">
        <v>1.9671162417428407</v>
      </c>
      <c r="I39" s="192">
        <v>25.673176936380749</v>
      </c>
      <c r="J39" s="193">
        <v>52.213298519709262</v>
      </c>
      <c r="K39" s="193">
        <v>10.380885856253489</v>
      </c>
      <c r="L39" s="193">
        <v>2.3651709212697618</v>
      </c>
      <c r="M39" s="193">
        <v>1.518296979328394</v>
      </c>
      <c r="N39" s="194">
        <v>7.8491707870583616</v>
      </c>
      <c r="O39" s="192">
        <v>83.320279264423476</v>
      </c>
      <c r="P39" s="193">
        <v>15.941212509903929</v>
      </c>
      <c r="Q39" s="193">
        <v>0.17566670840847837</v>
      </c>
      <c r="R39" s="193">
        <v>0.56180284835199812</v>
      </c>
      <c r="S39" s="193">
        <v>0</v>
      </c>
      <c r="T39" s="194">
        <v>1.0386689121420689E-3</v>
      </c>
      <c r="U39" s="192">
        <v>72.261988448593229</v>
      </c>
      <c r="V39" s="193">
        <v>19.971112360484803</v>
      </c>
      <c r="W39" s="193">
        <v>2.4644547539494073</v>
      </c>
      <c r="X39" s="193">
        <v>1.5433631280285693</v>
      </c>
      <c r="Y39" s="193">
        <v>0.24878870267312975</v>
      </c>
      <c r="Z39" s="194">
        <v>3.5102926062708311</v>
      </c>
      <c r="AA39" s="192">
        <v>75.034590423246641</v>
      </c>
      <c r="AB39" s="193">
        <v>22.777135021932697</v>
      </c>
      <c r="AC39" s="193">
        <v>0.39959141623711214</v>
      </c>
      <c r="AD39" s="193">
        <v>2.907114807630164E-2</v>
      </c>
      <c r="AE39" s="193">
        <v>1.5343105929159197E-2</v>
      </c>
      <c r="AF39" s="194">
        <v>1.744268884578098</v>
      </c>
      <c r="AG39" s="192">
        <v>76.324370007023717</v>
      </c>
      <c r="AH39" s="193">
        <v>21.556416706163166</v>
      </c>
      <c r="AI39" s="193">
        <v>1.6268037528337549</v>
      </c>
      <c r="AJ39" s="193">
        <v>7.6554211088333199E-2</v>
      </c>
      <c r="AK39" s="193">
        <v>3.7545468561737308E-2</v>
      </c>
      <c r="AL39" s="194">
        <v>0.37830985432929221</v>
      </c>
      <c r="AM39" s="192">
        <v>58.093206074887426</v>
      </c>
      <c r="AN39" s="193">
        <v>31.613100096146141</v>
      </c>
      <c r="AO39" s="193">
        <v>7.3079801314078239</v>
      </c>
      <c r="AP39" s="193">
        <v>1.3514065513397087</v>
      </c>
      <c r="AQ39" s="193">
        <v>0.49133836909954381</v>
      </c>
      <c r="AR39" s="193">
        <v>1.142968777119312</v>
      </c>
      <c r="AS39" s="192">
        <v>99.165594847893928</v>
      </c>
      <c r="AT39" s="193">
        <v>0.83440515210606636</v>
      </c>
      <c r="AU39" s="193">
        <v>0</v>
      </c>
      <c r="AV39" s="193">
        <v>0</v>
      </c>
      <c r="AW39" s="193">
        <v>0</v>
      </c>
      <c r="AX39" s="194">
        <v>0</v>
      </c>
      <c r="AY39" s="193">
        <v>32.139544838410487</v>
      </c>
      <c r="AZ39" s="193">
        <v>59.370764072198035</v>
      </c>
      <c r="BA39" s="193">
        <v>1.6238299557534359</v>
      </c>
      <c r="BB39" s="193">
        <v>6.3971154560133217</v>
      </c>
      <c r="BC39" s="193">
        <v>9.4782865703890148E-2</v>
      </c>
      <c r="BD39" s="194">
        <v>0.37396281192080161</v>
      </c>
      <c r="BE39" s="192">
        <v>35.905495246610144</v>
      </c>
      <c r="BF39" s="193">
        <v>58.691861334455275</v>
      </c>
      <c r="BG39" s="193">
        <v>4.5917983271615048</v>
      </c>
      <c r="BH39" s="193">
        <v>0.21438979343713555</v>
      </c>
      <c r="BI39" s="193">
        <v>0.34050750261155427</v>
      </c>
      <c r="BJ39" s="194">
        <v>0.25594779572437243</v>
      </c>
      <c r="BK39" s="192">
        <v>45.923377521345166</v>
      </c>
      <c r="BL39" s="193">
        <v>51.120540303972781</v>
      </c>
      <c r="BM39" s="193">
        <v>0.54913466941859834</v>
      </c>
      <c r="BN39" s="193">
        <v>1.0776816443223285</v>
      </c>
      <c r="BO39" s="193">
        <v>4.5836753825556201E-2</v>
      </c>
      <c r="BP39" s="194">
        <v>1.2834291071155735</v>
      </c>
      <c r="BQ39" s="192">
        <v>47.657710673212719</v>
      </c>
      <c r="BR39" s="193">
        <v>49.319221198466607</v>
      </c>
      <c r="BS39" s="193">
        <v>0.97720088775304303</v>
      </c>
      <c r="BT39" s="193">
        <v>1.2875781827964221</v>
      </c>
      <c r="BU39" s="193">
        <v>0.7582890577712017</v>
      </c>
      <c r="BV39" s="194">
        <v>0</v>
      </c>
      <c r="BW39" s="192">
        <v>23.456579284433438</v>
      </c>
      <c r="BX39" s="193">
        <v>72.939970967466479</v>
      </c>
      <c r="BY39" s="193">
        <v>0.5977286312014346</v>
      </c>
      <c r="BZ39" s="193">
        <v>0</v>
      </c>
      <c r="CA39" s="193">
        <v>0</v>
      </c>
      <c r="CB39" s="194">
        <v>3.0057211168986422</v>
      </c>
    </row>
    <row r="40" spans="1:80" ht="15.75" customHeight="1" x14ac:dyDescent="0.3">
      <c r="A40" s="148" t="s">
        <v>124</v>
      </c>
      <c r="B40" s="148" t="s">
        <v>54</v>
      </c>
      <c r="C40" s="97">
        <v>63.324236389261266</v>
      </c>
      <c r="D40" s="131">
        <v>31.199046315658041</v>
      </c>
      <c r="E40" s="131">
        <v>2.3792465021171769</v>
      </c>
      <c r="F40" s="131">
        <v>0.90488410217984194</v>
      </c>
      <c r="G40" s="131">
        <v>0.17910589165052992</v>
      </c>
      <c r="H40" s="191">
        <v>2.0134807991332169</v>
      </c>
      <c r="I40" s="97">
        <v>24.082402751729589</v>
      </c>
      <c r="J40" s="131">
        <v>53.396351894675398</v>
      </c>
      <c r="K40" s="131">
        <v>10.496648345502646</v>
      </c>
      <c r="L40" s="131">
        <v>0.8484268336988029</v>
      </c>
      <c r="M40" s="131">
        <v>1.4795662228141415</v>
      </c>
      <c r="N40" s="191">
        <v>9.6966039515794105</v>
      </c>
      <c r="O40" s="97">
        <v>83.21323985384808</v>
      </c>
      <c r="P40" s="131">
        <v>16.094362626292295</v>
      </c>
      <c r="Q40" s="131">
        <v>0.4199794435228249</v>
      </c>
      <c r="R40" s="131">
        <v>0.24704079892157285</v>
      </c>
      <c r="S40" s="131">
        <v>0</v>
      </c>
      <c r="T40" s="191">
        <v>2.5377277415244238E-2</v>
      </c>
      <c r="U40" s="97">
        <v>74.274010190669941</v>
      </c>
      <c r="V40" s="131">
        <v>20.759006859797253</v>
      </c>
      <c r="W40" s="131">
        <v>0.87707459354350803</v>
      </c>
      <c r="X40" s="131">
        <v>1.1121297780018362</v>
      </c>
      <c r="Y40" s="131">
        <v>0.15213265875659415</v>
      </c>
      <c r="Z40" s="191">
        <v>2.8256459192308374</v>
      </c>
      <c r="AA40" s="97">
        <v>74.192727842223434</v>
      </c>
      <c r="AB40" s="131">
        <v>23.471953583160182</v>
      </c>
      <c r="AC40" s="131">
        <v>0.71830538434144897</v>
      </c>
      <c r="AD40" s="131">
        <v>0.12947876318852927</v>
      </c>
      <c r="AE40" s="131">
        <v>3.4576715169664068E-2</v>
      </c>
      <c r="AF40" s="191">
        <v>1.4529577119167347</v>
      </c>
      <c r="AG40" s="97">
        <v>79.355984366683003</v>
      </c>
      <c r="AH40" s="131">
        <v>19.754868169428992</v>
      </c>
      <c r="AI40" s="131">
        <v>0.13640058821259915</v>
      </c>
      <c r="AJ40" s="131">
        <v>0.64222654925631795</v>
      </c>
      <c r="AK40" s="131">
        <v>0</v>
      </c>
      <c r="AL40" s="191">
        <v>0.11052032641906973</v>
      </c>
      <c r="AM40" s="97">
        <v>51.871455049075522</v>
      </c>
      <c r="AN40" s="131">
        <v>38.132297482433664</v>
      </c>
      <c r="AO40" s="131">
        <v>5.0348064963912433</v>
      </c>
      <c r="AP40" s="131">
        <v>1.9461704700231433</v>
      </c>
      <c r="AQ40" s="131">
        <v>0.1460606301100156</v>
      </c>
      <c r="AR40" s="131">
        <v>2.8692098719663774</v>
      </c>
      <c r="AS40" s="97">
        <v>99.48075815464702</v>
      </c>
      <c r="AT40" s="131">
        <v>0.47967218736672723</v>
      </c>
      <c r="AU40" s="131">
        <v>0</v>
      </c>
      <c r="AV40" s="131">
        <v>0</v>
      </c>
      <c r="AW40" s="131">
        <v>3.9569657986256147E-2</v>
      </c>
      <c r="AX40" s="191">
        <v>0</v>
      </c>
      <c r="AY40" s="131">
        <v>42.042107370715023</v>
      </c>
      <c r="AZ40" s="131">
        <v>52.535644566970966</v>
      </c>
      <c r="BA40" s="131">
        <v>1.8807971753870552</v>
      </c>
      <c r="BB40" s="131">
        <v>3.2123426652856759</v>
      </c>
      <c r="BC40" s="131">
        <v>0</v>
      </c>
      <c r="BD40" s="191">
        <v>0.32910822164124787</v>
      </c>
      <c r="BE40" s="97">
        <v>37.565462053594572</v>
      </c>
      <c r="BF40" s="131">
        <v>57.487109055262685</v>
      </c>
      <c r="BG40" s="131">
        <v>3.6588524727934577</v>
      </c>
      <c r="BH40" s="131">
        <v>0.49802390652899453</v>
      </c>
      <c r="BI40" s="131">
        <v>7.4945345157275869E-2</v>
      </c>
      <c r="BJ40" s="191">
        <v>0.71560716666302115</v>
      </c>
      <c r="BK40" s="97">
        <v>46.978602440617948</v>
      </c>
      <c r="BL40" s="131">
        <v>50.598826058549541</v>
      </c>
      <c r="BM40" s="131">
        <v>1.5907222795961808</v>
      </c>
      <c r="BN40" s="131">
        <v>0.62266845111387437</v>
      </c>
      <c r="BO40" s="131">
        <v>0</v>
      </c>
      <c r="BP40" s="191">
        <v>0.2091807701224524</v>
      </c>
      <c r="BQ40" s="97">
        <v>55.142564733296865</v>
      </c>
      <c r="BR40" s="131">
        <v>44.10078784782042</v>
      </c>
      <c r="BS40" s="131">
        <v>0.25985261955255307</v>
      </c>
      <c r="BT40" s="131">
        <v>4.220344169066987E-2</v>
      </c>
      <c r="BU40" s="131">
        <v>8.4406883381339757E-3</v>
      </c>
      <c r="BV40" s="191">
        <v>0.44615066930136721</v>
      </c>
      <c r="BW40" s="97">
        <v>27.820731227886252</v>
      </c>
      <c r="BX40" s="131">
        <v>51.683920849167862</v>
      </c>
      <c r="BY40" s="131">
        <v>5.8183724282531779</v>
      </c>
      <c r="BZ40" s="131">
        <v>4.874852575022933</v>
      </c>
      <c r="CA40" s="131">
        <v>0</v>
      </c>
      <c r="CB40" s="191">
        <v>9.8021229196697686</v>
      </c>
    </row>
    <row r="41" spans="1:80" ht="15.75" customHeight="1" x14ac:dyDescent="0.3">
      <c r="A41" s="130"/>
      <c r="B41" s="130" t="s">
        <v>48</v>
      </c>
      <c r="C41" s="192">
        <v>55.770512935701277</v>
      </c>
      <c r="D41" s="193">
        <v>36.851098664560091</v>
      </c>
      <c r="E41" s="193">
        <v>2.6669036290755135</v>
      </c>
      <c r="F41" s="193">
        <v>1.7012340145536222</v>
      </c>
      <c r="G41" s="193">
        <v>0.26130457098542376</v>
      </c>
      <c r="H41" s="194">
        <v>2.7489461851240287</v>
      </c>
      <c r="I41" s="192">
        <v>29.111897178209738</v>
      </c>
      <c r="J41" s="193">
        <v>54.331106812071518</v>
      </c>
      <c r="K41" s="193">
        <v>5.6781935606205973</v>
      </c>
      <c r="L41" s="193">
        <v>1.1432084329398733</v>
      </c>
      <c r="M41" s="193">
        <v>1.7697796579178451</v>
      </c>
      <c r="N41" s="194">
        <v>7.9658143582404222</v>
      </c>
      <c r="O41" s="192">
        <v>74.457012401266226</v>
      </c>
      <c r="P41" s="193">
        <v>23.521650992203742</v>
      </c>
      <c r="Q41" s="193">
        <v>0.11810272407822887</v>
      </c>
      <c r="R41" s="193">
        <v>1.9032338824517725</v>
      </c>
      <c r="S41" s="193">
        <v>0</v>
      </c>
      <c r="T41" s="194">
        <v>0</v>
      </c>
      <c r="U41" s="192">
        <v>69.374405428670542</v>
      </c>
      <c r="V41" s="193">
        <v>25.305698732965766</v>
      </c>
      <c r="W41" s="193">
        <v>1.1981593743277568</v>
      </c>
      <c r="X41" s="193">
        <v>1.1941238032167723</v>
      </c>
      <c r="Y41" s="193">
        <v>2.8029489724828088E-2</v>
      </c>
      <c r="Z41" s="194">
        <v>2.8995831710943696</v>
      </c>
      <c r="AA41" s="192">
        <v>69.060355016055908</v>
      </c>
      <c r="AB41" s="193">
        <v>27.97541383050633</v>
      </c>
      <c r="AC41" s="193">
        <v>0.98934735880014335</v>
      </c>
      <c r="AD41" s="193">
        <v>0.37380390610076364</v>
      </c>
      <c r="AE41" s="193">
        <v>9.3685189498938243E-3</v>
      </c>
      <c r="AF41" s="194">
        <v>1.5917113695869609</v>
      </c>
      <c r="AG41" s="192">
        <v>74.180315914797944</v>
      </c>
      <c r="AH41" s="193">
        <v>24.198081813288372</v>
      </c>
      <c r="AI41" s="193">
        <v>1.0563196659657537</v>
      </c>
      <c r="AJ41" s="193">
        <v>0.28836439713942524</v>
      </c>
      <c r="AK41" s="193">
        <v>0</v>
      </c>
      <c r="AL41" s="194">
        <v>0.27691820880852702</v>
      </c>
      <c r="AM41" s="192">
        <v>44.744598223671439</v>
      </c>
      <c r="AN41" s="193">
        <v>39.984630491705275</v>
      </c>
      <c r="AO41" s="193">
        <v>6.4211512129542374</v>
      </c>
      <c r="AP41" s="193">
        <v>1.8740378280309979</v>
      </c>
      <c r="AQ41" s="193">
        <v>0.28555478984487331</v>
      </c>
      <c r="AR41" s="193">
        <v>6.6900274537932081</v>
      </c>
      <c r="AS41" s="192">
        <v>99.671970135854238</v>
      </c>
      <c r="AT41" s="193">
        <v>0.3280298641457603</v>
      </c>
      <c r="AU41" s="193">
        <v>0</v>
      </c>
      <c r="AV41" s="193">
        <v>0</v>
      </c>
      <c r="AW41" s="193">
        <v>0</v>
      </c>
      <c r="AX41" s="194">
        <v>0</v>
      </c>
      <c r="AY41" s="193">
        <v>30.039635952589506</v>
      </c>
      <c r="AZ41" s="193">
        <v>62.040261113877492</v>
      </c>
      <c r="BA41" s="193">
        <v>2.9724238448146147</v>
      </c>
      <c r="BB41" s="193">
        <v>4.3592278531161748</v>
      </c>
      <c r="BC41" s="193">
        <v>2.2353150703851646E-2</v>
      </c>
      <c r="BD41" s="194">
        <v>0.56609808489835678</v>
      </c>
      <c r="BE41" s="192">
        <v>29.366781035480848</v>
      </c>
      <c r="BF41" s="193">
        <v>61.060151702240276</v>
      </c>
      <c r="BG41" s="193">
        <v>5.1242363335064187</v>
      </c>
      <c r="BH41" s="193">
        <v>3.3048529313116313</v>
      </c>
      <c r="BI41" s="193">
        <v>0.21528003796282727</v>
      </c>
      <c r="BJ41" s="194">
        <v>0.92869795949803646</v>
      </c>
      <c r="BK41" s="192">
        <v>36.59081090077111</v>
      </c>
      <c r="BL41" s="193">
        <v>61.548069536039741</v>
      </c>
      <c r="BM41" s="193">
        <v>0.1433958077319423</v>
      </c>
      <c r="BN41" s="193">
        <v>1.618540254212357</v>
      </c>
      <c r="BO41" s="193">
        <v>4.9591750622418496E-2</v>
      </c>
      <c r="BP41" s="194">
        <v>4.9591750622418496E-2</v>
      </c>
      <c r="BQ41" s="192">
        <v>46.582196159869802</v>
      </c>
      <c r="BR41" s="193">
        <v>46.231893847403285</v>
      </c>
      <c r="BS41" s="193">
        <v>0.56189747609540164</v>
      </c>
      <c r="BT41" s="193">
        <v>6.4050342997802376</v>
      </c>
      <c r="BU41" s="193">
        <v>2.5762143158972847E-2</v>
      </c>
      <c r="BV41" s="194">
        <v>0.19321607369229635</v>
      </c>
      <c r="BW41" s="192">
        <v>10.740251156642431</v>
      </c>
      <c r="BX41" s="193">
        <v>83.84005287508262</v>
      </c>
      <c r="BY41" s="193">
        <v>5.2875082617316593</v>
      </c>
      <c r="BZ41" s="193">
        <v>0.13218770654329146</v>
      </c>
      <c r="CA41" s="193">
        <v>0</v>
      </c>
      <c r="CB41" s="194">
        <v>0</v>
      </c>
    </row>
    <row r="42" spans="1:80" ht="15.75" customHeight="1" x14ac:dyDescent="0.3">
      <c r="A42" s="130"/>
      <c r="B42" s="148" t="s">
        <v>49</v>
      </c>
      <c r="C42" s="97">
        <v>57.026019700567311</v>
      </c>
      <c r="D42" s="131">
        <v>36.902033377287601</v>
      </c>
      <c r="E42" s="131">
        <v>2.9322909367360199</v>
      </c>
      <c r="F42" s="131">
        <v>1.1822597714882574</v>
      </c>
      <c r="G42" s="131">
        <v>0.22330143112019007</v>
      </c>
      <c r="H42" s="191">
        <v>1.7340947828007462</v>
      </c>
      <c r="I42" s="97">
        <v>23.583691724987972</v>
      </c>
      <c r="J42" s="131">
        <v>62.307579388380198</v>
      </c>
      <c r="K42" s="131">
        <v>5.7465655235163133</v>
      </c>
      <c r="L42" s="131">
        <v>1.7325789916366467</v>
      </c>
      <c r="M42" s="131">
        <v>1.0604954533191564</v>
      </c>
      <c r="N42" s="191">
        <v>5.5690889181597454</v>
      </c>
      <c r="O42" s="97">
        <v>75.143699811397809</v>
      </c>
      <c r="P42" s="131">
        <v>22.949510023137808</v>
      </c>
      <c r="Q42" s="131">
        <v>9.6002410997258508E-2</v>
      </c>
      <c r="R42" s="131">
        <v>1.7147853434698923</v>
      </c>
      <c r="S42" s="131">
        <v>0</v>
      </c>
      <c r="T42" s="191">
        <v>9.6002410997258508E-2</v>
      </c>
      <c r="U42" s="97">
        <v>76.100142554446549</v>
      </c>
      <c r="V42" s="131">
        <v>19.396937424277528</v>
      </c>
      <c r="W42" s="131">
        <v>0.99633751255805925</v>
      </c>
      <c r="X42" s="131">
        <v>0.9786272023295125</v>
      </c>
      <c r="Y42" s="131">
        <v>6.0636897163074598E-2</v>
      </c>
      <c r="Z42" s="191">
        <v>2.467318409225292</v>
      </c>
      <c r="AA42" s="97">
        <v>67.698303754679074</v>
      </c>
      <c r="AB42" s="131">
        <v>28.109194779460523</v>
      </c>
      <c r="AC42" s="131">
        <v>1.4317541335790349</v>
      </c>
      <c r="AD42" s="131">
        <v>0.24106153345142384</v>
      </c>
      <c r="AE42" s="131">
        <v>2.6872433237207904E-2</v>
      </c>
      <c r="AF42" s="191">
        <v>2.4928133655927569</v>
      </c>
      <c r="AG42" s="97">
        <v>72.284349871931795</v>
      </c>
      <c r="AH42" s="131">
        <v>25.639860648604429</v>
      </c>
      <c r="AI42" s="131">
        <v>1.019123755349902</v>
      </c>
      <c r="AJ42" s="131">
        <v>0.36725242204036135</v>
      </c>
      <c r="AK42" s="131">
        <v>9.0560562676557058E-2</v>
      </c>
      <c r="AL42" s="191">
        <v>0.59885273939696737</v>
      </c>
      <c r="AM42" s="97">
        <v>46.078757389584815</v>
      </c>
      <c r="AN42" s="131">
        <v>40.597723815590072</v>
      </c>
      <c r="AO42" s="131">
        <v>9.2515517602990425</v>
      </c>
      <c r="AP42" s="131">
        <v>1.9128816706626084</v>
      </c>
      <c r="AQ42" s="131">
        <v>0.34698287771834752</v>
      </c>
      <c r="AR42" s="131">
        <v>1.8121024861450836</v>
      </c>
      <c r="AS42" s="97">
        <v>99.854680618645375</v>
      </c>
      <c r="AT42" s="131">
        <v>0.14531938135463365</v>
      </c>
      <c r="AU42" s="131">
        <v>0</v>
      </c>
      <c r="AV42" s="131">
        <v>0</v>
      </c>
      <c r="AW42" s="131">
        <v>0</v>
      </c>
      <c r="AX42" s="191">
        <v>0</v>
      </c>
      <c r="AY42" s="131">
        <v>31.899882573913814</v>
      </c>
      <c r="AZ42" s="131">
        <v>62.437058792793842</v>
      </c>
      <c r="BA42" s="131">
        <v>1.7059095296631497</v>
      </c>
      <c r="BB42" s="131">
        <v>2.6720622165755037</v>
      </c>
      <c r="BC42" s="131">
        <v>0.52429234970423477</v>
      </c>
      <c r="BD42" s="191">
        <v>0.76079453734947056</v>
      </c>
      <c r="BE42" s="97">
        <v>37.034686697317014</v>
      </c>
      <c r="BF42" s="131">
        <v>57.277040298732963</v>
      </c>
      <c r="BG42" s="131">
        <v>4.047572794577909</v>
      </c>
      <c r="BH42" s="131">
        <v>0.83584795700317305</v>
      </c>
      <c r="BI42" s="131">
        <v>6.9589242159338649E-2</v>
      </c>
      <c r="BJ42" s="191">
        <v>0.73526301020958773</v>
      </c>
      <c r="BK42" s="97">
        <v>37.430027665918999</v>
      </c>
      <c r="BL42" s="131">
        <v>59.984381959690026</v>
      </c>
      <c r="BM42" s="131">
        <v>1.6770692486679895</v>
      </c>
      <c r="BN42" s="131">
        <v>0.41878562369589917</v>
      </c>
      <c r="BO42" s="131">
        <v>0</v>
      </c>
      <c r="BP42" s="191">
        <v>0.48973550202705829</v>
      </c>
      <c r="BQ42" s="97">
        <v>45.096654504284864</v>
      </c>
      <c r="BR42" s="131">
        <v>53.257780841726486</v>
      </c>
      <c r="BS42" s="131">
        <v>1.4502379230911506</v>
      </c>
      <c r="BT42" s="131">
        <v>0</v>
      </c>
      <c r="BU42" s="131">
        <v>0</v>
      </c>
      <c r="BV42" s="191">
        <v>0.19532673089749408</v>
      </c>
      <c r="BW42" s="97">
        <v>6.5520642525010571</v>
      </c>
      <c r="BX42" s="131">
        <v>90.277582076933911</v>
      </c>
      <c r="BY42" s="131">
        <v>3.170353670565027</v>
      </c>
      <c r="BZ42" s="131">
        <v>0</v>
      </c>
      <c r="CA42" s="131">
        <v>0</v>
      </c>
      <c r="CB42" s="191">
        <v>0</v>
      </c>
    </row>
    <row r="43" spans="1:80" ht="15.75" customHeight="1" x14ac:dyDescent="0.3">
      <c r="A43" s="130"/>
      <c r="B43" s="130" t="s">
        <v>14</v>
      </c>
      <c r="C43" s="192">
        <v>55.254987893890132</v>
      </c>
      <c r="D43" s="193">
        <v>37.911187377683923</v>
      </c>
      <c r="E43" s="193">
        <v>3.4421383721313119</v>
      </c>
      <c r="F43" s="193">
        <v>0.9618625590746388</v>
      </c>
      <c r="G43" s="193">
        <v>0.32985754647539473</v>
      </c>
      <c r="H43" s="194">
        <v>2.0999662507446608</v>
      </c>
      <c r="I43" s="192">
        <v>29.442078119922165</v>
      </c>
      <c r="J43" s="193">
        <v>51.904290151167608</v>
      </c>
      <c r="K43" s="193">
        <v>8.0030468012914273</v>
      </c>
      <c r="L43" s="193">
        <v>1.4229946940647968</v>
      </c>
      <c r="M43" s="193">
        <v>1.9173130234230717</v>
      </c>
      <c r="N43" s="194">
        <v>7.3102772101309288</v>
      </c>
      <c r="O43" s="192">
        <v>76.722619149444114</v>
      </c>
      <c r="P43" s="193">
        <v>22.688987932694715</v>
      </c>
      <c r="Q43" s="193">
        <v>0.21540702302852338</v>
      </c>
      <c r="R43" s="193">
        <v>0.37068120848014197</v>
      </c>
      <c r="S43" s="193">
        <v>0</v>
      </c>
      <c r="T43" s="194">
        <v>2.3046863524751591E-3</v>
      </c>
      <c r="U43" s="192">
        <v>64.619125608980099</v>
      </c>
      <c r="V43" s="193">
        <v>29.310832452675196</v>
      </c>
      <c r="W43" s="193">
        <v>1.9653288514420892</v>
      </c>
      <c r="X43" s="193">
        <v>1.3065320145183401</v>
      </c>
      <c r="Y43" s="193">
        <v>1.158508169489047E-2</v>
      </c>
      <c r="Z43" s="194">
        <v>2.7865959906893623</v>
      </c>
      <c r="AA43" s="192">
        <v>70.10630568062777</v>
      </c>
      <c r="AB43" s="193">
        <v>27.173050940935134</v>
      </c>
      <c r="AC43" s="193">
        <v>1.3054325908763293</v>
      </c>
      <c r="AD43" s="193">
        <v>0.18134898980908948</v>
      </c>
      <c r="AE43" s="193">
        <v>3.0990017245857066E-2</v>
      </c>
      <c r="AF43" s="194">
        <v>1.2028717805058593</v>
      </c>
      <c r="AG43" s="192">
        <v>71.7107136735941</v>
      </c>
      <c r="AH43" s="193">
        <v>27.291365292217463</v>
      </c>
      <c r="AI43" s="193">
        <v>0.66150101593263233</v>
      </c>
      <c r="AJ43" s="193">
        <v>0.28151299168282845</v>
      </c>
      <c r="AK43" s="193">
        <v>7.8500911700866167E-3</v>
      </c>
      <c r="AL43" s="194">
        <v>4.7056935402908118E-2</v>
      </c>
      <c r="AM43" s="192">
        <v>44.754106030857429</v>
      </c>
      <c r="AN43" s="193">
        <v>37.410487206085662</v>
      </c>
      <c r="AO43" s="193">
        <v>10.22242833824933</v>
      </c>
      <c r="AP43" s="193">
        <v>2.2685988670460309</v>
      </c>
      <c r="AQ43" s="193">
        <v>0.25665647426683685</v>
      </c>
      <c r="AR43" s="193">
        <v>5.0877230834946872</v>
      </c>
      <c r="AS43" s="192">
        <v>99.508318328762002</v>
      </c>
      <c r="AT43" s="193">
        <v>0.49168167123799278</v>
      </c>
      <c r="AU43" s="193">
        <v>0</v>
      </c>
      <c r="AV43" s="193">
        <v>0</v>
      </c>
      <c r="AW43" s="193">
        <v>0</v>
      </c>
      <c r="AX43" s="194">
        <v>0</v>
      </c>
      <c r="AY43" s="193">
        <v>31.159329343536648</v>
      </c>
      <c r="AZ43" s="193">
        <v>64.244711273211237</v>
      </c>
      <c r="BA43" s="193">
        <v>2.3000433795627511</v>
      </c>
      <c r="BB43" s="193">
        <v>1.7350140457127936</v>
      </c>
      <c r="BC43" s="193">
        <v>0.35689166480653978</v>
      </c>
      <c r="BD43" s="194">
        <v>0.20401029317003525</v>
      </c>
      <c r="BE43" s="192">
        <v>32.214804818585129</v>
      </c>
      <c r="BF43" s="193">
        <v>60.533839626915679</v>
      </c>
      <c r="BG43" s="193">
        <v>5.4050461844136191</v>
      </c>
      <c r="BH43" s="193">
        <v>0.64990943566827919</v>
      </c>
      <c r="BI43" s="193">
        <v>0.62953609912695374</v>
      </c>
      <c r="BJ43" s="194">
        <v>0.56686383529030526</v>
      </c>
      <c r="BK43" s="192">
        <v>34.131217455388963</v>
      </c>
      <c r="BL43" s="193">
        <v>63.762217443307435</v>
      </c>
      <c r="BM43" s="193">
        <v>0.52373415809885104</v>
      </c>
      <c r="BN43" s="193">
        <v>0.91094707083398763</v>
      </c>
      <c r="BO43" s="193">
        <v>0</v>
      </c>
      <c r="BP43" s="194">
        <v>0.67188387237075764</v>
      </c>
      <c r="BQ43" s="192">
        <v>41.079584206711111</v>
      </c>
      <c r="BR43" s="193">
        <v>58.007163185653646</v>
      </c>
      <c r="BS43" s="193">
        <v>0.91325260763525595</v>
      </c>
      <c r="BT43" s="193">
        <v>0</v>
      </c>
      <c r="BU43" s="193">
        <v>0</v>
      </c>
      <c r="BV43" s="194">
        <v>0</v>
      </c>
      <c r="BW43" s="192">
        <v>22.688299696609945</v>
      </c>
      <c r="BX43" s="193">
        <v>74.21184540298114</v>
      </c>
      <c r="BY43" s="193">
        <v>3.0998549004089169</v>
      </c>
      <c r="BZ43" s="193">
        <v>0</v>
      </c>
      <c r="CA43" s="193">
        <v>0</v>
      </c>
      <c r="CB43" s="194">
        <v>0</v>
      </c>
    </row>
    <row r="44" spans="1:80" ht="15.75" customHeight="1" x14ac:dyDescent="0.3">
      <c r="A44" s="130"/>
      <c r="B44" s="148" t="s">
        <v>15</v>
      </c>
      <c r="C44" s="97">
        <v>57.080903980194201</v>
      </c>
      <c r="D44" s="131">
        <v>35.796320250532922</v>
      </c>
      <c r="E44" s="131">
        <v>3.5840191638087111</v>
      </c>
      <c r="F44" s="131">
        <v>1.0225575811530649</v>
      </c>
      <c r="G44" s="131">
        <v>0.36573805962582917</v>
      </c>
      <c r="H44" s="191">
        <v>2.1504609646854465</v>
      </c>
      <c r="I44" s="97">
        <v>28.860070530403899</v>
      </c>
      <c r="J44" s="131">
        <v>52.232394584267439</v>
      </c>
      <c r="K44" s="131">
        <v>9.3218379961126878</v>
      </c>
      <c r="L44" s="131">
        <v>1.7658525976490345</v>
      </c>
      <c r="M44" s="131">
        <v>1.6838287768944873</v>
      </c>
      <c r="N44" s="191">
        <v>6.1360155146724704</v>
      </c>
      <c r="O44" s="97">
        <v>79.090310149896595</v>
      </c>
      <c r="P44" s="131">
        <v>18.38676866878636</v>
      </c>
      <c r="Q44" s="131">
        <v>0.43956062484377451</v>
      </c>
      <c r="R44" s="131">
        <v>2.0510721561443441</v>
      </c>
      <c r="S44" s="131">
        <v>2.3310033135654707E-2</v>
      </c>
      <c r="T44" s="191">
        <v>8.9783671932991901E-3</v>
      </c>
      <c r="U44" s="97">
        <v>76.531963775712754</v>
      </c>
      <c r="V44" s="131">
        <v>18.986141415415396</v>
      </c>
      <c r="W44" s="131">
        <v>1.2657075089153571</v>
      </c>
      <c r="X44" s="131">
        <v>1.1499239043986218</v>
      </c>
      <c r="Y44" s="131">
        <v>0.13865830852139521</v>
      </c>
      <c r="Z44" s="191">
        <v>1.9276050870364863</v>
      </c>
      <c r="AA44" s="97">
        <v>68.96278921484928</v>
      </c>
      <c r="AB44" s="131">
        <v>29.297995944657291</v>
      </c>
      <c r="AC44" s="131">
        <v>0.36143228754071471</v>
      </c>
      <c r="AD44" s="131">
        <v>0.104786173078482</v>
      </c>
      <c r="AE44" s="131">
        <v>3.3199579589222018E-2</v>
      </c>
      <c r="AF44" s="191">
        <v>1.2397968002850099</v>
      </c>
      <c r="AG44" s="97">
        <v>67.845475788270022</v>
      </c>
      <c r="AH44" s="131">
        <v>28.552126795160454</v>
      </c>
      <c r="AI44" s="131">
        <v>1.6643198631860434</v>
      </c>
      <c r="AJ44" s="131">
        <v>1.7682136824050299</v>
      </c>
      <c r="AK44" s="131">
        <v>0</v>
      </c>
      <c r="AL44" s="191">
        <v>0.16986387097844038</v>
      </c>
      <c r="AM44" s="97">
        <v>48.906571434390848</v>
      </c>
      <c r="AN44" s="131">
        <v>36.537948733676515</v>
      </c>
      <c r="AO44" s="131">
        <v>8.5111583349740982</v>
      </c>
      <c r="AP44" s="131">
        <v>0.6922819575214666</v>
      </c>
      <c r="AQ44" s="131">
        <v>0.58802996033367183</v>
      </c>
      <c r="AR44" s="131">
        <v>4.7640095791033383</v>
      </c>
      <c r="AS44" s="97">
        <v>99.663480471127329</v>
      </c>
      <c r="AT44" s="131">
        <v>0.33651952887265951</v>
      </c>
      <c r="AU44" s="131">
        <v>0</v>
      </c>
      <c r="AV44" s="131">
        <v>0</v>
      </c>
      <c r="AW44" s="131">
        <v>0</v>
      </c>
      <c r="AX44" s="191">
        <v>0</v>
      </c>
      <c r="AY44" s="131">
        <v>26.487267381813812</v>
      </c>
      <c r="AZ44" s="131">
        <v>69.20943081806837</v>
      </c>
      <c r="BA44" s="131">
        <v>2.2376966601826096</v>
      </c>
      <c r="BB44" s="131">
        <v>1.7608333386135104</v>
      </c>
      <c r="BC44" s="131">
        <v>0.1676561717873821</v>
      </c>
      <c r="BD44" s="191">
        <v>0.13711562953435177</v>
      </c>
      <c r="BE44" s="97">
        <v>26.477326640429311</v>
      </c>
      <c r="BF44" s="131">
        <v>65.480741103100058</v>
      </c>
      <c r="BG44" s="131">
        <v>5.7920496363068725</v>
      </c>
      <c r="BH44" s="131">
        <v>0.54007015749792897</v>
      </c>
      <c r="BI44" s="131">
        <v>0.18633280809441516</v>
      </c>
      <c r="BJ44" s="191">
        <v>1.523479654571422</v>
      </c>
      <c r="BK44" s="97">
        <v>32.848280266399037</v>
      </c>
      <c r="BL44" s="131">
        <v>61.98522032661252</v>
      </c>
      <c r="BM44" s="131">
        <v>3.6506705592555422</v>
      </c>
      <c r="BN44" s="131">
        <v>1.4220874007845998</v>
      </c>
      <c r="BO44" s="131">
        <v>6.7284006933673937E-2</v>
      </c>
      <c r="BP44" s="191">
        <v>2.6457440014597208E-2</v>
      </c>
      <c r="BQ44" s="97">
        <v>49.828795361249767</v>
      </c>
      <c r="BR44" s="131">
        <v>48.535584143843813</v>
      </c>
      <c r="BS44" s="131">
        <v>0.95878144145262378</v>
      </c>
      <c r="BT44" s="131">
        <v>3.635106260362269E-2</v>
      </c>
      <c r="BU44" s="131">
        <v>0</v>
      </c>
      <c r="BV44" s="191">
        <v>0.6404879908501715</v>
      </c>
      <c r="BW44" s="97">
        <v>6.9462997595511622</v>
      </c>
      <c r="BX44" s="131">
        <v>91.504141063318187</v>
      </c>
      <c r="BY44" s="131">
        <v>1.5495591771306438</v>
      </c>
      <c r="BZ44" s="131">
        <v>0</v>
      </c>
      <c r="CA44" s="131">
        <v>0</v>
      </c>
      <c r="CB44" s="191">
        <v>0</v>
      </c>
    </row>
    <row r="45" spans="1:80" ht="15.75" customHeight="1" x14ac:dyDescent="0.3">
      <c r="A45" s="130"/>
      <c r="B45" s="130" t="s">
        <v>16</v>
      </c>
      <c r="C45" s="192">
        <v>62.432459814724638</v>
      </c>
      <c r="D45" s="193">
        <v>31.648832106094005</v>
      </c>
      <c r="E45" s="193">
        <v>2.6430329058570421</v>
      </c>
      <c r="F45" s="193">
        <v>0.79561468746421393</v>
      </c>
      <c r="G45" s="193">
        <v>0.33285837596068946</v>
      </c>
      <c r="H45" s="194">
        <v>2.1472021098993368</v>
      </c>
      <c r="I45" s="192">
        <v>29.75983517963391</v>
      </c>
      <c r="J45" s="193">
        <v>52.330233040793495</v>
      </c>
      <c r="K45" s="193">
        <v>6.6263360465265393</v>
      </c>
      <c r="L45" s="193">
        <v>1.2548081351489686</v>
      </c>
      <c r="M45" s="193">
        <v>2.5328189109683188</v>
      </c>
      <c r="N45" s="194">
        <v>7.495968686928749</v>
      </c>
      <c r="O45" s="192">
        <v>82.97044543768358</v>
      </c>
      <c r="P45" s="193">
        <v>16.009510051912326</v>
      </c>
      <c r="Q45" s="193">
        <v>0.32673503458144521</v>
      </c>
      <c r="R45" s="193">
        <v>0.40301563548425756</v>
      </c>
      <c r="S45" s="193">
        <v>6.2477679922990324E-2</v>
      </c>
      <c r="T45" s="194">
        <v>0.22781616041539746</v>
      </c>
      <c r="U45" s="192">
        <v>73.668180317837567</v>
      </c>
      <c r="V45" s="193">
        <v>20.881845228812498</v>
      </c>
      <c r="W45" s="193">
        <v>1.9190728798692622</v>
      </c>
      <c r="X45" s="193">
        <v>1.4825808197501522</v>
      </c>
      <c r="Y45" s="193">
        <v>4.6560649003837724E-2</v>
      </c>
      <c r="Z45" s="194">
        <v>2.0017601047266806</v>
      </c>
      <c r="AA45" s="192">
        <v>73.622961941372338</v>
      </c>
      <c r="AB45" s="193">
        <v>23.291796452655515</v>
      </c>
      <c r="AC45" s="193">
        <v>1.1225487029370846</v>
      </c>
      <c r="AD45" s="193">
        <v>0.35198259041990304</v>
      </c>
      <c r="AE45" s="193">
        <v>6.7819381583796353E-3</v>
      </c>
      <c r="AF45" s="194">
        <v>1.6039283744567836</v>
      </c>
      <c r="AG45" s="192">
        <v>73.462373728733397</v>
      </c>
      <c r="AH45" s="193">
        <v>24.910566029381275</v>
      </c>
      <c r="AI45" s="193">
        <v>0.25875168814544519</v>
      </c>
      <c r="AJ45" s="193">
        <v>0.95739734767443496</v>
      </c>
      <c r="AK45" s="193">
        <v>6.6821375594498904E-3</v>
      </c>
      <c r="AL45" s="194">
        <v>0.40422906850599877</v>
      </c>
      <c r="AM45" s="192">
        <v>56.227455737183185</v>
      </c>
      <c r="AN45" s="193">
        <v>33.065258670807289</v>
      </c>
      <c r="AO45" s="193">
        <v>5.9174826496458381</v>
      </c>
      <c r="AP45" s="193">
        <v>0.32946418508549596</v>
      </c>
      <c r="AQ45" s="193">
        <v>0.13520867855456717</v>
      </c>
      <c r="AR45" s="193">
        <v>4.3251300787236424</v>
      </c>
      <c r="AS45" s="192">
        <v>99.745826558334315</v>
      </c>
      <c r="AT45" s="193">
        <v>0.15980964895147112</v>
      </c>
      <c r="AU45" s="193">
        <v>9.4363792714202005E-2</v>
      </c>
      <c r="AV45" s="193">
        <v>0</v>
      </c>
      <c r="AW45" s="193">
        <v>0</v>
      </c>
      <c r="AX45" s="194">
        <v>0</v>
      </c>
      <c r="AY45" s="193">
        <v>38.521373510861942</v>
      </c>
      <c r="AZ45" s="193">
        <v>56.23773651016117</v>
      </c>
      <c r="BA45" s="193">
        <v>3.0621934127540293</v>
      </c>
      <c r="BB45" s="193">
        <v>1.6024001401541692</v>
      </c>
      <c r="BC45" s="193">
        <v>3.4950946040644706E-2</v>
      </c>
      <c r="BD45" s="194">
        <v>0.54134548002803073</v>
      </c>
      <c r="BE45" s="192">
        <v>33.856346053143596</v>
      </c>
      <c r="BF45" s="193">
        <v>59.910930901788596</v>
      </c>
      <c r="BG45" s="193">
        <v>4.4899665150153982</v>
      </c>
      <c r="BH45" s="193">
        <v>0.88646332265208783</v>
      </c>
      <c r="BI45" s="193">
        <v>0.2036002363645972</v>
      </c>
      <c r="BJ45" s="194">
        <v>0.65269297103572865</v>
      </c>
      <c r="BK45" s="192">
        <v>43.792315878172325</v>
      </c>
      <c r="BL45" s="193">
        <v>52.772079967808729</v>
      </c>
      <c r="BM45" s="193">
        <v>1.8559048394853319</v>
      </c>
      <c r="BN45" s="193">
        <v>1.4556171370806619</v>
      </c>
      <c r="BO45" s="193">
        <v>0</v>
      </c>
      <c r="BP45" s="194">
        <v>0.12408217745293638</v>
      </c>
      <c r="BQ45" s="192">
        <v>44.543019169884843</v>
      </c>
      <c r="BR45" s="193">
        <v>53.952556564496859</v>
      </c>
      <c r="BS45" s="193">
        <v>0.98473251458326083</v>
      </c>
      <c r="BT45" s="193">
        <v>0.44242656182954698</v>
      </c>
      <c r="BU45" s="193">
        <v>0</v>
      </c>
      <c r="BV45" s="194">
        <v>7.7265189205487722E-2</v>
      </c>
      <c r="BW45" s="192">
        <v>21.359807460890494</v>
      </c>
      <c r="BX45" s="193">
        <v>77.512033694344169</v>
      </c>
      <c r="BY45" s="193">
        <v>1.128158844765343</v>
      </c>
      <c r="BZ45" s="193">
        <v>0</v>
      </c>
      <c r="CA45" s="193">
        <v>0</v>
      </c>
      <c r="CB45" s="194">
        <v>0</v>
      </c>
    </row>
    <row r="46" spans="1:80" ht="15.75" customHeight="1" x14ac:dyDescent="0.3">
      <c r="A46" s="130"/>
      <c r="B46" s="148" t="s">
        <v>8</v>
      </c>
      <c r="C46" s="97">
        <v>62.147792002744318</v>
      </c>
      <c r="D46" s="131">
        <v>31.730226090789593</v>
      </c>
      <c r="E46" s="131">
        <v>2.2054463943735372</v>
      </c>
      <c r="F46" s="131">
        <v>1.3005533957763276</v>
      </c>
      <c r="G46" s="131">
        <v>0.48739709427134098</v>
      </c>
      <c r="H46" s="191">
        <v>2.1285850220448586</v>
      </c>
      <c r="I46" s="97">
        <v>27.810462145470833</v>
      </c>
      <c r="J46" s="131">
        <v>52.584983089717042</v>
      </c>
      <c r="K46" s="131">
        <v>6.2774837333520823</v>
      </c>
      <c r="L46" s="131">
        <v>4.091502673282581</v>
      </c>
      <c r="M46" s="131">
        <v>2.5720586912443921</v>
      </c>
      <c r="N46" s="191">
        <v>6.6635096669330833</v>
      </c>
      <c r="O46" s="97">
        <v>80.764855483176618</v>
      </c>
      <c r="P46" s="131">
        <v>17.80872882975692</v>
      </c>
      <c r="Q46" s="131">
        <v>0.63982047241191797</v>
      </c>
      <c r="R46" s="131">
        <v>0.76863404124197932</v>
      </c>
      <c r="S46" s="131">
        <v>7.9137350786024213E-3</v>
      </c>
      <c r="T46" s="191">
        <v>1.0047438333972441E-2</v>
      </c>
      <c r="U46" s="97">
        <v>76.312292286327875</v>
      </c>
      <c r="V46" s="131">
        <v>18.490743530886057</v>
      </c>
      <c r="W46" s="131">
        <v>0.72122331858334476</v>
      </c>
      <c r="X46" s="131">
        <v>2.2835402893979819</v>
      </c>
      <c r="Y46" s="131">
        <v>3.1489911988541466E-2</v>
      </c>
      <c r="Z46" s="191">
        <v>2.1607106628161716</v>
      </c>
      <c r="AA46" s="97">
        <v>73.074022139312575</v>
      </c>
      <c r="AB46" s="131">
        <v>24.338962748223377</v>
      </c>
      <c r="AC46" s="131">
        <v>0.32771085533497407</v>
      </c>
      <c r="AD46" s="131">
        <v>0.15427583480638865</v>
      </c>
      <c r="AE46" s="131">
        <v>1.5464813587423402E-2</v>
      </c>
      <c r="AF46" s="191">
        <v>2.0895636087352525</v>
      </c>
      <c r="AG46" s="97">
        <v>74.857500463158118</v>
      </c>
      <c r="AH46" s="131">
        <v>22.809407872375495</v>
      </c>
      <c r="AI46" s="131">
        <v>0.16863332608812984</v>
      </c>
      <c r="AJ46" s="131">
        <v>0.67059463670167208</v>
      </c>
      <c r="AK46" s="131">
        <v>2.6257784338982154E-2</v>
      </c>
      <c r="AL46" s="191">
        <v>1.4676059173375771</v>
      </c>
      <c r="AM46" s="97">
        <v>56.386686137751774</v>
      </c>
      <c r="AN46" s="131">
        <v>31.925928055685127</v>
      </c>
      <c r="AO46" s="131">
        <v>6.3189621791480022</v>
      </c>
      <c r="AP46" s="131">
        <v>0.59775029720869166</v>
      </c>
      <c r="AQ46" s="131">
        <v>0.65485327381578207</v>
      </c>
      <c r="AR46" s="131">
        <v>4.1158200563906195</v>
      </c>
      <c r="AS46" s="97">
        <v>99.9451772392066</v>
      </c>
      <c r="AT46" s="131">
        <v>5.4822760793388929E-2</v>
      </c>
      <c r="AU46" s="131">
        <v>0</v>
      </c>
      <c r="AV46" s="131">
        <v>0</v>
      </c>
      <c r="AW46" s="131">
        <v>0</v>
      </c>
      <c r="AX46" s="191">
        <v>0</v>
      </c>
      <c r="AY46" s="131">
        <v>36.779537557523192</v>
      </c>
      <c r="AZ46" s="131">
        <v>56.504630700890793</v>
      </c>
      <c r="BA46" s="131">
        <v>2.2507190598241285</v>
      </c>
      <c r="BB46" s="131">
        <v>2.0801226316353354</v>
      </c>
      <c r="BC46" s="131">
        <v>1.4910546231885617</v>
      </c>
      <c r="BD46" s="191">
        <v>0.89393542693800632</v>
      </c>
      <c r="BE46" s="97">
        <v>31.928551181165236</v>
      </c>
      <c r="BF46" s="131">
        <v>63.645901953503959</v>
      </c>
      <c r="BG46" s="131">
        <v>3.132313662550454</v>
      </c>
      <c r="BH46" s="131">
        <v>1.0787589879947137</v>
      </c>
      <c r="BI46" s="131">
        <v>0.18764497570596428</v>
      </c>
      <c r="BJ46" s="191">
        <v>2.6829239079661279E-2</v>
      </c>
      <c r="BK46" s="97">
        <v>47.667068253483421</v>
      </c>
      <c r="BL46" s="131">
        <v>49.860277310647646</v>
      </c>
      <c r="BM46" s="131">
        <v>0.88875212479546883</v>
      </c>
      <c r="BN46" s="131">
        <v>1.5839023110734631</v>
      </c>
      <c r="BO46" s="131">
        <v>0</v>
      </c>
      <c r="BP46" s="191">
        <v>0</v>
      </c>
      <c r="BQ46" s="97">
        <v>46.396193230766301</v>
      </c>
      <c r="BR46" s="131">
        <v>51.919850707445292</v>
      </c>
      <c r="BS46" s="131">
        <v>0.84776502650086016</v>
      </c>
      <c r="BT46" s="131">
        <v>0.73166715587660447</v>
      </c>
      <c r="BU46" s="131">
        <v>0</v>
      </c>
      <c r="BV46" s="191">
        <v>0.10452387941094349</v>
      </c>
      <c r="BW46" s="97">
        <v>56.590001377220766</v>
      </c>
      <c r="BX46" s="131">
        <v>41.798650323646882</v>
      </c>
      <c r="BY46" s="131">
        <v>0.89519349951797267</v>
      </c>
      <c r="BZ46" s="131">
        <v>0</v>
      </c>
      <c r="CA46" s="131">
        <v>0</v>
      </c>
      <c r="CB46" s="191">
        <v>0.71615479961437822</v>
      </c>
    </row>
    <row r="47" spans="1:80" ht="15.75" customHeight="1" x14ac:dyDescent="0.3">
      <c r="A47" s="130"/>
      <c r="B47" s="130" t="s">
        <v>9</v>
      </c>
      <c r="C47" s="192">
        <v>58.357283170948406</v>
      </c>
      <c r="D47" s="193">
        <v>35.161571880747971</v>
      </c>
      <c r="E47" s="193">
        <v>2.3272040331026642</v>
      </c>
      <c r="F47" s="193">
        <v>1.8802353597706127</v>
      </c>
      <c r="G47" s="193">
        <v>0.35255488050625061</v>
      </c>
      <c r="H47" s="194">
        <v>1.9211506749241707</v>
      </c>
      <c r="I47" s="192">
        <v>29.986682149047805</v>
      </c>
      <c r="J47" s="193">
        <v>54.520713116046458</v>
      </c>
      <c r="K47" s="193">
        <v>4.8481961476474762</v>
      </c>
      <c r="L47" s="193">
        <v>2.709672286937149</v>
      </c>
      <c r="M47" s="193">
        <v>2.2085875458205484</v>
      </c>
      <c r="N47" s="194">
        <v>5.7261487545005867</v>
      </c>
      <c r="O47" s="192">
        <v>73.142942587084917</v>
      </c>
      <c r="P47" s="193">
        <v>22.025762949026849</v>
      </c>
      <c r="Q47" s="193">
        <v>0.34463670091391102</v>
      </c>
      <c r="R47" s="193">
        <v>4.4866577629743034</v>
      </c>
      <c r="S47" s="193">
        <v>0</v>
      </c>
      <c r="T47" s="194">
        <v>0</v>
      </c>
      <c r="U47" s="192">
        <v>72.207131621060157</v>
      </c>
      <c r="V47" s="193">
        <v>22.774438943716337</v>
      </c>
      <c r="W47" s="193">
        <v>0.97268995171275274</v>
      </c>
      <c r="X47" s="193">
        <v>2.0771152473709225</v>
      </c>
      <c r="Y47" s="193">
        <v>3.9994079451622276E-2</v>
      </c>
      <c r="Z47" s="194">
        <v>1.9286301566881709</v>
      </c>
      <c r="AA47" s="192">
        <v>68.902067809547887</v>
      </c>
      <c r="AB47" s="193">
        <v>28.653059522928174</v>
      </c>
      <c r="AC47" s="193">
        <v>0.78436562944702581</v>
      </c>
      <c r="AD47" s="193">
        <v>0.10722918572458456</v>
      </c>
      <c r="AE47" s="193">
        <v>3.0290730430673602E-3</v>
      </c>
      <c r="AF47" s="194">
        <v>1.5502487793092337</v>
      </c>
      <c r="AG47" s="192">
        <v>71.501106422901614</v>
      </c>
      <c r="AH47" s="193">
        <v>26.537234016425653</v>
      </c>
      <c r="AI47" s="193">
        <v>0.3482898950801635</v>
      </c>
      <c r="AJ47" s="193">
        <v>1.1350044698994028</v>
      </c>
      <c r="AK47" s="193">
        <v>0</v>
      </c>
      <c r="AL47" s="194">
        <v>0.47836519569317837</v>
      </c>
      <c r="AM47" s="192">
        <v>54.385264441344852</v>
      </c>
      <c r="AN47" s="193">
        <v>34.061180923441739</v>
      </c>
      <c r="AO47" s="193">
        <v>6.2555584926804171</v>
      </c>
      <c r="AP47" s="193">
        <v>0.95962252883742405</v>
      </c>
      <c r="AQ47" s="193">
        <v>0.590618410511206</v>
      </c>
      <c r="AR47" s="193">
        <v>3.7477552031843984</v>
      </c>
      <c r="AS47" s="192">
        <v>99.924776596709336</v>
      </c>
      <c r="AT47" s="193">
        <v>1.5836505955931092E-2</v>
      </c>
      <c r="AU47" s="193">
        <v>5.9386897334741603E-2</v>
      </c>
      <c r="AV47" s="193">
        <v>0</v>
      </c>
      <c r="AW47" s="193">
        <v>0</v>
      </c>
      <c r="AX47" s="194">
        <v>0</v>
      </c>
      <c r="AY47" s="193">
        <v>36.602138020028455</v>
      </c>
      <c r="AZ47" s="193">
        <v>55.376017567890976</v>
      </c>
      <c r="BA47" s="193">
        <v>2.4780010510909589</v>
      </c>
      <c r="BB47" s="193">
        <v>3.9666657446570559</v>
      </c>
      <c r="BC47" s="193">
        <v>4.9247339501176789E-2</v>
      </c>
      <c r="BD47" s="194">
        <v>1.5279302768313825</v>
      </c>
      <c r="BE47" s="192">
        <v>31.829786769050411</v>
      </c>
      <c r="BF47" s="193">
        <v>62.548421666368768</v>
      </c>
      <c r="BG47" s="193">
        <v>3.8494590588615449</v>
      </c>
      <c r="BH47" s="193">
        <v>0.69731882706196491</v>
      </c>
      <c r="BI47" s="193">
        <v>8.8277097986017711E-2</v>
      </c>
      <c r="BJ47" s="194">
        <v>0.98673658067129577</v>
      </c>
      <c r="BK47" s="192">
        <v>39.321461952101785</v>
      </c>
      <c r="BL47" s="193">
        <v>56.576720925433655</v>
      </c>
      <c r="BM47" s="193">
        <v>2.7113603534709831</v>
      </c>
      <c r="BN47" s="193">
        <v>1.3798963378366897</v>
      </c>
      <c r="BO47" s="193">
        <v>1.0560431156913443E-2</v>
      </c>
      <c r="BP47" s="194">
        <v>0</v>
      </c>
      <c r="BQ47" s="192">
        <v>38.52545770691637</v>
      </c>
      <c r="BR47" s="193">
        <v>58.307937757594551</v>
      </c>
      <c r="BS47" s="193">
        <v>1.3100988798139714</v>
      </c>
      <c r="BT47" s="193">
        <v>1.8565056556750965</v>
      </c>
      <c r="BU47" s="193">
        <v>0</v>
      </c>
      <c r="BV47" s="194">
        <v>0</v>
      </c>
      <c r="BW47" s="192">
        <v>62.407190308714341</v>
      </c>
      <c r="BX47" s="193">
        <v>36.593535421202475</v>
      </c>
      <c r="BY47" s="193">
        <v>0.50801094177413053</v>
      </c>
      <c r="BZ47" s="193">
        <v>0.42427287444872441</v>
      </c>
      <c r="CA47" s="193">
        <v>0</v>
      </c>
      <c r="CB47" s="194">
        <v>6.69904538603249E-2</v>
      </c>
    </row>
    <row r="48" spans="1:80" ht="15.75" customHeight="1" x14ac:dyDescent="0.3">
      <c r="A48" s="130"/>
      <c r="B48" s="148" t="s">
        <v>10</v>
      </c>
      <c r="C48" s="97">
        <v>54.470208295554656</v>
      </c>
      <c r="D48" s="131">
        <v>37.888561502892173</v>
      </c>
      <c r="E48" s="131">
        <v>2.9635598756722854</v>
      </c>
      <c r="F48" s="131">
        <v>2.1638505554485352</v>
      </c>
      <c r="G48" s="131">
        <v>0.36070458757960255</v>
      </c>
      <c r="H48" s="191">
        <v>2.1531151828527908</v>
      </c>
      <c r="I48" s="97">
        <v>29.798536518177276</v>
      </c>
      <c r="J48" s="131">
        <v>51.991740770720739</v>
      </c>
      <c r="K48" s="131">
        <v>6.3043630222458988</v>
      </c>
      <c r="L48" s="131">
        <v>3.1919720688484179</v>
      </c>
      <c r="M48" s="131">
        <v>1.725057173075276</v>
      </c>
      <c r="N48" s="191">
        <v>6.9883304469323404</v>
      </c>
      <c r="O48" s="97">
        <v>73.926061471800224</v>
      </c>
      <c r="P48" s="131">
        <v>22.522322770170646</v>
      </c>
      <c r="Q48" s="131">
        <v>0.54696441545593877</v>
      </c>
      <c r="R48" s="131">
        <v>3.0046513425731516</v>
      </c>
      <c r="S48" s="131">
        <v>0</v>
      </c>
      <c r="T48" s="191">
        <v>0</v>
      </c>
      <c r="U48" s="97">
        <v>66.750099957313594</v>
      </c>
      <c r="V48" s="131">
        <v>27.409773871527882</v>
      </c>
      <c r="W48" s="131">
        <v>1.040390358391061</v>
      </c>
      <c r="X48" s="131">
        <v>2.8077074745259365</v>
      </c>
      <c r="Y48" s="131">
        <v>6.6617087557537549E-2</v>
      </c>
      <c r="Z48" s="191">
        <v>1.925411250684073</v>
      </c>
      <c r="AA48" s="97">
        <v>64.990188699782976</v>
      </c>
      <c r="AB48" s="131">
        <v>31.426884443918233</v>
      </c>
      <c r="AC48" s="131">
        <v>0.47094021586286922</v>
      </c>
      <c r="AD48" s="131">
        <v>0.67137976299041258</v>
      </c>
      <c r="AE48" s="131">
        <v>2.2636819714464435E-2</v>
      </c>
      <c r="AF48" s="191">
        <v>2.4179700577310217</v>
      </c>
      <c r="AG48" s="97">
        <v>67.627074306689295</v>
      </c>
      <c r="AH48" s="131">
        <v>28.757542498011961</v>
      </c>
      <c r="AI48" s="131">
        <v>0.3669930568786991</v>
      </c>
      <c r="AJ48" s="131">
        <v>1.1887217209661507</v>
      </c>
      <c r="AK48" s="131">
        <v>2.6019724135192504E-2</v>
      </c>
      <c r="AL48" s="191">
        <v>2.0336486933187135</v>
      </c>
      <c r="AM48" s="97">
        <v>47.071396154494934</v>
      </c>
      <c r="AN48" s="131">
        <v>40.77759951414486</v>
      </c>
      <c r="AO48" s="131">
        <v>8.073673930868404</v>
      </c>
      <c r="AP48" s="131">
        <v>1.5186442447693502</v>
      </c>
      <c r="AQ48" s="131">
        <v>0.47429030340007733</v>
      </c>
      <c r="AR48" s="131">
        <v>2.084395852322376</v>
      </c>
      <c r="AS48" s="97">
        <v>99.987928709293456</v>
      </c>
      <c r="AT48" s="131">
        <v>1.2071290706533943E-2</v>
      </c>
      <c r="AU48" s="131">
        <v>0</v>
      </c>
      <c r="AV48" s="131">
        <v>0</v>
      </c>
      <c r="AW48" s="131">
        <v>0</v>
      </c>
      <c r="AX48" s="191">
        <v>0</v>
      </c>
      <c r="AY48" s="131">
        <v>32.05788735597794</v>
      </c>
      <c r="AZ48" s="131">
        <v>57.854212505001932</v>
      </c>
      <c r="BA48" s="131">
        <v>3.2239781167939503</v>
      </c>
      <c r="BB48" s="131">
        <v>4.8125538961520737</v>
      </c>
      <c r="BC48" s="131">
        <v>0.39462017580027808</v>
      </c>
      <c r="BD48" s="191">
        <v>1.6567479502738445</v>
      </c>
      <c r="BE48" s="97">
        <v>29.167235294549243</v>
      </c>
      <c r="BF48" s="131">
        <v>63.29760149090562</v>
      </c>
      <c r="BG48" s="131">
        <v>6.8010829609737842</v>
      </c>
      <c r="BH48" s="131">
        <v>0.31667070209034948</v>
      </c>
      <c r="BI48" s="131">
        <v>0.1061683285275106</v>
      </c>
      <c r="BJ48" s="191">
        <v>0.31124122295348999</v>
      </c>
      <c r="BK48" s="97">
        <v>40.526255115568617</v>
      </c>
      <c r="BL48" s="131">
        <v>54.020519914692478</v>
      </c>
      <c r="BM48" s="131">
        <v>0.28958441408726726</v>
      </c>
      <c r="BN48" s="131">
        <v>3.8579745230272642</v>
      </c>
      <c r="BO48" s="131">
        <v>0.50331431206409605</v>
      </c>
      <c r="BP48" s="191">
        <v>0.80235172056026283</v>
      </c>
      <c r="BQ48" s="97">
        <v>31.051458532012116</v>
      </c>
      <c r="BR48" s="131">
        <v>64.766165446907877</v>
      </c>
      <c r="BS48" s="131">
        <v>2.065497079169766</v>
      </c>
      <c r="BT48" s="131">
        <v>2.1168789419102487</v>
      </c>
      <c r="BU48" s="131">
        <v>0</v>
      </c>
      <c r="BV48" s="191">
        <v>0</v>
      </c>
      <c r="BW48" s="97">
        <v>80.500549238488261</v>
      </c>
      <c r="BX48" s="131">
        <v>18.988807410266308</v>
      </c>
      <c r="BY48" s="131">
        <v>0.21375768191669386</v>
      </c>
      <c r="BZ48" s="131">
        <v>0.2968856693287415</v>
      </c>
      <c r="CA48" s="131">
        <v>0</v>
      </c>
      <c r="CB48" s="191">
        <v>0</v>
      </c>
    </row>
    <row r="49" spans="1:80" s="109" customFormat="1" ht="15.75" customHeight="1" x14ac:dyDescent="0.3">
      <c r="A49" s="360"/>
      <c r="B49" s="401" t="s">
        <v>11</v>
      </c>
      <c r="C49" s="402">
        <v>56.54457533410261</v>
      </c>
      <c r="D49" s="405">
        <v>35.433471093026498</v>
      </c>
      <c r="E49" s="405">
        <v>3.2365843751635155</v>
      </c>
      <c r="F49" s="405">
        <v>2.5690349688481184</v>
      </c>
      <c r="G49" s="405">
        <v>0.35773517191162318</v>
      </c>
      <c r="H49" s="407">
        <v>1.8585990569475612</v>
      </c>
      <c r="I49" s="402">
        <v>30.662844434780784</v>
      </c>
      <c r="J49" s="405">
        <v>52.253877066799404</v>
      </c>
      <c r="K49" s="405">
        <v>7.1626031611612406</v>
      </c>
      <c r="L49" s="405">
        <v>2.4913551566752687</v>
      </c>
      <c r="M49" s="405">
        <v>0.93450136467410927</v>
      </c>
      <c r="N49" s="407">
        <v>6.4948188159091842</v>
      </c>
      <c r="O49" s="402">
        <v>68.229978122707024</v>
      </c>
      <c r="P49" s="405">
        <v>27.425267791085211</v>
      </c>
      <c r="Q49" s="405">
        <v>0.31170340880954533</v>
      </c>
      <c r="R49" s="405">
        <v>4.0281143160475814</v>
      </c>
      <c r="S49" s="405">
        <v>0</v>
      </c>
      <c r="T49" s="407">
        <v>4.9363613506892799E-3</v>
      </c>
      <c r="U49" s="402">
        <v>71.206832422291654</v>
      </c>
      <c r="V49" s="405">
        <v>23.203903989205291</v>
      </c>
      <c r="W49" s="405">
        <v>1.6452795009344587</v>
      </c>
      <c r="X49" s="405">
        <v>3.4982116840713124</v>
      </c>
      <c r="Y49" s="405">
        <v>5.9152379992445596E-2</v>
      </c>
      <c r="Z49" s="407">
        <v>0.38662002350484131</v>
      </c>
      <c r="AA49" s="402">
        <v>67.420767826648586</v>
      </c>
      <c r="AB49" s="405">
        <v>28.698902671656995</v>
      </c>
      <c r="AC49" s="405">
        <v>1.2021948186280502</v>
      </c>
      <c r="AD49" s="405">
        <v>0.75608045173195659</v>
      </c>
      <c r="AE49" s="405">
        <v>6.9005307830698939E-3</v>
      </c>
      <c r="AF49" s="407">
        <v>1.9151537005513315</v>
      </c>
      <c r="AG49" s="402">
        <v>72.38000425176682</v>
      </c>
      <c r="AH49" s="405">
        <v>25.023643971565008</v>
      </c>
      <c r="AI49" s="405">
        <v>0.2515542281746958</v>
      </c>
      <c r="AJ49" s="405">
        <v>0.89561912465454407</v>
      </c>
      <c r="AK49" s="405">
        <v>4.466947698083075E-2</v>
      </c>
      <c r="AL49" s="407">
        <v>1.4045089468580998</v>
      </c>
      <c r="AM49" s="402">
        <v>50.58001603566359</v>
      </c>
      <c r="AN49" s="405">
        <v>34.417526706803265</v>
      </c>
      <c r="AO49" s="405">
        <v>9.0471171108567798</v>
      </c>
      <c r="AP49" s="405">
        <v>2.2751330281924611</v>
      </c>
      <c r="AQ49" s="405">
        <v>0.36558857108730236</v>
      </c>
      <c r="AR49" s="405">
        <v>3.3146185473966048</v>
      </c>
      <c r="AS49" s="402">
        <v>99.776246465673694</v>
      </c>
      <c r="AT49" s="405">
        <v>0.22375353432630157</v>
      </c>
      <c r="AU49" s="405">
        <v>0</v>
      </c>
      <c r="AV49" s="405">
        <v>0</v>
      </c>
      <c r="AW49" s="405">
        <v>0</v>
      </c>
      <c r="AX49" s="407">
        <v>0</v>
      </c>
      <c r="AY49" s="405">
        <v>31.038672531203325</v>
      </c>
      <c r="AZ49" s="405">
        <v>59.277267449642459</v>
      </c>
      <c r="BA49" s="405">
        <v>3.1837316175516892</v>
      </c>
      <c r="BB49" s="405">
        <v>2.7531260408463094</v>
      </c>
      <c r="BC49" s="405">
        <v>2.2879163774346067</v>
      </c>
      <c r="BD49" s="407">
        <v>1.4592859833215559</v>
      </c>
      <c r="BE49" s="402">
        <v>34.776006710405554</v>
      </c>
      <c r="BF49" s="405">
        <v>52.139719546210017</v>
      </c>
      <c r="BG49" s="405">
        <v>6.0976383153627358</v>
      </c>
      <c r="BH49" s="405">
        <v>6.3081760931032873</v>
      </c>
      <c r="BI49" s="405">
        <v>9.6743275534660639E-2</v>
      </c>
      <c r="BJ49" s="407">
        <v>0.58171605938373872</v>
      </c>
      <c r="BK49" s="402">
        <v>38.977062994097508</v>
      </c>
      <c r="BL49" s="405">
        <v>57.891984461448928</v>
      </c>
      <c r="BM49" s="405">
        <v>0.24245971418278409</v>
      </c>
      <c r="BN49" s="405">
        <v>1.6207296188575557</v>
      </c>
      <c r="BO49" s="405">
        <v>7.7861790567630443E-2</v>
      </c>
      <c r="BP49" s="407">
        <v>1.1899014208456193</v>
      </c>
      <c r="BQ49" s="402">
        <v>36.390840156308165</v>
      </c>
      <c r="BR49" s="405">
        <v>59.166240230740627</v>
      </c>
      <c r="BS49" s="405">
        <v>2.4356857089691113</v>
      </c>
      <c r="BT49" s="405">
        <v>2.0072339039821365</v>
      </c>
      <c r="BU49" s="405">
        <v>0</v>
      </c>
      <c r="BV49" s="407">
        <v>0</v>
      </c>
      <c r="BW49" s="402">
        <v>75.592615617482494</v>
      </c>
      <c r="BX49" s="405">
        <v>21.658512852393439</v>
      </c>
      <c r="BY49" s="405">
        <v>0.39192366948671514</v>
      </c>
      <c r="BZ49" s="405">
        <v>2.1731491742573725</v>
      </c>
      <c r="CA49" s="405">
        <v>0</v>
      </c>
      <c r="CB49" s="407">
        <v>0.18379868637997676</v>
      </c>
    </row>
    <row r="50" spans="1:80" s="109" customFormat="1" ht="15" customHeight="1" x14ac:dyDescent="0.3">
      <c r="A50" s="108"/>
      <c r="I50" s="110"/>
      <c r="J50" s="110"/>
      <c r="K50" s="110"/>
      <c r="L50" s="110"/>
      <c r="M50" s="110"/>
      <c r="N50" s="110"/>
      <c r="CB50" s="111"/>
    </row>
    <row r="51" spans="1:80" s="109" customFormat="1" x14ac:dyDescent="0.3">
      <c r="A51" s="108"/>
      <c r="B51" s="109" t="s">
        <v>84</v>
      </c>
      <c r="C51" s="140"/>
      <c r="D51" s="140"/>
      <c r="E51" s="140"/>
      <c r="F51" s="140"/>
      <c r="G51" s="140"/>
      <c r="H51" s="140"/>
      <c r="I51" s="140"/>
      <c r="J51" s="140"/>
      <c r="K51" s="141"/>
      <c r="L51" s="141"/>
      <c r="M51" s="141"/>
      <c r="N51" s="141"/>
      <c r="O51" s="140"/>
      <c r="P51" s="140"/>
      <c r="Q51" s="140"/>
      <c r="R51" s="140"/>
      <c r="S51" s="140"/>
      <c r="T51" s="140"/>
      <c r="U51" s="140"/>
      <c r="V51" s="140"/>
      <c r="W51" s="140"/>
      <c r="X51" s="140"/>
      <c r="Y51" s="140"/>
      <c r="Z51" s="140"/>
      <c r="CB51" s="111"/>
    </row>
    <row r="52" spans="1:80" s="114" customFormat="1" ht="14.25" customHeight="1" x14ac:dyDescent="0.3">
      <c r="A52" s="113"/>
      <c r="B52" s="140" t="s">
        <v>17</v>
      </c>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36"/>
      <c r="BA52" s="136"/>
      <c r="BB52" s="136"/>
      <c r="BC52" s="136"/>
      <c r="BD52" s="136"/>
      <c r="CB52" s="115"/>
    </row>
    <row r="53" spans="1:80" s="117" customFormat="1" x14ac:dyDescent="0.3">
      <c r="A53" s="116"/>
      <c r="B53" s="130" t="s">
        <v>60</v>
      </c>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36"/>
      <c r="BA53" s="136"/>
      <c r="BB53" s="136"/>
      <c r="BC53" s="136"/>
      <c r="BD53" s="136"/>
      <c r="CB53" s="118"/>
    </row>
    <row r="54" spans="1:80" s="117" customFormat="1" x14ac:dyDescent="0.3">
      <c r="A54" s="116"/>
      <c r="B54" s="437" t="s">
        <v>114</v>
      </c>
      <c r="C54" s="437"/>
      <c r="D54" s="437"/>
      <c r="E54" s="437"/>
      <c r="F54" s="437"/>
      <c r="G54" s="437"/>
      <c r="H54" s="437"/>
      <c r="I54" s="437"/>
      <c r="J54" s="437"/>
      <c r="K54" s="437"/>
      <c r="L54" s="437"/>
      <c r="M54" s="437"/>
      <c r="N54" s="437"/>
      <c r="O54" s="437"/>
      <c r="P54" s="140"/>
      <c r="Q54" s="140"/>
      <c r="R54" s="140"/>
      <c r="S54" s="140"/>
      <c r="T54" s="140"/>
      <c r="U54" s="140"/>
      <c r="V54" s="140"/>
      <c r="W54" s="140"/>
      <c r="X54" s="140"/>
      <c r="Y54" s="140"/>
      <c r="Z54" s="140"/>
      <c r="AA54" s="112"/>
      <c r="AB54" s="112"/>
      <c r="AC54" s="112"/>
      <c r="AD54" s="112"/>
      <c r="AE54" s="112"/>
      <c r="AF54" s="112"/>
      <c r="AG54" s="112"/>
      <c r="AH54" s="112"/>
      <c r="AI54" s="112"/>
      <c r="AJ54" s="112"/>
      <c r="AK54" s="112"/>
      <c r="AL54" s="112"/>
      <c r="AM54" s="112"/>
      <c r="AN54" s="112"/>
      <c r="AO54" s="112"/>
      <c r="AP54" s="112"/>
      <c r="AQ54" s="112"/>
      <c r="AR54" s="112"/>
      <c r="AS54" s="112"/>
      <c r="AT54" s="112"/>
      <c r="AU54" s="112"/>
      <c r="AV54" s="112"/>
      <c r="AW54" s="112"/>
      <c r="AX54" s="112"/>
      <c r="AY54" s="112"/>
      <c r="AZ54" s="284"/>
      <c r="BA54" s="284"/>
      <c r="BB54" s="284"/>
      <c r="BC54" s="284"/>
      <c r="BD54" s="284"/>
      <c r="CB54" s="118"/>
    </row>
    <row r="55" spans="1:80" ht="15" customHeight="1" x14ac:dyDescent="0.3">
      <c r="A55" s="123"/>
      <c r="B55" s="124" t="str">
        <f>'1.1 V.A Ing.real'!B45</f>
        <v>Actualizado el 15 de diciembre de 2021</v>
      </c>
      <c r="C55" s="124"/>
      <c r="D55" s="124"/>
      <c r="E55" s="124"/>
      <c r="F55" s="124"/>
      <c r="G55" s="124"/>
      <c r="H55" s="124"/>
      <c r="I55" s="124"/>
      <c r="J55" s="124"/>
      <c r="K55" s="124"/>
      <c r="L55" s="124"/>
      <c r="M55" s="124"/>
      <c r="N55" s="124"/>
      <c r="O55" s="124"/>
      <c r="P55" s="124"/>
      <c r="Q55" s="143"/>
      <c r="R55" s="143"/>
      <c r="S55" s="143"/>
      <c r="T55" s="143"/>
      <c r="U55" s="143"/>
      <c r="V55" s="83"/>
      <c r="W55" s="83"/>
      <c r="X55" s="83"/>
      <c r="Y55" s="83"/>
      <c r="Z55" s="83"/>
      <c r="AA55" s="124"/>
      <c r="AB55" s="195"/>
      <c r="AC55" s="195"/>
      <c r="AD55" s="195"/>
      <c r="AE55" s="195"/>
      <c r="AF55" s="195"/>
      <c r="AG55" s="195"/>
      <c r="AH55" s="195"/>
      <c r="AI55" s="195"/>
      <c r="AJ55" s="195"/>
      <c r="AK55" s="195"/>
      <c r="AL55" s="195"/>
      <c r="AM55" s="124"/>
      <c r="AN55" s="124"/>
      <c r="AO55" s="124"/>
      <c r="AP55" s="124"/>
      <c r="AQ55" s="124"/>
      <c r="AR55" s="124"/>
      <c r="AS55" s="124"/>
      <c r="AT55" s="144"/>
      <c r="AU55" s="144"/>
      <c r="AV55" s="144"/>
      <c r="AW55" s="144"/>
      <c r="AX55" s="144"/>
      <c r="CB55" s="102"/>
    </row>
    <row r="56" spans="1:80" s="83" customFormat="1" x14ac:dyDescent="0.3">
      <c r="A56" s="125"/>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96"/>
      <c r="AC56" s="196"/>
      <c r="AD56" s="196"/>
      <c r="AE56" s="196"/>
      <c r="AF56" s="196"/>
      <c r="AG56" s="196"/>
      <c r="AH56" s="196"/>
      <c r="AI56" s="196"/>
      <c r="AJ56" s="196"/>
      <c r="AK56" s="196"/>
      <c r="AL56" s="19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6"/>
      <c r="BZ56" s="126"/>
      <c r="CA56" s="126"/>
      <c r="CB56" s="127"/>
    </row>
  </sheetData>
  <mergeCells count="17">
    <mergeCell ref="B54:O54"/>
    <mergeCell ref="BW14:CB14"/>
    <mergeCell ref="AA14:AF14"/>
    <mergeCell ref="AG14:AL14"/>
    <mergeCell ref="AM14:AR14"/>
    <mergeCell ref="AS14:AX14"/>
    <mergeCell ref="AY14:BD14"/>
    <mergeCell ref="BE14:BJ14"/>
    <mergeCell ref="BK14:BP14"/>
    <mergeCell ref="C14:H14"/>
    <mergeCell ref="I14:N14"/>
    <mergeCell ref="O14:T14"/>
    <mergeCell ref="A7:J8"/>
    <mergeCell ref="BQ14:BV14"/>
    <mergeCell ref="U14:Z14"/>
    <mergeCell ref="A14:A15"/>
    <mergeCell ref="B14:B15"/>
  </mergeCells>
  <hyperlinks>
    <hyperlink ref="L4" location="Contenido!A1" display="Inicio" xr:uid="{00000000-0004-0000-11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CB56"/>
  <sheetViews>
    <sheetView showGridLines="0" zoomScale="80" zoomScaleNormal="80" zoomScaleSheetLayoutView="90" workbookViewId="0">
      <pane ySplit="15" topLeftCell="A16" activePane="bottomLeft" state="frozen"/>
      <selection activeCell="C16" sqref="C16"/>
      <selection pane="bottomLeft" activeCell="A7" sqref="A7:K8"/>
    </sheetView>
  </sheetViews>
  <sheetFormatPr baseColWidth="10" defaultColWidth="11.42578125" defaultRowHeight="16.5" x14ac:dyDescent="0.3"/>
  <cols>
    <col min="1" max="1" width="10.42578125" style="100" customWidth="1"/>
    <col min="2" max="2" width="19.85546875" style="128" bestFit="1" customWidth="1"/>
    <col min="3" max="3" width="16.42578125" style="128" customWidth="1"/>
    <col min="4" max="4" width="13.7109375" style="128" customWidth="1"/>
    <col min="5" max="5" width="12.7109375" style="128" customWidth="1"/>
    <col min="6" max="6" width="19.28515625" style="128" customWidth="1"/>
    <col min="7" max="7" width="13.42578125" style="128" customWidth="1"/>
    <col min="8" max="8" width="8.85546875" style="128" customWidth="1"/>
    <col min="9" max="9" width="16.85546875" style="128" customWidth="1"/>
    <col min="10" max="10" width="13.7109375" style="128" customWidth="1"/>
    <col min="11" max="11" width="13" style="128" customWidth="1"/>
    <col min="12" max="12" width="20.140625" style="128" customWidth="1"/>
    <col min="13" max="13" width="13.28515625" style="128" customWidth="1"/>
    <col min="14" max="14" width="9.140625" style="128" customWidth="1"/>
    <col min="15" max="15" width="16.85546875" style="100" customWidth="1"/>
    <col min="16" max="16" width="13.7109375" style="100" customWidth="1"/>
    <col min="17" max="17" width="11.85546875" style="100" customWidth="1"/>
    <col min="18" max="18" width="18.7109375" style="100" customWidth="1"/>
    <col min="19" max="19" width="12.42578125" style="100" customWidth="1"/>
    <col min="20" max="20" width="10" style="100" customWidth="1"/>
    <col min="21" max="21" width="16.140625" style="100" customWidth="1"/>
    <col min="22" max="23" width="14.7109375" style="100" customWidth="1"/>
    <col min="24" max="24" width="18.7109375" style="100" customWidth="1"/>
    <col min="25" max="26" width="14.7109375" style="100" customWidth="1"/>
    <col min="27" max="27" width="16.42578125" style="100" customWidth="1"/>
    <col min="28" max="29" width="14.7109375" style="100" customWidth="1"/>
    <col min="30" max="30" width="19" style="100" customWidth="1"/>
    <col min="31" max="32" width="14.7109375" style="100" customWidth="1"/>
    <col min="33" max="33" width="16.42578125" style="100" customWidth="1"/>
    <col min="34" max="35" width="14.7109375" style="100" customWidth="1"/>
    <col min="36" max="36" width="19.85546875" style="100" customWidth="1"/>
    <col min="37" max="38" width="14.7109375" style="100" customWidth="1"/>
    <col min="39" max="39" width="17.140625" style="100" customWidth="1"/>
    <col min="40" max="41" width="14.7109375" style="100" customWidth="1"/>
    <col min="42" max="42" width="19" style="100" customWidth="1"/>
    <col min="43" max="44" width="14.7109375" style="100" customWidth="1"/>
    <col min="45" max="45" width="17.140625" style="100" customWidth="1"/>
    <col min="46" max="47" width="14.7109375" style="100" customWidth="1"/>
    <col min="48" max="48" width="20.85546875" style="100" customWidth="1"/>
    <col min="49" max="50" width="14.7109375" style="100" customWidth="1"/>
    <col min="51" max="51" width="17.28515625" style="100" customWidth="1"/>
    <col min="52" max="53" width="14.7109375" style="100" customWidth="1"/>
    <col min="54" max="54" width="19" style="100" customWidth="1"/>
    <col min="55" max="56" width="14.7109375" style="100" customWidth="1"/>
    <col min="57" max="57" width="19.7109375" style="100" customWidth="1"/>
    <col min="58" max="59" width="14.7109375" style="100" customWidth="1"/>
    <col min="60" max="60" width="19.7109375" style="100" customWidth="1"/>
    <col min="61" max="62" width="14.7109375" style="100" customWidth="1"/>
    <col min="63" max="63" width="17.42578125" style="100" customWidth="1"/>
    <col min="64" max="65" width="14.7109375" style="100" customWidth="1"/>
    <col min="66" max="66" width="22.140625" style="100" customWidth="1"/>
    <col min="67" max="68" width="14.7109375" style="100" customWidth="1"/>
    <col min="69" max="69" width="19.42578125" style="100" customWidth="1"/>
    <col min="70" max="71" width="14.7109375" style="100" customWidth="1"/>
    <col min="72" max="72" width="20.42578125" style="100" customWidth="1"/>
    <col min="73" max="74" width="14.7109375" style="100" customWidth="1"/>
    <col min="75" max="75" width="16.85546875" style="100" customWidth="1"/>
    <col min="76" max="77" width="14.7109375" style="100" customWidth="1"/>
    <col min="78" max="78" width="18.85546875" style="100" customWidth="1"/>
    <col min="79" max="79" width="13.140625" style="100" customWidth="1"/>
    <col min="80" max="16384" width="11.42578125" style="100"/>
  </cols>
  <sheetData>
    <row r="1" spans="1:80" s="83" customFormat="1" ht="12" customHeight="1" x14ac:dyDescent="0.3">
      <c r="A1" s="80"/>
      <c r="B1" s="81"/>
      <c r="C1" s="81"/>
      <c r="D1" s="81"/>
      <c r="E1" s="81"/>
      <c r="F1" s="81"/>
      <c r="G1" s="81"/>
      <c r="H1" s="81"/>
      <c r="I1" s="81"/>
      <c r="J1" s="81"/>
      <c r="K1" s="81"/>
      <c r="L1" s="81"/>
      <c r="M1" s="81"/>
      <c r="N1" s="81"/>
      <c r="O1" s="81"/>
      <c r="P1" s="81"/>
      <c r="Q1" s="81"/>
      <c r="R1" s="81"/>
      <c r="S1" s="81"/>
      <c r="T1" s="85"/>
    </row>
    <row r="2" spans="1:80" s="87" customFormat="1" x14ac:dyDescent="0.3">
      <c r="A2" s="84"/>
      <c r="B2" s="85"/>
      <c r="C2" s="85"/>
      <c r="D2" s="85"/>
      <c r="E2" s="85"/>
      <c r="F2" s="85"/>
      <c r="G2" s="85"/>
      <c r="H2" s="85"/>
      <c r="I2" s="85"/>
      <c r="J2" s="85"/>
      <c r="K2" s="85"/>
      <c r="L2" s="85"/>
      <c r="M2" s="85"/>
      <c r="N2" s="85"/>
      <c r="O2" s="85"/>
      <c r="P2" s="85"/>
      <c r="Q2" s="85"/>
      <c r="R2" s="85"/>
      <c r="S2" s="85"/>
      <c r="T2" s="85"/>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0"/>
      <c r="BP2" s="130"/>
      <c r="BQ2" s="130"/>
      <c r="BR2" s="130"/>
      <c r="BS2" s="130"/>
      <c r="BT2" s="130"/>
      <c r="BU2" s="130"/>
      <c r="BV2" s="130"/>
      <c r="BW2" s="130"/>
      <c r="BX2" s="130"/>
      <c r="BY2" s="130"/>
      <c r="BZ2" s="130"/>
      <c r="CA2" s="130"/>
      <c r="CB2" s="130"/>
    </row>
    <row r="3" spans="1:80" s="87" customFormat="1" x14ac:dyDescent="0.3">
      <c r="A3" s="84"/>
      <c r="B3" s="85"/>
      <c r="C3" s="85"/>
      <c r="D3" s="85"/>
      <c r="E3" s="85"/>
      <c r="F3" s="85"/>
      <c r="G3" s="85"/>
      <c r="H3" s="85"/>
      <c r="I3" s="85"/>
      <c r="J3" s="85"/>
      <c r="K3" s="85"/>
      <c r="L3" s="85"/>
      <c r="M3" s="85"/>
      <c r="N3" s="85"/>
      <c r="O3" s="85"/>
      <c r="P3" s="85"/>
      <c r="Q3" s="85"/>
      <c r="R3" s="85"/>
      <c r="S3" s="85"/>
      <c r="T3" s="85"/>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c r="BI3" s="130"/>
      <c r="BJ3" s="130"/>
      <c r="BK3" s="130"/>
      <c r="BL3" s="130"/>
      <c r="BM3" s="130"/>
      <c r="BN3" s="130"/>
      <c r="BO3" s="130"/>
      <c r="BP3" s="130"/>
      <c r="BQ3" s="130"/>
      <c r="BR3" s="130"/>
      <c r="BS3" s="130"/>
      <c r="BT3" s="130"/>
      <c r="BU3" s="130"/>
      <c r="BV3" s="130"/>
      <c r="BW3" s="130"/>
      <c r="BX3" s="130"/>
      <c r="BY3" s="130"/>
      <c r="BZ3" s="130"/>
      <c r="CA3" s="130"/>
      <c r="CB3" s="130"/>
    </row>
    <row r="4" spans="1:80" s="87" customFormat="1" x14ac:dyDescent="0.3">
      <c r="A4" s="84"/>
      <c r="B4" s="85"/>
      <c r="C4" s="85"/>
      <c r="D4" s="85"/>
      <c r="E4" s="85"/>
      <c r="F4" s="85"/>
      <c r="G4" s="85"/>
      <c r="H4" s="85"/>
      <c r="I4" s="85"/>
      <c r="J4" s="85"/>
      <c r="L4" s="224" t="s">
        <v>0</v>
      </c>
      <c r="M4" s="85"/>
      <c r="N4" s="85"/>
      <c r="O4" s="85"/>
      <c r="P4" s="85"/>
      <c r="Q4" s="85"/>
      <c r="R4" s="85"/>
      <c r="S4" s="85"/>
      <c r="T4" s="85"/>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130"/>
      <c r="BW4" s="130"/>
      <c r="BX4" s="130"/>
      <c r="BY4" s="130"/>
      <c r="BZ4" s="130"/>
      <c r="CA4" s="130"/>
      <c r="CB4" s="130"/>
    </row>
    <row r="5" spans="1:80" s="87" customFormat="1" x14ac:dyDescent="0.3">
      <c r="A5" s="84"/>
      <c r="B5" s="85"/>
      <c r="C5" s="85"/>
      <c r="D5" s="85"/>
      <c r="E5" s="85"/>
      <c r="F5" s="85"/>
      <c r="G5" s="85"/>
      <c r="H5" s="85"/>
      <c r="I5" s="85"/>
      <c r="J5" s="85"/>
      <c r="K5" s="85"/>
      <c r="L5" s="85"/>
      <c r="M5" s="85"/>
      <c r="N5" s="85"/>
      <c r="O5" s="85"/>
      <c r="P5" s="85"/>
      <c r="Q5" s="85"/>
      <c r="R5" s="85"/>
      <c r="S5" s="85"/>
      <c r="T5" s="85"/>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row>
    <row r="6" spans="1:80" s="87" customFormat="1" x14ac:dyDescent="0.3">
      <c r="A6" s="84"/>
      <c r="B6" s="85"/>
      <c r="C6" s="85"/>
      <c r="D6" s="85"/>
      <c r="E6" s="85"/>
      <c r="F6" s="85"/>
      <c r="G6" s="85"/>
      <c r="H6" s="85"/>
      <c r="I6" s="85"/>
      <c r="J6" s="85"/>
      <c r="K6" s="85"/>
      <c r="L6" s="85"/>
      <c r="M6" s="85"/>
      <c r="N6" s="85"/>
      <c r="O6" s="85"/>
      <c r="P6" s="85"/>
      <c r="Q6" s="85"/>
      <c r="R6" s="85"/>
      <c r="S6" s="85"/>
      <c r="T6" s="85"/>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0"/>
      <c r="BK6" s="130"/>
      <c r="BL6" s="130"/>
      <c r="BM6" s="130"/>
      <c r="BN6" s="130"/>
      <c r="BO6" s="130"/>
      <c r="BP6" s="130"/>
      <c r="BQ6" s="130"/>
      <c r="BR6" s="130"/>
      <c r="BS6" s="130"/>
      <c r="BT6" s="130"/>
      <c r="BU6" s="130"/>
      <c r="BV6" s="130"/>
      <c r="BW6" s="130"/>
      <c r="BX6" s="130"/>
      <c r="BY6" s="130"/>
      <c r="BZ6" s="130"/>
      <c r="CA6" s="130"/>
      <c r="CB6" s="130"/>
    </row>
    <row r="7" spans="1:80" s="87" customFormat="1" ht="15" customHeight="1" x14ac:dyDescent="0.3">
      <c r="A7" s="421" t="s">
        <v>4</v>
      </c>
      <c r="B7" s="421"/>
      <c r="C7" s="421"/>
      <c r="D7" s="421"/>
      <c r="E7" s="421"/>
      <c r="F7" s="421"/>
      <c r="G7" s="421"/>
      <c r="H7" s="421"/>
      <c r="I7" s="421"/>
      <c r="J7" s="421"/>
      <c r="K7" s="421"/>
      <c r="L7" s="197"/>
      <c r="M7" s="197"/>
      <c r="N7" s="197"/>
      <c r="O7" s="197"/>
      <c r="P7" s="197"/>
      <c r="Q7" s="197"/>
      <c r="R7" s="197"/>
      <c r="S7" s="197"/>
      <c r="T7" s="197"/>
      <c r="U7" s="197"/>
      <c r="V7" s="197"/>
      <c r="W7" s="197"/>
      <c r="X7" s="129"/>
      <c r="Y7" s="129"/>
      <c r="Z7" s="129"/>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30"/>
      <c r="BZ7" s="130"/>
      <c r="CA7" s="130"/>
      <c r="CB7" s="130"/>
    </row>
    <row r="8" spans="1:80" s="87" customFormat="1" ht="15" customHeight="1" x14ac:dyDescent="0.3">
      <c r="A8" s="421"/>
      <c r="B8" s="421"/>
      <c r="C8" s="421"/>
      <c r="D8" s="421"/>
      <c r="E8" s="421"/>
      <c r="F8" s="421"/>
      <c r="G8" s="421"/>
      <c r="H8" s="421"/>
      <c r="I8" s="421"/>
      <c r="J8" s="421"/>
      <c r="K8" s="421"/>
      <c r="L8" s="197"/>
      <c r="M8" s="197"/>
      <c r="N8" s="197"/>
      <c r="O8" s="197"/>
      <c r="P8" s="197"/>
      <c r="Q8" s="197"/>
      <c r="R8" s="197"/>
      <c r="S8" s="197"/>
      <c r="T8" s="197"/>
      <c r="U8" s="197"/>
      <c r="V8" s="197"/>
      <c r="W8" s="197"/>
      <c r="X8" s="129"/>
      <c r="Y8" s="129"/>
      <c r="Z8" s="129"/>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197"/>
      <c r="BP8" s="197"/>
      <c r="BQ8" s="197"/>
      <c r="BR8" s="197"/>
      <c r="BS8" s="197"/>
      <c r="BT8" s="197"/>
      <c r="BU8" s="197"/>
      <c r="BV8" s="197"/>
      <c r="BW8" s="197"/>
      <c r="BX8" s="197"/>
      <c r="BY8" s="130"/>
      <c r="BZ8" s="130"/>
      <c r="CA8" s="130"/>
      <c r="CB8" s="130"/>
    </row>
    <row r="9" spans="1:80" s="89" customFormat="1" ht="15" customHeight="1" x14ac:dyDescent="0.3">
      <c r="A9" s="215"/>
      <c r="B9" s="216"/>
      <c r="C9" s="216"/>
      <c r="D9" s="216"/>
      <c r="E9" s="216"/>
      <c r="F9" s="216"/>
      <c r="G9" s="216"/>
      <c r="H9" s="216"/>
      <c r="I9" s="216"/>
      <c r="J9" s="216"/>
      <c r="K9" s="216"/>
      <c r="L9" s="129"/>
      <c r="M9" s="129"/>
      <c r="N9" s="129"/>
      <c r="O9" s="129"/>
      <c r="P9" s="129"/>
      <c r="Q9" s="129"/>
      <c r="R9" s="129"/>
      <c r="S9" s="129"/>
      <c r="T9" s="129"/>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c r="BZ9" s="130"/>
      <c r="CA9" s="130"/>
      <c r="CB9" s="130"/>
    </row>
    <row r="10" spans="1:80" s="83" customFormat="1" ht="18" customHeight="1" x14ac:dyDescent="0.3">
      <c r="A10" s="90" t="s">
        <v>145</v>
      </c>
      <c r="B10" s="164"/>
      <c r="C10" s="164"/>
      <c r="D10" s="164"/>
      <c r="E10" s="164"/>
      <c r="F10" s="164"/>
      <c r="G10" s="164"/>
      <c r="H10" s="164"/>
      <c r="I10" s="164"/>
      <c r="J10" s="164"/>
      <c r="K10" s="164"/>
      <c r="L10" s="137"/>
      <c r="M10" s="137"/>
      <c r="N10" s="137"/>
      <c r="O10" s="137"/>
      <c r="P10" s="137"/>
      <c r="Q10" s="137"/>
      <c r="R10" s="137"/>
      <c r="S10" s="137"/>
      <c r="T10" s="137"/>
      <c r="U10" s="137"/>
      <c r="V10" s="137"/>
      <c r="W10" s="137"/>
      <c r="X10" s="226"/>
      <c r="Y10" s="226"/>
      <c r="Z10" s="226"/>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row>
    <row r="11" spans="1:80" s="83" customFormat="1" ht="18" customHeight="1" x14ac:dyDescent="0.3">
      <c r="A11" s="90" t="s">
        <v>79</v>
      </c>
      <c r="B11" s="164"/>
      <c r="C11" s="164"/>
      <c r="D11" s="164"/>
      <c r="E11" s="164"/>
      <c r="F11" s="164"/>
      <c r="G11" s="164"/>
      <c r="H11" s="164"/>
      <c r="I11" s="164"/>
      <c r="J11" s="164"/>
      <c r="K11" s="164"/>
      <c r="L11" s="137"/>
      <c r="M11" s="137"/>
      <c r="N11" s="137"/>
      <c r="O11" s="137"/>
      <c r="P11" s="137"/>
      <c r="Q11" s="137"/>
      <c r="R11" s="137"/>
      <c r="S11" s="137"/>
      <c r="T11" s="137"/>
      <c r="U11" s="226"/>
      <c r="V11" s="226"/>
      <c r="W11" s="226"/>
      <c r="X11" s="226"/>
      <c r="Y11" s="226"/>
      <c r="Z11" s="226"/>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row>
    <row r="12" spans="1:80" s="83" customFormat="1" ht="18" customHeight="1" x14ac:dyDescent="0.3">
      <c r="A12" s="90" t="str">
        <f>'6.1 Porc Mens Motivo.viaje.reg'!A12</f>
        <v>Enero 2019 - octubre 2021</v>
      </c>
      <c r="B12" s="91"/>
      <c r="C12" s="91"/>
      <c r="D12" s="91"/>
      <c r="E12" s="91"/>
      <c r="F12" s="91"/>
      <c r="G12" s="91"/>
      <c r="H12" s="91"/>
      <c r="I12" s="91"/>
      <c r="J12" s="91"/>
      <c r="K12" s="91"/>
      <c r="L12" s="226"/>
      <c r="M12" s="226"/>
      <c r="N12" s="226"/>
      <c r="O12" s="226"/>
      <c r="P12" s="226"/>
      <c r="Q12" s="226"/>
      <c r="R12" s="226"/>
      <c r="S12" s="226"/>
      <c r="T12" s="226"/>
      <c r="U12" s="226"/>
      <c r="V12" s="226"/>
      <c r="W12" s="226"/>
      <c r="X12" s="226"/>
      <c r="Y12" s="226"/>
      <c r="Z12" s="226"/>
      <c r="AA12" s="137"/>
      <c r="AB12" s="137"/>
      <c r="AC12" s="137"/>
      <c r="AD12" s="137"/>
      <c r="AE12" s="137"/>
      <c r="AF12" s="137"/>
      <c r="AG12" s="137"/>
      <c r="AH12" s="137"/>
      <c r="AI12" s="137"/>
      <c r="AJ12" s="137"/>
      <c r="AK12" s="137"/>
      <c r="AL12" s="137"/>
      <c r="AM12" s="137"/>
      <c r="AN12" s="137"/>
      <c r="AO12" s="137"/>
      <c r="AP12" s="137"/>
      <c r="AQ12" s="137"/>
      <c r="AR12" s="137"/>
      <c r="AS12" s="137"/>
      <c r="AT12" s="137"/>
      <c r="AU12" s="137"/>
      <c r="AV12" s="137"/>
      <c r="AW12" s="137"/>
      <c r="AX12" s="137"/>
      <c r="AY12" s="137"/>
      <c r="AZ12" s="137"/>
      <c r="BA12" s="137"/>
      <c r="BB12" s="137"/>
      <c r="BC12" s="137"/>
      <c r="BD12" s="137"/>
      <c r="BE12" s="137"/>
      <c r="BF12" s="137"/>
      <c r="BG12" s="137"/>
      <c r="BH12" s="137"/>
      <c r="BI12" s="137"/>
      <c r="BJ12" s="137"/>
      <c r="BK12" s="137"/>
      <c r="BL12" s="137"/>
      <c r="BM12" s="137"/>
      <c r="BN12" s="137"/>
      <c r="BO12" s="137"/>
      <c r="BP12" s="137"/>
      <c r="BQ12" s="137"/>
      <c r="BR12" s="137"/>
      <c r="BS12" s="137"/>
      <c r="BT12" s="137"/>
      <c r="BU12" s="137"/>
      <c r="BV12" s="137"/>
      <c r="BW12" s="137"/>
      <c r="BX12" s="137"/>
    </row>
    <row r="13" spans="1:80" s="83" customFormat="1" ht="18" customHeight="1" x14ac:dyDescent="0.3">
      <c r="A13" s="218"/>
      <c r="B13" s="219"/>
      <c r="C13" s="219"/>
      <c r="D13" s="219"/>
      <c r="E13" s="219"/>
      <c r="F13" s="219"/>
      <c r="G13" s="219"/>
      <c r="H13" s="219"/>
      <c r="I13" s="220"/>
      <c r="J13" s="220"/>
      <c r="K13" s="220"/>
      <c r="L13" s="242"/>
      <c r="M13" s="242"/>
      <c r="N13" s="242"/>
      <c r="O13" s="93"/>
      <c r="P13" s="93"/>
      <c r="Q13" s="93"/>
      <c r="R13" s="93"/>
      <c r="S13" s="93"/>
      <c r="T13" s="93"/>
    </row>
    <row r="14" spans="1:80" s="95" customFormat="1" ht="16.5" customHeight="1" x14ac:dyDescent="0.3">
      <c r="A14" s="427" t="s">
        <v>25</v>
      </c>
      <c r="B14" s="429" t="s">
        <v>26</v>
      </c>
      <c r="C14" s="425" t="s">
        <v>24</v>
      </c>
      <c r="D14" s="425"/>
      <c r="E14" s="425"/>
      <c r="F14" s="425"/>
      <c r="G14" s="425"/>
      <c r="H14" s="425"/>
      <c r="I14" s="425" t="s">
        <v>5</v>
      </c>
      <c r="J14" s="425"/>
      <c r="K14" s="425"/>
      <c r="L14" s="425"/>
      <c r="M14" s="425"/>
      <c r="N14" s="425"/>
      <c r="O14" s="425" t="s">
        <v>6</v>
      </c>
      <c r="P14" s="425"/>
      <c r="Q14" s="425"/>
      <c r="R14" s="425"/>
      <c r="S14" s="425"/>
      <c r="T14" s="425"/>
      <c r="U14" s="425" t="s">
        <v>20</v>
      </c>
      <c r="V14" s="425"/>
      <c r="W14" s="425"/>
      <c r="X14" s="425"/>
      <c r="Y14" s="425"/>
      <c r="Z14" s="425"/>
      <c r="AA14" s="425" t="s">
        <v>21</v>
      </c>
      <c r="AB14" s="425"/>
      <c r="AC14" s="425"/>
      <c r="AD14" s="425"/>
      <c r="AE14" s="425"/>
      <c r="AF14" s="425"/>
      <c r="AG14" s="425" t="s">
        <v>22</v>
      </c>
      <c r="AH14" s="425"/>
      <c r="AI14" s="425"/>
      <c r="AJ14" s="425"/>
      <c r="AK14" s="425"/>
      <c r="AL14" s="425"/>
      <c r="AM14" s="425" t="s">
        <v>3</v>
      </c>
      <c r="AN14" s="425"/>
      <c r="AO14" s="425"/>
      <c r="AP14" s="425"/>
      <c r="AQ14" s="425"/>
      <c r="AR14" s="425"/>
      <c r="AS14" s="425" t="s">
        <v>7</v>
      </c>
      <c r="AT14" s="425"/>
      <c r="AU14" s="425"/>
      <c r="AV14" s="425"/>
      <c r="AW14" s="425"/>
      <c r="AX14" s="425"/>
      <c r="AY14" s="425" t="s">
        <v>41</v>
      </c>
      <c r="AZ14" s="425"/>
      <c r="BA14" s="425"/>
      <c r="BB14" s="425"/>
      <c r="BC14" s="425"/>
      <c r="BD14" s="425"/>
      <c r="BE14" s="425" t="s">
        <v>38</v>
      </c>
      <c r="BF14" s="425"/>
      <c r="BG14" s="425"/>
      <c r="BH14" s="425"/>
      <c r="BI14" s="425"/>
      <c r="BJ14" s="425"/>
      <c r="BK14" s="425" t="s">
        <v>42</v>
      </c>
      <c r="BL14" s="425"/>
      <c r="BM14" s="425"/>
      <c r="BN14" s="425"/>
      <c r="BO14" s="425"/>
      <c r="BP14" s="425"/>
      <c r="BQ14" s="425" t="s">
        <v>23</v>
      </c>
      <c r="BR14" s="425"/>
      <c r="BS14" s="425"/>
      <c r="BT14" s="425"/>
      <c r="BU14" s="425"/>
      <c r="BV14" s="425"/>
      <c r="BW14" s="425" t="s">
        <v>40</v>
      </c>
      <c r="BX14" s="425"/>
      <c r="BY14" s="425"/>
      <c r="BZ14" s="425"/>
      <c r="CA14" s="425"/>
      <c r="CB14" s="426"/>
    </row>
    <row r="15" spans="1:80" s="95" customFormat="1" ht="70.5" customHeight="1" x14ac:dyDescent="0.3">
      <c r="A15" s="431"/>
      <c r="B15" s="432"/>
      <c r="C15" s="213" t="s">
        <v>34</v>
      </c>
      <c r="D15" s="213" t="s">
        <v>1</v>
      </c>
      <c r="E15" s="213" t="s">
        <v>35</v>
      </c>
      <c r="F15" s="213" t="s">
        <v>36</v>
      </c>
      <c r="G15" s="213" t="s">
        <v>119</v>
      </c>
      <c r="H15" s="213" t="s">
        <v>2</v>
      </c>
      <c r="I15" s="213" t="s">
        <v>34</v>
      </c>
      <c r="J15" s="213" t="s">
        <v>1</v>
      </c>
      <c r="K15" s="213" t="s">
        <v>35</v>
      </c>
      <c r="L15" s="213" t="s">
        <v>36</v>
      </c>
      <c r="M15" s="213" t="s">
        <v>119</v>
      </c>
      <c r="N15" s="213" t="s">
        <v>2</v>
      </c>
      <c r="O15" s="213" t="s">
        <v>34</v>
      </c>
      <c r="P15" s="213" t="s">
        <v>1</v>
      </c>
      <c r="Q15" s="213" t="s">
        <v>35</v>
      </c>
      <c r="R15" s="213" t="s">
        <v>36</v>
      </c>
      <c r="S15" s="213" t="s">
        <v>119</v>
      </c>
      <c r="T15" s="213" t="s">
        <v>2</v>
      </c>
      <c r="U15" s="213" t="s">
        <v>34</v>
      </c>
      <c r="V15" s="213" t="s">
        <v>1</v>
      </c>
      <c r="W15" s="213" t="s">
        <v>35</v>
      </c>
      <c r="X15" s="213" t="s">
        <v>36</v>
      </c>
      <c r="Y15" s="213" t="s">
        <v>119</v>
      </c>
      <c r="Z15" s="213" t="s">
        <v>2</v>
      </c>
      <c r="AA15" s="213" t="s">
        <v>34</v>
      </c>
      <c r="AB15" s="213" t="s">
        <v>1</v>
      </c>
      <c r="AC15" s="213" t="s">
        <v>35</v>
      </c>
      <c r="AD15" s="213" t="s">
        <v>36</v>
      </c>
      <c r="AE15" s="213" t="s">
        <v>119</v>
      </c>
      <c r="AF15" s="213" t="s">
        <v>2</v>
      </c>
      <c r="AG15" s="213" t="s">
        <v>34</v>
      </c>
      <c r="AH15" s="213" t="s">
        <v>1</v>
      </c>
      <c r="AI15" s="213" t="s">
        <v>35</v>
      </c>
      <c r="AJ15" s="213" t="s">
        <v>36</v>
      </c>
      <c r="AK15" s="213" t="s">
        <v>119</v>
      </c>
      <c r="AL15" s="213" t="s">
        <v>2</v>
      </c>
      <c r="AM15" s="213" t="s">
        <v>34</v>
      </c>
      <c r="AN15" s="213" t="s">
        <v>1</v>
      </c>
      <c r="AO15" s="213" t="s">
        <v>35</v>
      </c>
      <c r="AP15" s="213" t="s">
        <v>36</v>
      </c>
      <c r="AQ15" s="213" t="s">
        <v>119</v>
      </c>
      <c r="AR15" s="213" t="s">
        <v>2</v>
      </c>
      <c r="AS15" s="213" t="s">
        <v>34</v>
      </c>
      <c r="AT15" s="213" t="s">
        <v>1</v>
      </c>
      <c r="AU15" s="213" t="s">
        <v>35</v>
      </c>
      <c r="AV15" s="213" t="s">
        <v>36</v>
      </c>
      <c r="AW15" s="213" t="s">
        <v>119</v>
      </c>
      <c r="AX15" s="213" t="s">
        <v>2</v>
      </c>
      <c r="AY15" s="213" t="s">
        <v>34</v>
      </c>
      <c r="AZ15" s="213" t="s">
        <v>1</v>
      </c>
      <c r="BA15" s="213" t="s">
        <v>35</v>
      </c>
      <c r="BB15" s="213" t="s">
        <v>36</v>
      </c>
      <c r="BC15" s="213" t="s">
        <v>119</v>
      </c>
      <c r="BD15" s="213" t="s">
        <v>2</v>
      </c>
      <c r="BE15" s="213" t="s">
        <v>34</v>
      </c>
      <c r="BF15" s="213" t="s">
        <v>1</v>
      </c>
      <c r="BG15" s="213" t="s">
        <v>35</v>
      </c>
      <c r="BH15" s="213" t="s">
        <v>36</v>
      </c>
      <c r="BI15" s="213" t="s">
        <v>119</v>
      </c>
      <c r="BJ15" s="213" t="s">
        <v>2</v>
      </c>
      <c r="BK15" s="213" t="s">
        <v>34</v>
      </c>
      <c r="BL15" s="213" t="s">
        <v>1</v>
      </c>
      <c r="BM15" s="213" t="s">
        <v>35</v>
      </c>
      <c r="BN15" s="213" t="s">
        <v>36</v>
      </c>
      <c r="BO15" s="213" t="s">
        <v>119</v>
      </c>
      <c r="BP15" s="213" t="s">
        <v>2</v>
      </c>
      <c r="BQ15" s="213" t="s">
        <v>34</v>
      </c>
      <c r="BR15" s="213" t="s">
        <v>1</v>
      </c>
      <c r="BS15" s="213" t="s">
        <v>35</v>
      </c>
      <c r="BT15" s="213" t="s">
        <v>36</v>
      </c>
      <c r="BU15" s="213" t="s">
        <v>119</v>
      </c>
      <c r="BV15" s="213" t="s">
        <v>2</v>
      </c>
      <c r="BW15" s="213" t="s">
        <v>34</v>
      </c>
      <c r="BX15" s="213" t="s">
        <v>1</v>
      </c>
      <c r="BY15" s="213" t="s">
        <v>35</v>
      </c>
      <c r="BZ15" s="213" t="s">
        <v>36</v>
      </c>
      <c r="CA15" s="213" t="s">
        <v>119</v>
      </c>
      <c r="CB15" s="214" t="s">
        <v>2</v>
      </c>
    </row>
    <row r="16" spans="1:80" ht="15.75" customHeight="1" x14ac:dyDescent="0.3">
      <c r="A16" s="147" t="s">
        <v>51</v>
      </c>
      <c r="B16" s="148" t="s">
        <v>47</v>
      </c>
      <c r="C16" s="97">
        <v>58.056949053804928</v>
      </c>
      <c r="D16" s="131">
        <v>30.563925636306084</v>
      </c>
      <c r="E16" s="131">
        <v>1.9325399968927675</v>
      </c>
      <c r="F16" s="131">
        <v>5.5640739751285739</v>
      </c>
      <c r="G16" s="131">
        <v>0.6626621980443862</v>
      </c>
      <c r="H16" s="191">
        <v>3.2198491398232707</v>
      </c>
      <c r="I16" s="97">
        <v>25.2627388829696</v>
      </c>
      <c r="J16" s="131">
        <v>58.232032657465474</v>
      </c>
      <c r="K16" s="131">
        <v>2.9163327215747104</v>
      </c>
      <c r="L16" s="131">
        <v>5.1052991071997695</v>
      </c>
      <c r="M16" s="131">
        <v>1.9513222169540343</v>
      </c>
      <c r="N16" s="191">
        <v>6.5322744138364097</v>
      </c>
      <c r="O16" s="97">
        <v>72.635799469530966</v>
      </c>
      <c r="P16" s="131">
        <v>16.731791746408899</v>
      </c>
      <c r="Q16" s="131">
        <v>0.22034880251764014</v>
      </c>
      <c r="R16" s="131">
        <v>9.9690747218545521</v>
      </c>
      <c r="S16" s="131">
        <v>1.5060393129639287E-3</v>
      </c>
      <c r="T16" s="191">
        <v>0.44147922037491977</v>
      </c>
      <c r="U16" s="97">
        <v>77.359737172198564</v>
      </c>
      <c r="V16" s="131">
        <v>15.481362078261665</v>
      </c>
      <c r="W16" s="131">
        <v>0.30842037921179588</v>
      </c>
      <c r="X16" s="131">
        <v>1.9744212228979776</v>
      </c>
      <c r="Y16" s="131">
        <v>9.6381368503686213E-3</v>
      </c>
      <c r="Z16" s="191">
        <v>4.8664210105795993</v>
      </c>
      <c r="AA16" s="97">
        <v>75.992353056369737</v>
      </c>
      <c r="AB16" s="131">
        <v>17.681871735522336</v>
      </c>
      <c r="AC16" s="131">
        <v>1.3752299380090343</v>
      </c>
      <c r="AD16" s="131">
        <v>1.3409438935206441</v>
      </c>
      <c r="AE16" s="131">
        <v>0.1306914673335538</v>
      </c>
      <c r="AF16" s="191">
        <v>3.4789099092447122</v>
      </c>
      <c r="AG16" s="97">
        <v>86.915518458994384</v>
      </c>
      <c r="AH16" s="131">
        <v>9.9422529767180947</v>
      </c>
      <c r="AI16" s="131">
        <v>1.2060903201806522E-2</v>
      </c>
      <c r="AJ16" s="131">
        <v>0.92650986523757084</v>
      </c>
      <c r="AK16" s="131">
        <v>0</v>
      </c>
      <c r="AL16" s="191">
        <v>2.2036577958481431</v>
      </c>
      <c r="AM16" s="97">
        <v>58.968009066885607</v>
      </c>
      <c r="AN16" s="131">
        <v>31.112643573226574</v>
      </c>
      <c r="AO16" s="131">
        <v>2.5796595411030321</v>
      </c>
      <c r="AP16" s="131">
        <v>5.4819932009913952</v>
      </c>
      <c r="AQ16" s="131">
        <v>0.6745561822471744</v>
      </c>
      <c r="AR16" s="191">
        <v>1.1831384355462133</v>
      </c>
      <c r="AS16" s="97">
        <v>97.862792997672003</v>
      </c>
      <c r="AT16" s="131">
        <v>3.9488161628635381E-2</v>
      </c>
      <c r="AU16" s="131">
        <v>0</v>
      </c>
      <c r="AV16" s="131">
        <v>0</v>
      </c>
      <c r="AW16" s="131">
        <v>0</v>
      </c>
      <c r="AX16" s="191">
        <v>2.0977188406993714</v>
      </c>
      <c r="AY16" s="97">
        <v>41.845840613403041</v>
      </c>
      <c r="AZ16" s="131">
        <v>34.35807835039639</v>
      </c>
      <c r="BA16" s="131">
        <v>11.55232745633162</v>
      </c>
      <c r="BB16" s="131">
        <v>2.8078205998296113</v>
      </c>
      <c r="BC16" s="131">
        <v>0.20721123994628401</v>
      </c>
      <c r="BD16" s="191">
        <v>9.228721740093091</v>
      </c>
      <c r="BE16" s="97">
        <v>34.761011363746817</v>
      </c>
      <c r="BF16" s="131">
        <v>54.147427360480592</v>
      </c>
      <c r="BG16" s="131">
        <v>3.321149789542241</v>
      </c>
      <c r="BH16" s="131">
        <v>3.382391538917672</v>
      </c>
      <c r="BI16" s="131">
        <v>0.4986828163427981</v>
      </c>
      <c r="BJ16" s="191">
        <v>3.8893371309698548</v>
      </c>
      <c r="BK16" s="97">
        <v>54.291453615777939</v>
      </c>
      <c r="BL16" s="131">
        <v>39.450328707085468</v>
      </c>
      <c r="BM16" s="131">
        <v>1.8060628195763329</v>
      </c>
      <c r="BN16" s="131">
        <v>4.0248356464572677</v>
      </c>
      <c r="BO16" s="131">
        <v>0.10774287801314827</v>
      </c>
      <c r="BP16" s="191">
        <v>0.31957633308984656</v>
      </c>
      <c r="BQ16" s="97">
        <v>86.703071463534016</v>
      </c>
      <c r="BR16" s="131">
        <v>13.171500244738132</v>
      </c>
      <c r="BS16" s="131">
        <v>0.12542829172785119</v>
      </c>
      <c r="BT16" s="131">
        <v>0</v>
      </c>
      <c r="BU16" s="131">
        <v>0</v>
      </c>
      <c r="BV16" s="191">
        <v>0</v>
      </c>
      <c r="BW16" s="97">
        <v>59.175928435890491</v>
      </c>
      <c r="BX16" s="131">
        <v>14.827866630523175</v>
      </c>
      <c r="BY16" s="131">
        <v>4.5540796963946866</v>
      </c>
      <c r="BZ16" s="131">
        <v>0.21686093792355648</v>
      </c>
      <c r="CA16" s="131">
        <v>0</v>
      </c>
      <c r="CB16" s="191">
        <v>21.225264299268094</v>
      </c>
    </row>
    <row r="17" spans="1:80" ht="15.75" customHeight="1" x14ac:dyDescent="0.3">
      <c r="A17" s="152"/>
      <c r="B17" s="86" t="s">
        <v>48</v>
      </c>
      <c r="C17" s="103">
        <v>52.74077840723772</v>
      </c>
      <c r="D17" s="105">
        <v>36.904284315037309</v>
      </c>
      <c r="E17" s="105">
        <v>1.7189346967016719</v>
      </c>
      <c r="F17" s="105">
        <v>4.7659057637377211</v>
      </c>
      <c r="G17" s="105">
        <v>0.67886063283652454</v>
      </c>
      <c r="H17" s="106">
        <v>3.1912361844491652</v>
      </c>
      <c r="I17" s="103">
        <v>21.970148646525423</v>
      </c>
      <c r="J17" s="105">
        <v>61.201762827706972</v>
      </c>
      <c r="K17" s="105">
        <v>2.2646640442628847</v>
      </c>
      <c r="L17" s="105">
        <v>6.1226909005207411</v>
      </c>
      <c r="M17" s="105">
        <v>1.8343382451966248</v>
      </c>
      <c r="N17" s="106">
        <v>6.6063953357873979</v>
      </c>
      <c r="O17" s="103">
        <v>71.562845090206139</v>
      </c>
      <c r="P17" s="105">
        <v>21.579763214014456</v>
      </c>
      <c r="Q17" s="105">
        <v>0.6864448755209992</v>
      </c>
      <c r="R17" s="105">
        <v>4.4811574631320399</v>
      </c>
      <c r="S17" s="105">
        <v>0</v>
      </c>
      <c r="T17" s="106">
        <v>1.6897893571263503</v>
      </c>
      <c r="U17" s="103">
        <v>70.638156424735115</v>
      </c>
      <c r="V17" s="105">
        <v>23.141101146717499</v>
      </c>
      <c r="W17" s="105">
        <v>4.5791461271733704E-2</v>
      </c>
      <c r="X17" s="105">
        <v>3.8329659901851798</v>
      </c>
      <c r="Y17" s="105">
        <v>0</v>
      </c>
      <c r="Z17" s="106">
        <v>2.3419849770904766</v>
      </c>
      <c r="AA17" s="103">
        <v>72.085972120740564</v>
      </c>
      <c r="AB17" s="105">
        <v>23.570025525938718</v>
      </c>
      <c r="AC17" s="105">
        <v>1.0912196464325368</v>
      </c>
      <c r="AD17" s="105">
        <v>1.5508004137289697</v>
      </c>
      <c r="AE17" s="105">
        <v>0.14108537430135792</v>
      </c>
      <c r="AF17" s="106">
        <v>1.5608969188578805</v>
      </c>
      <c r="AG17" s="103">
        <v>84.237885861147063</v>
      </c>
      <c r="AH17" s="105">
        <v>13.373431942592346</v>
      </c>
      <c r="AI17" s="105">
        <v>0</v>
      </c>
      <c r="AJ17" s="105">
        <v>0.4556333734750283</v>
      </c>
      <c r="AK17" s="105">
        <v>0</v>
      </c>
      <c r="AL17" s="106">
        <v>1.933048822785546</v>
      </c>
      <c r="AM17" s="103">
        <v>49.520097537370098</v>
      </c>
      <c r="AN17" s="105">
        <v>35.779203754838271</v>
      </c>
      <c r="AO17" s="105">
        <v>3.3644731317300418</v>
      </c>
      <c r="AP17" s="105">
        <v>8.9730404067022569</v>
      </c>
      <c r="AQ17" s="105">
        <v>0.60977705647691405</v>
      </c>
      <c r="AR17" s="106">
        <v>1.7534081128823871</v>
      </c>
      <c r="AS17" s="103">
        <v>99.832571260399234</v>
      </c>
      <c r="AT17" s="105">
        <v>3.9479445565022635E-2</v>
      </c>
      <c r="AU17" s="105">
        <v>0</v>
      </c>
      <c r="AV17" s="105">
        <v>0</v>
      </c>
      <c r="AW17" s="105">
        <v>0</v>
      </c>
      <c r="AX17" s="106">
        <v>0.12794929403573244</v>
      </c>
      <c r="AY17" s="103">
        <v>42.455575018570244</v>
      </c>
      <c r="AZ17" s="105">
        <v>49.892196655435804</v>
      </c>
      <c r="BA17" s="105">
        <v>3.9292350325751255</v>
      </c>
      <c r="BB17" s="105">
        <v>2.3297441453099683</v>
      </c>
      <c r="BC17" s="105">
        <v>1.7452861311476102E-2</v>
      </c>
      <c r="BD17" s="106">
        <v>1.3757962867973355</v>
      </c>
      <c r="BE17" s="103">
        <v>30.954846569709886</v>
      </c>
      <c r="BF17" s="105">
        <v>59.379425873753142</v>
      </c>
      <c r="BG17" s="105">
        <v>3.5631615015609532</v>
      </c>
      <c r="BH17" s="105">
        <v>1.8872306403715831</v>
      </c>
      <c r="BI17" s="105">
        <v>0.45610294677529878</v>
      </c>
      <c r="BJ17" s="106">
        <v>3.7592324678291322</v>
      </c>
      <c r="BK17" s="103">
        <v>35.700905801750011</v>
      </c>
      <c r="BL17" s="105">
        <v>57.955915937491973</v>
      </c>
      <c r="BM17" s="105">
        <v>0.89297169690282485</v>
      </c>
      <c r="BN17" s="105">
        <v>3.279361576556926</v>
      </c>
      <c r="BO17" s="105">
        <v>0.45418388032126433</v>
      </c>
      <c r="BP17" s="106">
        <v>1.7166611069769824</v>
      </c>
      <c r="BQ17" s="103">
        <v>81.061968669772014</v>
      </c>
      <c r="BR17" s="105">
        <v>14.904149179849032</v>
      </c>
      <c r="BS17" s="105">
        <v>4.0338821503789442</v>
      </c>
      <c r="BT17" s="105">
        <v>0</v>
      </c>
      <c r="BU17" s="105">
        <v>0</v>
      </c>
      <c r="BV17" s="106">
        <v>0</v>
      </c>
      <c r="BW17" s="103">
        <v>92.428115015974441</v>
      </c>
      <c r="BX17" s="105">
        <v>7.5718849840255595</v>
      </c>
      <c r="BY17" s="105">
        <v>0</v>
      </c>
      <c r="BZ17" s="105">
        <v>0</v>
      </c>
      <c r="CA17" s="105">
        <v>0</v>
      </c>
      <c r="CB17" s="106">
        <v>0</v>
      </c>
    </row>
    <row r="18" spans="1:80" ht="15.75" customHeight="1" x14ac:dyDescent="0.3">
      <c r="A18" s="152"/>
      <c r="B18" s="148" t="s">
        <v>49</v>
      </c>
      <c r="C18" s="97">
        <v>53.949496065508953</v>
      </c>
      <c r="D18" s="131">
        <v>35.689650740901499</v>
      </c>
      <c r="E18" s="131">
        <v>2.3262585765715369</v>
      </c>
      <c r="F18" s="131">
        <v>4.4385706417374813</v>
      </c>
      <c r="G18" s="131">
        <v>0.75911327339951651</v>
      </c>
      <c r="H18" s="191">
        <v>2.8369107018810253</v>
      </c>
      <c r="I18" s="97">
        <v>18.752135284500945</v>
      </c>
      <c r="J18" s="131">
        <v>61.160034385428197</v>
      </c>
      <c r="K18" s="131">
        <v>5.3994954761359395</v>
      </c>
      <c r="L18" s="131">
        <v>5.7836418414942932</v>
      </c>
      <c r="M18" s="131">
        <v>2.2580666996080883</v>
      </c>
      <c r="N18" s="191">
        <v>6.646626312832586</v>
      </c>
      <c r="O18" s="97">
        <v>74.576314989358465</v>
      </c>
      <c r="P18" s="131">
        <v>19.646039382612273</v>
      </c>
      <c r="Q18" s="131">
        <v>0.16457711086867102</v>
      </c>
      <c r="R18" s="131">
        <v>5.4957970418328488</v>
      </c>
      <c r="S18" s="131">
        <v>0</v>
      </c>
      <c r="T18" s="191">
        <v>0.11727147532774136</v>
      </c>
      <c r="U18" s="97">
        <v>70.644426053806185</v>
      </c>
      <c r="V18" s="131">
        <v>23.392258747235754</v>
      </c>
      <c r="W18" s="131">
        <v>0.3334735242643368</v>
      </c>
      <c r="X18" s="131">
        <v>2.8031854997354464</v>
      </c>
      <c r="Y18" s="131">
        <v>1.8722272721105968E-2</v>
      </c>
      <c r="Z18" s="191">
        <v>2.8079339022371754</v>
      </c>
      <c r="AA18" s="97">
        <v>76.037392564072377</v>
      </c>
      <c r="AB18" s="131">
        <v>20.909468960531182</v>
      </c>
      <c r="AC18" s="131">
        <v>1.0935241165016314</v>
      </c>
      <c r="AD18" s="131">
        <v>1.3998283872245709</v>
      </c>
      <c r="AE18" s="131">
        <v>0.18763521775226036</v>
      </c>
      <c r="AF18" s="191">
        <v>0.37215075391800206</v>
      </c>
      <c r="AG18" s="97">
        <v>84.958570202724431</v>
      </c>
      <c r="AH18" s="131">
        <v>13.369265973041578</v>
      </c>
      <c r="AI18" s="131">
        <v>2.0111552075512171E-2</v>
      </c>
      <c r="AJ18" s="131">
        <v>0.37206371339697519</v>
      </c>
      <c r="AK18" s="131">
        <v>0</v>
      </c>
      <c r="AL18" s="191">
        <v>1.2799885587614859</v>
      </c>
      <c r="AM18" s="97">
        <v>48.265721851778501</v>
      </c>
      <c r="AN18" s="131">
        <v>39.195146820419147</v>
      </c>
      <c r="AO18" s="131">
        <v>2.3249194926754844</v>
      </c>
      <c r="AP18" s="131">
        <v>5.612992671816202</v>
      </c>
      <c r="AQ18" s="131">
        <v>0.52399081592981378</v>
      </c>
      <c r="AR18" s="191">
        <v>4.0772283473808528</v>
      </c>
      <c r="AS18" s="97">
        <v>99.50465037690384</v>
      </c>
      <c r="AT18" s="131">
        <v>3.7359244799847854E-2</v>
      </c>
      <c r="AU18" s="131">
        <v>0</v>
      </c>
      <c r="AV18" s="131">
        <v>0</v>
      </c>
      <c r="AW18" s="131">
        <v>0</v>
      </c>
      <c r="AX18" s="191">
        <v>0.45799037829631661</v>
      </c>
      <c r="AY18" s="97">
        <v>42.376748892222878</v>
      </c>
      <c r="AZ18" s="131">
        <v>49.271600200039536</v>
      </c>
      <c r="BA18" s="131">
        <v>3.9379877417629059</v>
      </c>
      <c r="BB18" s="131">
        <v>2.4583929381389336</v>
      </c>
      <c r="BC18" s="131">
        <v>3.3727597315748453E-2</v>
      </c>
      <c r="BD18" s="191">
        <v>1.9215426305199863</v>
      </c>
      <c r="BE18" s="97">
        <v>33.50049470190222</v>
      </c>
      <c r="BF18" s="131">
        <v>58.631750287246277</v>
      </c>
      <c r="BG18" s="131">
        <v>4.1231807736499428</v>
      </c>
      <c r="BH18" s="131">
        <v>0.72928635261074959</v>
      </c>
      <c r="BI18" s="131">
        <v>8.3780160857908868E-3</v>
      </c>
      <c r="BJ18" s="191">
        <v>3.0069098685050424</v>
      </c>
      <c r="BK18" s="97">
        <v>30.049539665663811</v>
      </c>
      <c r="BL18" s="131">
        <v>67.054991290972026</v>
      </c>
      <c r="BM18" s="131">
        <v>0.65600470513719555</v>
      </c>
      <c r="BN18" s="131">
        <v>1.6422738480331169</v>
      </c>
      <c r="BO18" s="131">
        <v>0.40038907865270212</v>
      </c>
      <c r="BP18" s="191">
        <v>0.19680141154115866</v>
      </c>
      <c r="BQ18" s="97">
        <v>79.524747188198788</v>
      </c>
      <c r="BR18" s="131">
        <v>19.198122128402812</v>
      </c>
      <c r="BS18" s="131">
        <v>9.122362024274383E-2</v>
      </c>
      <c r="BT18" s="131">
        <v>1.1859070631556696</v>
      </c>
      <c r="BU18" s="131">
        <v>0</v>
      </c>
      <c r="BV18" s="191">
        <v>0</v>
      </c>
      <c r="BW18" s="97">
        <v>85.845213849287177</v>
      </c>
      <c r="BX18" s="131">
        <v>14.15478615071283</v>
      </c>
      <c r="BY18" s="131">
        <v>0</v>
      </c>
      <c r="BZ18" s="131">
        <v>0</v>
      </c>
      <c r="CA18" s="131">
        <v>0</v>
      </c>
      <c r="CB18" s="191">
        <v>0</v>
      </c>
    </row>
    <row r="19" spans="1:80" s="109" customFormat="1" ht="15.75" customHeight="1" x14ac:dyDescent="0.3">
      <c r="A19" s="173"/>
      <c r="B19" s="130" t="s">
        <v>14</v>
      </c>
      <c r="C19" s="192">
        <v>55.384493612885379</v>
      </c>
      <c r="D19" s="193">
        <v>35.616878288433121</v>
      </c>
      <c r="E19" s="193">
        <v>2.0403817335348866</v>
      </c>
      <c r="F19" s="193">
        <v>4.1243310032179954</v>
      </c>
      <c r="G19" s="193">
        <v>0.44350790763812492</v>
      </c>
      <c r="H19" s="194">
        <v>2.3904074542905112</v>
      </c>
      <c r="I19" s="192">
        <v>23.656574449358651</v>
      </c>
      <c r="J19" s="193">
        <v>61.430101726901768</v>
      </c>
      <c r="K19" s="193">
        <v>3.5236424687052521</v>
      </c>
      <c r="L19" s="193">
        <v>5.1202471574683877</v>
      </c>
      <c r="M19" s="193">
        <v>1.109973761246658</v>
      </c>
      <c r="N19" s="194">
        <v>5.1594604363192911</v>
      </c>
      <c r="O19" s="192">
        <v>78.323176756629522</v>
      </c>
      <c r="P19" s="193">
        <v>16.648306388804816</v>
      </c>
      <c r="Q19" s="193">
        <v>7.9057570220384774E-2</v>
      </c>
      <c r="R19" s="193">
        <v>4.9176668093550795</v>
      </c>
      <c r="S19" s="193">
        <v>0</v>
      </c>
      <c r="T19" s="194">
        <v>3.179247499016679E-2</v>
      </c>
      <c r="U19" s="192">
        <v>58.88193933210831</v>
      </c>
      <c r="V19" s="193">
        <v>33.239040922519855</v>
      </c>
      <c r="W19" s="193">
        <v>2.2931605154394163</v>
      </c>
      <c r="X19" s="193">
        <v>1.3488838522314259</v>
      </c>
      <c r="Y19" s="193">
        <v>0.10665862862508912</v>
      </c>
      <c r="Z19" s="194">
        <v>4.1303167490759147</v>
      </c>
      <c r="AA19" s="192">
        <v>75.129757299339801</v>
      </c>
      <c r="AB19" s="193">
        <v>18.626157363178823</v>
      </c>
      <c r="AC19" s="193">
        <v>1.7957346244999464</v>
      </c>
      <c r="AD19" s="193">
        <v>2.1275926171524651</v>
      </c>
      <c r="AE19" s="193">
        <v>3.3155827895402917E-2</v>
      </c>
      <c r="AF19" s="194">
        <v>2.2876022679335564</v>
      </c>
      <c r="AG19" s="192">
        <v>89.479697088392726</v>
      </c>
      <c r="AH19" s="193">
        <v>9.649711823624866</v>
      </c>
      <c r="AI19" s="193">
        <v>1.0491858317945276E-2</v>
      </c>
      <c r="AJ19" s="193">
        <v>0.28887583235409325</v>
      </c>
      <c r="AK19" s="193">
        <v>0</v>
      </c>
      <c r="AL19" s="194">
        <v>0.57122339731035399</v>
      </c>
      <c r="AM19" s="192">
        <v>55.946353761391066</v>
      </c>
      <c r="AN19" s="193">
        <v>34.609478506765463</v>
      </c>
      <c r="AO19" s="193">
        <v>2.3635256785959804</v>
      </c>
      <c r="AP19" s="193">
        <v>4.6398702184562639</v>
      </c>
      <c r="AQ19" s="193">
        <v>0.36966136378638859</v>
      </c>
      <c r="AR19" s="194">
        <v>2.0711104710048538</v>
      </c>
      <c r="AS19" s="192">
        <v>99.961566547522963</v>
      </c>
      <c r="AT19" s="193">
        <v>3.8433452477036001E-2</v>
      </c>
      <c r="AU19" s="193">
        <v>0</v>
      </c>
      <c r="AV19" s="193">
        <v>0</v>
      </c>
      <c r="AW19" s="193">
        <v>0</v>
      </c>
      <c r="AX19" s="194">
        <v>0</v>
      </c>
      <c r="AY19" s="192">
        <v>48.09623137296429</v>
      </c>
      <c r="AZ19" s="193">
        <v>41.969595850890137</v>
      </c>
      <c r="BA19" s="193">
        <v>3.6154488342941868</v>
      </c>
      <c r="BB19" s="193">
        <v>4.5057047798001788</v>
      </c>
      <c r="BC19" s="193">
        <v>0.23222997416657024</v>
      </c>
      <c r="BD19" s="194">
        <v>1.5807891878846385</v>
      </c>
      <c r="BE19" s="192">
        <v>32.313483516696735</v>
      </c>
      <c r="BF19" s="193">
        <v>58.576944719327841</v>
      </c>
      <c r="BG19" s="193">
        <v>6.994586413644563</v>
      </c>
      <c r="BH19" s="193">
        <v>0.6764072413993828</v>
      </c>
      <c r="BI19" s="193">
        <v>0.28096319149348997</v>
      </c>
      <c r="BJ19" s="194">
        <v>1.1576149174379569</v>
      </c>
      <c r="BK19" s="192">
        <v>44.899702085402176</v>
      </c>
      <c r="BL19" s="193">
        <v>51.056603773584911</v>
      </c>
      <c r="BM19" s="193">
        <v>0.17279046673286991</v>
      </c>
      <c r="BN19" s="193">
        <v>2.9374379344587886</v>
      </c>
      <c r="BO19" s="193">
        <v>0.70307845084409126</v>
      </c>
      <c r="BP19" s="194">
        <v>0.23038728897715988</v>
      </c>
      <c r="BQ19" s="192">
        <v>73.292066439698758</v>
      </c>
      <c r="BR19" s="193">
        <v>24.749819457340351</v>
      </c>
      <c r="BS19" s="193">
        <v>0.1691942639017848</v>
      </c>
      <c r="BT19" s="193">
        <v>1.7889198390591148</v>
      </c>
      <c r="BU19" s="193">
        <v>0</v>
      </c>
      <c r="BV19" s="194">
        <v>0</v>
      </c>
      <c r="BW19" s="192">
        <v>89.470812875068191</v>
      </c>
      <c r="BX19" s="193">
        <v>9.4380796508456086</v>
      </c>
      <c r="BY19" s="193">
        <v>0</v>
      </c>
      <c r="BZ19" s="193">
        <v>1.0911074740861975</v>
      </c>
      <c r="CA19" s="193">
        <v>0</v>
      </c>
      <c r="CB19" s="194">
        <v>0</v>
      </c>
    </row>
    <row r="20" spans="1:80" ht="15.75" customHeight="1" x14ac:dyDescent="0.3">
      <c r="A20" s="152"/>
      <c r="B20" s="148" t="s">
        <v>15</v>
      </c>
      <c r="C20" s="97">
        <v>49.739270265998222</v>
      </c>
      <c r="D20" s="131">
        <v>38.838465532961202</v>
      </c>
      <c r="E20" s="131">
        <v>2.6427156083529497</v>
      </c>
      <c r="F20" s="131">
        <v>4.7077430733497305</v>
      </c>
      <c r="G20" s="131">
        <v>0.76506226761964546</v>
      </c>
      <c r="H20" s="191">
        <v>3.3067432517183084</v>
      </c>
      <c r="I20" s="97">
        <v>21.953055070400922</v>
      </c>
      <c r="J20" s="131">
        <v>60.703633771808704</v>
      </c>
      <c r="K20" s="131">
        <v>4.5370495551514267</v>
      </c>
      <c r="L20" s="131">
        <v>4.891518472820338</v>
      </c>
      <c r="M20" s="131">
        <v>1.7853148242471999</v>
      </c>
      <c r="N20" s="191">
        <v>6.1294283055714338</v>
      </c>
      <c r="O20" s="97">
        <v>74.847362248667309</v>
      </c>
      <c r="P20" s="131">
        <v>18.034114205761874</v>
      </c>
      <c r="Q20" s="131">
        <v>0.16701562314822618</v>
      </c>
      <c r="R20" s="131">
        <v>5.6068688314743591</v>
      </c>
      <c r="S20" s="131">
        <v>0</v>
      </c>
      <c r="T20" s="191">
        <v>1.3446390909482198</v>
      </c>
      <c r="U20" s="97">
        <v>56.831087477770012</v>
      </c>
      <c r="V20" s="131">
        <v>31.224441042973556</v>
      </c>
      <c r="W20" s="131">
        <v>0.15872875432434108</v>
      </c>
      <c r="X20" s="131">
        <v>1.2547888482875169</v>
      </c>
      <c r="Y20" s="131">
        <v>9.7679233430363721E-2</v>
      </c>
      <c r="Z20" s="191">
        <v>10.433274643214213</v>
      </c>
      <c r="AA20" s="97">
        <v>70.81803805424974</v>
      </c>
      <c r="AB20" s="131">
        <v>25.108461374398956</v>
      </c>
      <c r="AC20" s="131">
        <v>2.3435373147009813</v>
      </c>
      <c r="AD20" s="131">
        <v>1.3158419498424663</v>
      </c>
      <c r="AE20" s="131">
        <v>0.15857382396138048</v>
      </c>
      <c r="AF20" s="191">
        <v>0.25554748284645651</v>
      </c>
      <c r="AG20" s="97">
        <v>81.553267191049713</v>
      </c>
      <c r="AH20" s="131">
        <v>16.36080774836352</v>
      </c>
      <c r="AI20" s="131">
        <v>0.22353208780654921</v>
      </c>
      <c r="AJ20" s="131">
        <v>0.45970103987351896</v>
      </c>
      <c r="AK20" s="131">
        <v>0</v>
      </c>
      <c r="AL20" s="191">
        <v>1.4026919329066752</v>
      </c>
      <c r="AM20" s="97">
        <v>51.277680302658659</v>
      </c>
      <c r="AN20" s="131">
        <v>35.883445546467378</v>
      </c>
      <c r="AO20" s="131">
        <v>2.3109339900723826</v>
      </c>
      <c r="AP20" s="131">
        <v>7.6406135224092715</v>
      </c>
      <c r="AQ20" s="131">
        <v>0.4924288283518562</v>
      </c>
      <c r="AR20" s="191">
        <v>2.394897810040403</v>
      </c>
      <c r="AS20" s="97">
        <v>99.923352018760895</v>
      </c>
      <c r="AT20" s="131">
        <v>3.9713979916640357E-2</v>
      </c>
      <c r="AU20" s="131">
        <v>0</v>
      </c>
      <c r="AV20" s="131">
        <v>0</v>
      </c>
      <c r="AW20" s="131">
        <v>0</v>
      </c>
      <c r="AX20" s="191">
        <v>3.6934001322475533E-2</v>
      </c>
      <c r="AY20" s="97">
        <v>37.735155311880398</v>
      </c>
      <c r="AZ20" s="131">
        <v>49.235774325368375</v>
      </c>
      <c r="BA20" s="131">
        <v>5.3107168455444986</v>
      </c>
      <c r="BB20" s="131">
        <v>5.9411332135643082</v>
      </c>
      <c r="BC20" s="131">
        <v>0</v>
      </c>
      <c r="BD20" s="191">
        <v>1.7772203036424055</v>
      </c>
      <c r="BE20" s="97">
        <v>29.820555924782038</v>
      </c>
      <c r="BF20" s="131">
        <v>60.734586965870427</v>
      </c>
      <c r="BG20" s="131">
        <v>6.396653504828179</v>
      </c>
      <c r="BH20" s="131">
        <v>1.321787403729622</v>
      </c>
      <c r="BI20" s="131">
        <v>0.52621290902693596</v>
      </c>
      <c r="BJ20" s="191">
        <v>1.2002032917627741</v>
      </c>
      <c r="BK20" s="97">
        <v>36.628293409193624</v>
      </c>
      <c r="BL20" s="131">
        <v>52.787600031903871</v>
      </c>
      <c r="BM20" s="131">
        <v>0.86140430170419791</v>
      </c>
      <c r="BN20" s="131">
        <v>1.5420200462606011</v>
      </c>
      <c r="BO20" s="131">
        <v>0.15686065987823355</v>
      </c>
      <c r="BP20" s="191">
        <v>8.0238215510594735</v>
      </c>
      <c r="BQ20" s="97">
        <v>64.696734059097992</v>
      </c>
      <c r="BR20" s="131">
        <v>31.777413238458426</v>
      </c>
      <c r="BS20" s="131">
        <v>0</v>
      </c>
      <c r="BT20" s="131">
        <v>3.4065489252007928</v>
      </c>
      <c r="BU20" s="131">
        <v>0</v>
      </c>
      <c r="BV20" s="191">
        <v>0.1193037772428045</v>
      </c>
      <c r="BW20" s="97">
        <v>89.500132240148105</v>
      </c>
      <c r="BX20" s="131">
        <v>10.499867759851892</v>
      </c>
      <c r="BY20" s="131">
        <v>0</v>
      </c>
      <c r="BZ20" s="131">
        <v>0</v>
      </c>
      <c r="CA20" s="131">
        <v>0</v>
      </c>
      <c r="CB20" s="191">
        <v>0</v>
      </c>
    </row>
    <row r="21" spans="1:80" s="109" customFormat="1" ht="15.75" customHeight="1" x14ac:dyDescent="0.3">
      <c r="A21" s="173"/>
      <c r="B21" s="130" t="s">
        <v>16</v>
      </c>
      <c r="C21" s="192">
        <v>50.92000340020428</v>
      </c>
      <c r="D21" s="193">
        <v>38.256743793473071</v>
      </c>
      <c r="E21" s="193">
        <v>1.97460221161384</v>
      </c>
      <c r="F21" s="193">
        <v>4.9228243977990633</v>
      </c>
      <c r="G21" s="193">
        <v>0.50043113510507098</v>
      </c>
      <c r="H21" s="194">
        <v>3.4253950618049136</v>
      </c>
      <c r="I21" s="192">
        <v>22.317769809528496</v>
      </c>
      <c r="J21" s="193">
        <v>59.870548861980701</v>
      </c>
      <c r="K21" s="193">
        <v>2.7266206578926693</v>
      </c>
      <c r="L21" s="193">
        <v>7.482433759046704</v>
      </c>
      <c r="M21" s="193">
        <v>1.0717306441663481</v>
      </c>
      <c r="N21" s="194">
        <v>6.5308962673850823</v>
      </c>
      <c r="O21" s="192">
        <v>70.030208804727081</v>
      </c>
      <c r="P21" s="193">
        <v>23.013301270454654</v>
      </c>
      <c r="Q21" s="193">
        <v>0.14225517313630459</v>
      </c>
      <c r="R21" s="193">
        <v>5.5182910694478462</v>
      </c>
      <c r="S21" s="193">
        <v>0</v>
      </c>
      <c r="T21" s="194">
        <v>1.2959436822340469</v>
      </c>
      <c r="U21" s="192">
        <v>70.608628351485621</v>
      </c>
      <c r="V21" s="193">
        <v>24.436921630364729</v>
      </c>
      <c r="W21" s="193">
        <v>0.35307832166266617</v>
      </c>
      <c r="X21" s="193">
        <v>1.5581499847287226</v>
      </c>
      <c r="Y21" s="193">
        <v>0</v>
      </c>
      <c r="Z21" s="194">
        <v>3.043221711758243</v>
      </c>
      <c r="AA21" s="192">
        <v>77.688157830827649</v>
      </c>
      <c r="AB21" s="193">
        <v>19.492016087747604</v>
      </c>
      <c r="AC21" s="193">
        <v>1.406152011763639</v>
      </c>
      <c r="AD21" s="193">
        <v>1.0220112607355887</v>
      </c>
      <c r="AE21" s="193">
        <v>0.20653421827120763</v>
      </c>
      <c r="AF21" s="194">
        <v>0.1851285906543374</v>
      </c>
      <c r="AG21" s="192">
        <v>78.82497742779627</v>
      </c>
      <c r="AH21" s="193">
        <v>17.908447578926189</v>
      </c>
      <c r="AI21" s="193">
        <v>0.22626857971103201</v>
      </c>
      <c r="AJ21" s="193">
        <v>0.73149243257305607</v>
      </c>
      <c r="AK21" s="193">
        <v>9.0726048869640849E-2</v>
      </c>
      <c r="AL21" s="194">
        <v>2.2180879321237983</v>
      </c>
      <c r="AM21" s="192">
        <v>55.075248339240126</v>
      </c>
      <c r="AN21" s="193">
        <v>35.678869049295947</v>
      </c>
      <c r="AO21" s="193">
        <v>2.5562335700436529</v>
      </c>
      <c r="AP21" s="193">
        <v>4.6937947588165336</v>
      </c>
      <c r="AQ21" s="193">
        <v>0.53740317320797237</v>
      </c>
      <c r="AR21" s="194">
        <v>1.4584511093957273</v>
      </c>
      <c r="AS21" s="192">
        <v>99.954498401756368</v>
      </c>
      <c r="AT21" s="193">
        <v>4.5501598243638308E-2</v>
      </c>
      <c r="AU21" s="193">
        <v>0</v>
      </c>
      <c r="AV21" s="193">
        <v>0</v>
      </c>
      <c r="AW21" s="193">
        <v>0</v>
      </c>
      <c r="AX21" s="194">
        <v>0</v>
      </c>
      <c r="AY21" s="192">
        <v>47.675616501754433</v>
      </c>
      <c r="AZ21" s="193">
        <v>42.262327253794247</v>
      </c>
      <c r="BA21" s="193">
        <v>4.9511493421682093</v>
      </c>
      <c r="BB21" s="193">
        <v>3.0580890058763197</v>
      </c>
      <c r="BC21" s="193">
        <v>5.5403387839290136E-2</v>
      </c>
      <c r="BD21" s="194">
        <v>1.9974145085675001</v>
      </c>
      <c r="BE21" s="192">
        <v>32.699389000529209</v>
      </c>
      <c r="BF21" s="193">
        <v>55.893313793192767</v>
      </c>
      <c r="BG21" s="193">
        <v>8.0925048017674914</v>
      </c>
      <c r="BH21" s="193">
        <v>0.96368420468297222</v>
      </c>
      <c r="BI21" s="193">
        <v>0.51440900326779226</v>
      </c>
      <c r="BJ21" s="194">
        <v>1.8366991965597508</v>
      </c>
      <c r="BK21" s="192">
        <v>16.307320570351298</v>
      </c>
      <c r="BL21" s="193">
        <v>26.520804014763293</v>
      </c>
      <c r="BM21" s="193">
        <v>0.77799314941185871</v>
      </c>
      <c r="BN21" s="193">
        <v>0.92403281909667845</v>
      </c>
      <c r="BO21" s="193">
        <v>0.15666073657098858</v>
      </c>
      <c r="BP21" s="194">
        <v>55.313188709805907</v>
      </c>
      <c r="BQ21" s="192">
        <v>55.454766340001605</v>
      </c>
      <c r="BR21" s="193">
        <v>44.322507491698374</v>
      </c>
      <c r="BS21" s="193">
        <v>0</v>
      </c>
      <c r="BT21" s="193">
        <v>0.16603223455090302</v>
      </c>
      <c r="BU21" s="193">
        <v>0</v>
      </c>
      <c r="BV21" s="194">
        <v>5.6693933749088835E-2</v>
      </c>
      <c r="BW21" s="192">
        <v>95.157442748091597</v>
      </c>
      <c r="BX21" s="193">
        <v>4.7232824427480917</v>
      </c>
      <c r="BY21" s="193">
        <v>0</v>
      </c>
      <c r="BZ21" s="193">
        <v>0.11927480916030535</v>
      </c>
      <c r="CA21" s="193">
        <v>0</v>
      </c>
      <c r="CB21" s="194">
        <v>0</v>
      </c>
    </row>
    <row r="22" spans="1:80" ht="15.75" customHeight="1" x14ac:dyDescent="0.3">
      <c r="A22" s="152"/>
      <c r="B22" s="148" t="s">
        <v>8</v>
      </c>
      <c r="C22" s="97">
        <v>55.115117246749854</v>
      </c>
      <c r="D22" s="131">
        <v>34.632530721593675</v>
      </c>
      <c r="E22" s="131">
        <v>3.0794856665656565</v>
      </c>
      <c r="F22" s="131">
        <v>3.8978052454816337</v>
      </c>
      <c r="G22" s="131">
        <v>0.87382285572700591</v>
      </c>
      <c r="H22" s="191">
        <v>2.401238263882147</v>
      </c>
      <c r="I22" s="97">
        <v>28.100526613749377</v>
      </c>
      <c r="J22" s="131">
        <v>55.678122091749508</v>
      </c>
      <c r="K22" s="131">
        <v>5.0178107423712159</v>
      </c>
      <c r="L22" s="131">
        <v>5.0985161563750108</v>
      </c>
      <c r="M22" s="131">
        <v>2.423690315912074</v>
      </c>
      <c r="N22" s="191">
        <v>3.6813340798428089</v>
      </c>
      <c r="O22" s="97">
        <v>77.314276255218473</v>
      </c>
      <c r="P22" s="131">
        <v>16.395584944739177</v>
      </c>
      <c r="Q22" s="131">
        <v>1.1552017521636726</v>
      </c>
      <c r="R22" s="131">
        <v>4.1374421675523854</v>
      </c>
      <c r="S22" s="131">
        <v>9.2360637067250579E-3</v>
      </c>
      <c r="T22" s="191">
        <v>0.98825881661958115</v>
      </c>
      <c r="U22" s="97">
        <v>65.039775827239851</v>
      </c>
      <c r="V22" s="131">
        <v>24.503826114642791</v>
      </c>
      <c r="W22" s="131">
        <v>0.44791275438523287</v>
      </c>
      <c r="X22" s="131">
        <v>0.46924193316548207</v>
      </c>
      <c r="Y22" s="131">
        <v>0.21329178780249181</v>
      </c>
      <c r="Z22" s="191">
        <v>9.325951582764171</v>
      </c>
      <c r="AA22" s="97">
        <v>77.22790127698714</v>
      </c>
      <c r="AB22" s="131">
        <v>19.896183148264157</v>
      </c>
      <c r="AC22" s="131">
        <v>2.0473665610839338</v>
      </c>
      <c r="AD22" s="131">
        <v>0.82662200358097282</v>
      </c>
      <c r="AE22" s="131">
        <v>0</v>
      </c>
      <c r="AF22" s="191">
        <v>1.9270100838151404E-3</v>
      </c>
      <c r="AG22" s="97">
        <v>81.503038779140908</v>
      </c>
      <c r="AH22" s="131">
        <v>15.21274881825255</v>
      </c>
      <c r="AI22" s="131">
        <v>0.18853113677419797</v>
      </c>
      <c r="AJ22" s="131">
        <v>0.37791923326100585</v>
      </c>
      <c r="AK22" s="131">
        <v>0.14225531229325844</v>
      </c>
      <c r="AL22" s="191">
        <v>2.5755067202780659</v>
      </c>
      <c r="AM22" s="97">
        <v>51.723167064958552</v>
      </c>
      <c r="AN22" s="131">
        <v>36.851930500706786</v>
      </c>
      <c r="AO22" s="131">
        <v>3.2727285212911843</v>
      </c>
      <c r="AP22" s="131">
        <v>5.8597769565428708</v>
      </c>
      <c r="AQ22" s="131">
        <v>0.19357302687044001</v>
      </c>
      <c r="AR22" s="191">
        <v>2.0988239296301701</v>
      </c>
      <c r="AS22" s="97">
        <v>99.465541268132</v>
      </c>
      <c r="AT22" s="131">
        <v>3.5630582124532843E-2</v>
      </c>
      <c r="AU22" s="131">
        <v>0</v>
      </c>
      <c r="AV22" s="131">
        <v>0</v>
      </c>
      <c r="AW22" s="131">
        <v>0</v>
      </c>
      <c r="AX22" s="191">
        <v>0.49882814974345979</v>
      </c>
      <c r="AY22" s="97">
        <v>42.944768363450912</v>
      </c>
      <c r="AZ22" s="131">
        <v>41.936484307157905</v>
      </c>
      <c r="BA22" s="131">
        <v>4.7152039770821572</v>
      </c>
      <c r="BB22" s="131">
        <v>3.6014739463443108</v>
      </c>
      <c r="BC22" s="131">
        <v>7.604056109204356E-2</v>
      </c>
      <c r="BD22" s="191">
        <v>6.7260288448726611</v>
      </c>
      <c r="BE22" s="97">
        <v>32.418055201079234</v>
      </c>
      <c r="BF22" s="131">
        <v>57.007693149086656</v>
      </c>
      <c r="BG22" s="131">
        <v>7.9461844168155453</v>
      </c>
      <c r="BH22" s="131">
        <v>0.44408794253837458</v>
      </c>
      <c r="BI22" s="131">
        <v>0.46195354942210226</v>
      </c>
      <c r="BJ22" s="191">
        <v>1.7220257410580813</v>
      </c>
      <c r="BK22" s="97">
        <v>29.905005032033184</v>
      </c>
      <c r="BL22" s="131">
        <v>56.707332040550817</v>
      </c>
      <c r="BM22" s="131">
        <v>7.1184859716733356E-2</v>
      </c>
      <c r="BN22" s="131">
        <v>1.7796214929183338</v>
      </c>
      <c r="BO22" s="131">
        <v>0.28964873953705295</v>
      </c>
      <c r="BP22" s="191">
        <v>11.24720783524387</v>
      </c>
      <c r="BQ22" s="97">
        <v>73.072919952059564</v>
      </c>
      <c r="BR22" s="131">
        <v>26.794613007001832</v>
      </c>
      <c r="BS22" s="131">
        <v>0</v>
      </c>
      <c r="BT22" s="131">
        <v>0</v>
      </c>
      <c r="BU22" s="131">
        <v>0</v>
      </c>
      <c r="BV22" s="191">
        <v>0.13246704093862363</v>
      </c>
      <c r="BW22" s="97">
        <v>90.318150606546126</v>
      </c>
      <c r="BX22" s="131">
        <v>9.6818493934538807</v>
      </c>
      <c r="BY22" s="131">
        <v>0</v>
      </c>
      <c r="BZ22" s="131">
        <v>0</v>
      </c>
      <c r="CA22" s="131">
        <v>0</v>
      </c>
      <c r="CB22" s="191">
        <v>0</v>
      </c>
    </row>
    <row r="23" spans="1:80" s="109" customFormat="1" ht="15.75" customHeight="1" x14ac:dyDescent="0.3">
      <c r="A23" s="173"/>
      <c r="B23" s="130" t="s">
        <v>9</v>
      </c>
      <c r="C23" s="192">
        <v>53.941013888095057</v>
      </c>
      <c r="D23" s="193">
        <v>36.201871495857482</v>
      </c>
      <c r="E23" s="193">
        <v>2.6461470928844841</v>
      </c>
      <c r="F23" s="193">
        <v>3.8546023392617488</v>
      </c>
      <c r="G23" s="193">
        <v>0.44188773805565351</v>
      </c>
      <c r="H23" s="194">
        <v>2.9144774458455847</v>
      </c>
      <c r="I23" s="192">
        <v>32.518043910765911</v>
      </c>
      <c r="J23" s="193">
        <v>53.583279189874013</v>
      </c>
      <c r="K23" s="193">
        <v>3.2387834090810732</v>
      </c>
      <c r="L23" s="193">
        <v>4.8822575578914611</v>
      </c>
      <c r="M23" s="193">
        <v>0.98294607152140767</v>
      </c>
      <c r="N23" s="194">
        <v>4.7946898608661348</v>
      </c>
      <c r="O23" s="192">
        <v>75.107358008156268</v>
      </c>
      <c r="P23" s="193">
        <v>19.551590215390181</v>
      </c>
      <c r="Q23" s="193">
        <v>0.12924871585563649</v>
      </c>
      <c r="R23" s="193">
        <v>3.1724643942428536</v>
      </c>
      <c r="S23" s="193">
        <v>0</v>
      </c>
      <c r="T23" s="194">
        <v>2.0393386663550523</v>
      </c>
      <c r="U23" s="192">
        <v>69.350146125097766</v>
      </c>
      <c r="V23" s="193">
        <v>28.134222877780218</v>
      </c>
      <c r="W23" s="193">
        <v>0.59655194547457591</v>
      </c>
      <c r="X23" s="193">
        <v>1.5826834881914422</v>
      </c>
      <c r="Y23" s="193">
        <v>2.174519608010092E-2</v>
      </c>
      <c r="Z23" s="194">
        <v>0.31465036737591812</v>
      </c>
      <c r="AA23" s="192">
        <v>75.948409610417059</v>
      </c>
      <c r="AB23" s="193">
        <v>18.599754890658836</v>
      </c>
      <c r="AC23" s="193">
        <v>1.7099512731336621</v>
      </c>
      <c r="AD23" s="193">
        <v>2.6192158505950016</v>
      </c>
      <c r="AE23" s="193">
        <v>4.210221214187701E-2</v>
      </c>
      <c r="AF23" s="194">
        <v>1.0805661630535617</v>
      </c>
      <c r="AG23" s="192">
        <v>78.406977113678749</v>
      </c>
      <c r="AH23" s="193">
        <v>17.172318379698318</v>
      </c>
      <c r="AI23" s="193">
        <v>0.11329498984378246</v>
      </c>
      <c r="AJ23" s="193">
        <v>1.2374452774199538</v>
      </c>
      <c r="AK23" s="193">
        <v>0.13187194610727215</v>
      </c>
      <c r="AL23" s="194">
        <v>2.9380922932519207</v>
      </c>
      <c r="AM23" s="192">
        <v>49.056103530196076</v>
      </c>
      <c r="AN23" s="193">
        <v>38.401921591649199</v>
      </c>
      <c r="AO23" s="193">
        <v>4.4173423692895417</v>
      </c>
      <c r="AP23" s="193">
        <v>5.8716179758855969</v>
      </c>
      <c r="AQ23" s="193">
        <v>0.25577150210124616</v>
      </c>
      <c r="AR23" s="194">
        <v>1.9972430308783331</v>
      </c>
      <c r="AS23" s="192">
        <v>99.962590095519957</v>
      </c>
      <c r="AT23" s="193">
        <v>3.7409904480043894E-2</v>
      </c>
      <c r="AU23" s="193">
        <v>0</v>
      </c>
      <c r="AV23" s="193">
        <v>0</v>
      </c>
      <c r="AW23" s="193">
        <v>0</v>
      </c>
      <c r="AX23" s="194">
        <v>0</v>
      </c>
      <c r="AY23" s="192">
        <v>37.982569376591343</v>
      </c>
      <c r="AZ23" s="193">
        <v>45.746114839565514</v>
      </c>
      <c r="BA23" s="193">
        <v>9.399806009428513</v>
      </c>
      <c r="BB23" s="193">
        <v>2.7238915079200936</v>
      </c>
      <c r="BC23" s="193">
        <v>0.24141841341387754</v>
      </c>
      <c r="BD23" s="194">
        <v>3.9061998530806719</v>
      </c>
      <c r="BE23" s="192">
        <v>28.317787596138107</v>
      </c>
      <c r="BF23" s="193">
        <v>61.058685915501478</v>
      </c>
      <c r="BG23" s="193">
        <v>5.8076813517821506</v>
      </c>
      <c r="BH23" s="193">
        <v>2.0554919180348725</v>
      </c>
      <c r="BI23" s="193">
        <v>0.19909452899143612</v>
      </c>
      <c r="BJ23" s="194">
        <v>2.5612586895519303</v>
      </c>
      <c r="BK23" s="192">
        <v>25.795302804178778</v>
      </c>
      <c r="BL23" s="193">
        <v>54.375147278297085</v>
      </c>
      <c r="BM23" s="193">
        <v>0.22779043280182235</v>
      </c>
      <c r="BN23" s="193">
        <v>1.8223234624145788</v>
      </c>
      <c r="BO23" s="193">
        <v>17.2099599403032</v>
      </c>
      <c r="BP23" s="194">
        <v>0.56947608200455579</v>
      </c>
      <c r="BQ23" s="192">
        <v>76.035834266517355</v>
      </c>
      <c r="BR23" s="193">
        <v>23.91532248457268</v>
      </c>
      <c r="BS23" s="193">
        <v>4.884324890996164E-2</v>
      </c>
      <c r="BT23" s="193">
        <v>0</v>
      </c>
      <c r="BU23" s="193">
        <v>0</v>
      </c>
      <c r="BV23" s="194">
        <v>0</v>
      </c>
      <c r="BW23" s="192">
        <v>90.668590668590667</v>
      </c>
      <c r="BX23" s="193">
        <v>8.8504088504088507</v>
      </c>
      <c r="BY23" s="193">
        <v>0</v>
      </c>
      <c r="BZ23" s="193">
        <v>0.48100048100048104</v>
      </c>
      <c r="CA23" s="193">
        <v>0</v>
      </c>
      <c r="CB23" s="194">
        <v>0</v>
      </c>
    </row>
    <row r="24" spans="1:80" ht="15.75" customHeight="1" x14ac:dyDescent="0.3">
      <c r="A24" s="152"/>
      <c r="B24" s="148" t="s">
        <v>10</v>
      </c>
      <c r="C24" s="97">
        <v>50.7793974537434</v>
      </c>
      <c r="D24" s="131">
        <v>39.393224634996635</v>
      </c>
      <c r="E24" s="131">
        <v>2.3195718444794768</v>
      </c>
      <c r="F24" s="131">
        <v>4.2100134039333765</v>
      </c>
      <c r="G24" s="131">
        <v>0.68492743638220011</v>
      </c>
      <c r="H24" s="191">
        <v>2.6128652264649177</v>
      </c>
      <c r="I24" s="97">
        <v>31.41045610359846</v>
      </c>
      <c r="J24" s="131">
        <v>54.568212476013265</v>
      </c>
      <c r="K24" s="131">
        <v>2.7548590151024621</v>
      </c>
      <c r="L24" s="131">
        <v>5.7566659583504141</v>
      </c>
      <c r="M24" s="131">
        <v>1.2321755555444212</v>
      </c>
      <c r="N24" s="191">
        <v>4.2776308913909498</v>
      </c>
      <c r="O24" s="97">
        <v>73.565886680616543</v>
      </c>
      <c r="P24" s="131">
        <v>20.566974620943686</v>
      </c>
      <c r="Q24" s="131">
        <v>1.1843086846066082</v>
      </c>
      <c r="R24" s="131">
        <v>3.5563947596949959</v>
      </c>
      <c r="S24" s="131">
        <v>6.4579595160399919E-2</v>
      </c>
      <c r="T24" s="191">
        <v>1.0618556589778052</v>
      </c>
      <c r="U24" s="97">
        <v>60.01039664168858</v>
      </c>
      <c r="V24" s="131">
        <v>32.582094236729574</v>
      </c>
      <c r="W24" s="131">
        <v>2.111499078033662</v>
      </c>
      <c r="X24" s="131">
        <v>3.0048256110479032</v>
      </c>
      <c r="Y24" s="131">
        <v>0.12181725450194203</v>
      </c>
      <c r="Z24" s="191">
        <v>2.1693671779983519</v>
      </c>
      <c r="AA24" s="97">
        <v>69.259195247599024</v>
      </c>
      <c r="AB24" s="131">
        <v>26.189716569045736</v>
      </c>
      <c r="AC24" s="131">
        <v>1.5481306098922987</v>
      </c>
      <c r="AD24" s="131">
        <v>2.3547761282958932</v>
      </c>
      <c r="AE24" s="131">
        <v>7.4752785481479317E-2</v>
      </c>
      <c r="AF24" s="191">
        <v>0.57342865968551404</v>
      </c>
      <c r="AG24" s="97">
        <v>72.179718804566136</v>
      </c>
      <c r="AH24" s="131">
        <v>23.555921152235122</v>
      </c>
      <c r="AI24" s="131">
        <v>0.13625765818504795</v>
      </c>
      <c r="AJ24" s="131">
        <v>0.96515841214408971</v>
      </c>
      <c r="AK24" s="131">
        <v>0.20943306721035149</v>
      </c>
      <c r="AL24" s="191">
        <v>2.9535109056592344</v>
      </c>
      <c r="AM24" s="97">
        <v>47.985833888470808</v>
      </c>
      <c r="AN24" s="131">
        <v>41.808136737142824</v>
      </c>
      <c r="AO24" s="131">
        <v>3.1647265927184787</v>
      </c>
      <c r="AP24" s="131">
        <v>4.0510637873721045</v>
      </c>
      <c r="AQ24" s="131">
        <v>0.62405204393034008</v>
      </c>
      <c r="AR24" s="191">
        <v>2.3661869503654493</v>
      </c>
      <c r="AS24" s="97">
        <v>99.218408986617817</v>
      </c>
      <c r="AT24" s="131">
        <v>4.103819163343194E-2</v>
      </c>
      <c r="AU24" s="131">
        <v>0</v>
      </c>
      <c r="AV24" s="131">
        <v>0.68272627899254967</v>
      </c>
      <c r="AW24" s="131">
        <v>0</v>
      </c>
      <c r="AX24" s="191">
        <v>5.7826542756199556E-2</v>
      </c>
      <c r="AY24" s="97">
        <v>42.299244676441297</v>
      </c>
      <c r="AZ24" s="131">
        <v>45.992208557082549</v>
      </c>
      <c r="BA24" s="131">
        <v>3.34521869121015</v>
      </c>
      <c r="BB24" s="131">
        <v>6.3473813136665367</v>
      </c>
      <c r="BC24" s="131">
        <v>2.3633168213763885E-2</v>
      </c>
      <c r="BD24" s="191">
        <v>1.9923135933857146</v>
      </c>
      <c r="BE24" s="97">
        <v>31.616132158010085</v>
      </c>
      <c r="BF24" s="131">
        <v>57.451919307851263</v>
      </c>
      <c r="BG24" s="131">
        <v>5.818289007842802</v>
      </c>
      <c r="BH24" s="131">
        <v>0.5992643254278105</v>
      </c>
      <c r="BI24" s="131">
        <v>0.40264541802684917</v>
      </c>
      <c r="BJ24" s="191">
        <v>4.1117497828411569</v>
      </c>
      <c r="BK24" s="97">
        <v>33.43512813644076</v>
      </c>
      <c r="BL24" s="131">
        <v>47.918564157514069</v>
      </c>
      <c r="BM24" s="131">
        <v>0.20716135369229396</v>
      </c>
      <c r="BN24" s="131">
        <v>1.0358067684614698</v>
      </c>
      <c r="BO24" s="131">
        <v>17.14260201803733</v>
      </c>
      <c r="BP24" s="191">
        <v>0.26073756585409413</v>
      </c>
      <c r="BQ24" s="97">
        <v>52.505733944954137</v>
      </c>
      <c r="BR24" s="131">
        <v>46.318807339449535</v>
      </c>
      <c r="BS24" s="131">
        <v>0</v>
      </c>
      <c r="BT24" s="131">
        <v>1.1754587155963303</v>
      </c>
      <c r="BU24" s="131">
        <v>0</v>
      </c>
      <c r="BV24" s="191">
        <v>0</v>
      </c>
      <c r="BW24" s="97">
        <v>87.554426705370105</v>
      </c>
      <c r="BX24" s="131">
        <v>12.155297532656023</v>
      </c>
      <c r="BY24" s="131">
        <v>0</v>
      </c>
      <c r="BZ24" s="131">
        <v>0.29027576197387517</v>
      </c>
      <c r="CA24" s="131">
        <v>0</v>
      </c>
      <c r="CB24" s="191">
        <v>0</v>
      </c>
    </row>
    <row r="25" spans="1:80" s="109" customFormat="1" ht="15.75" customHeight="1" x14ac:dyDescent="0.3">
      <c r="A25" s="173"/>
      <c r="B25" s="130" t="s">
        <v>11</v>
      </c>
      <c r="C25" s="192">
        <v>49.914512161062355</v>
      </c>
      <c r="D25" s="193">
        <v>38.796476154160558</v>
      </c>
      <c r="E25" s="193">
        <v>2.1000010897338903</v>
      </c>
      <c r="F25" s="193">
        <v>4.2162549817974542</v>
      </c>
      <c r="G25" s="193">
        <v>1.0538315020209883</v>
      </c>
      <c r="H25" s="194">
        <v>3.9189241112247002</v>
      </c>
      <c r="I25" s="192">
        <v>27.835147362746099</v>
      </c>
      <c r="J25" s="193">
        <v>56.457364060407656</v>
      </c>
      <c r="K25" s="193">
        <v>2.7403880009202948</v>
      </c>
      <c r="L25" s="193">
        <v>5.3601796571927736</v>
      </c>
      <c r="M25" s="193">
        <v>2.0384203418378934</v>
      </c>
      <c r="N25" s="194">
        <v>5.5685005768952784</v>
      </c>
      <c r="O25" s="192">
        <v>70.905475982511774</v>
      </c>
      <c r="P25" s="193">
        <v>21.035668693519664</v>
      </c>
      <c r="Q25" s="193">
        <v>1.1220779002634751</v>
      </c>
      <c r="R25" s="193">
        <v>4.1475549385945127</v>
      </c>
      <c r="S25" s="193">
        <v>0.22274186659243939</v>
      </c>
      <c r="T25" s="194">
        <v>2.5664806185181095</v>
      </c>
      <c r="U25" s="192">
        <v>68.351463326559994</v>
      </c>
      <c r="V25" s="193">
        <v>28.088562399441035</v>
      </c>
      <c r="W25" s="193">
        <v>1.1647211912591426</v>
      </c>
      <c r="X25" s="193">
        <v>0.64079964274191314</v>
      </c>
      <c r="Y25" s="193">
        <v>0</v>
      </c>
      <c r="Z25" s="194">
        <v>1.7544534399979488</v>
      </c>
      <c r="AA25" s="192">
        <v>70.245038958208454</v>
      </c>
      <c r="AB25" s="193">
        <v>22.954852067781832</v>
      </c>
      <c r="AC25" s="193">
        <v>1.6611998038467821</v>
      </c>
      <c r="AD25" s="193">
        <v>3.4728709202855113</v>
      </c>
      <c r="AE25" s="193">
        <v>2.563068708113115E-2</v>
      </c>
      <c r="AF25" s="194">
        <v>1.6404075627962729</v>
      </c>
      <c r="AG25" s="192">
        <v>77.471039876231998</v>
      </c>
      <c r="AH25" s="193">
        <v>19.738145070812745</v>
      </c>
      <c r="AI25" s="193">
        <v>0</v>
      </c>
      <c r="AJ25" s="193">
        <v>0.49375536616075011</v>
      </c>
      <c r="AK25" s="193">
        <v>0.22767608550745708</v>
      </c>
      <c r="AL25" s="194">
        <v>2.0693836012870555</v>
      </c>
      <c r="AM25" s="192">
        <v>56.398413104822211</v>
      </c>
      <c r="AN25" s="193">
        <v>33.197410084294432</v>
      </c>
      <c r="AO25" s="193">
        <v>1.7918156094319231</v>
      </c>
      <c r="AP25" s="193">
        <v>4.3878546148519435</v>
      </c>
      <c r="AQ25" s="193">
        <v>0.61536161837614289</v>
      </c>
      <c r="AR25" s="194">
        <v>3.6091449682233758</v>
      </c>
      <c r="AS25" s="192">
        <v>99.966239470935008</v>
      </c>
      <c r="AT25" s="193">
        <v>3.3760529065002154E-2</v>
      </c>
      <c r="AU25" s="193">
        <v>0</v>
      </c>
      <c r="AV25" s="193">
        <v>0</v>
      </c>
      <c r="AW25" s="193">
        <v>0</v>
      </c>
      <c r="AX25" s="194">
        <v>0</v>
      </c>
      <c r="AY25" s="192">
        <v>41.728968852604496</v>
      </c>
      <c r="AZ25" s="193">
        <v>46.572455408643179</v>
      </c>
      <c r="BA25" s="193">
        <v>3.4123850090218002</v>
      </c>
      <c r="BB25" s="193">
        <v>5.0420401100363836</v>
      </c>
      <c r="BC25" s="193">
        <v>1.7464948087674155</v>
      </c>
      <c r="BD25" s="194">
        <v>1.4976558109267311</v>
      </c>
      <c r="BE25" s="192">
        <v>27.591452284177475</v>
      </c>
      <c r="BF25" s="193">
        <v>52.5138730011926</v>
      </c>
      <c r="BG25" s="193">
        <v>5.9018059240148943</v>
      </c>
      <c r="BH25" s="193">
        <v>1.7377759388614407</v>
      </c>
      <c r="BI25" s="193">
        <v>0.1149998783070071</v>
      </c>
      <c r="BJ25" s="194">
        <v>12.14009297344659</v>
      </c>
      <c r="BK25" s="192">
        <v>24.159504015781316</v>
      </c>
      <c r="BL25" s="193">
        <v>73.707200225447394</v>
      </c>
      <c r="BM25" s="193">
        <v>0.32971678173876284</v>
      </c>
      <c r="BN25" s="193">
        <v>1.3075947583485981</v>
      </c>
      <c r="BO25" s="193">
        <v>0.33253487389037623</v>
      </c>
      <c r="BP25" s="194">
        <v>0.16344934479357476</v>
      </c>
      <c r="BQ25" s="192">
        <v>34.765843963921128</v>
      </c>
      <c r="BR25" s="193">
        <v>65.094868441168003</v>
      </c>
      <c r="BS25" s="193">
        <v>0.13928759491090692</v>
      </c>
      <c r="BT25" s="193">
        <v>0</v>
      </c>
      <c r="BU25" s="193">
        <v>0</v>
      </c>
      <c r="BV25" s="194">
        <v>0</v>
      </c>
      <c r="BW25" s="192">
        <v>76.780279975654281</v>
      </c>
      <c r="BX25" s="193">
        <v>22.611077297626295</v>
      </c>
      <c r="BY25" s="193">
        <v>0</v>
      </c>
      <c r="BZ25" s="193">
        <v>0.60864272671941566</v>
      </c>
      <c r="CA25" s="193">
        <v>0</v>
      </c>
      <c r="CB25" s="194">
        <v>0</v>
      </c>
    </row>
    <row r="26" spans="1:80" ht="15.75" customHeight="1" x14ac:dyDescent="0.3">
      <c r="A26" s="152"/>
      <c r="B26" s="148" t="s">
        <v>12</v>
      </c>
      <c r="C26" s="97">
        <v>50.869717244741416</v>
      </c>
      <c r="D26" s="131">
        <v>37.031263766025134</v>
      </c>
      <c r="E26" s="131">
        <v>2.2321111919365864</v>
      </c>
      <c r="F26" s="131">
        <v>5.10643276517348</v>
      </c>
      <c r="G26" s="131">
        <v>0.82223807712507158</v>
      </c>
      <c r="H26" s="191">
        <v>3.9382369549982901</v>
      </c>
      <c r="I26" s="97">
        <v>28.650708932816084</v>
      </c>
      <c r="J26" s="131">
        <v>53.285723891207596</v>
      </c>
      <c r="K26" s="131">
        <v>3.0046642708999758</v>
      </c>
      <c r="L26" s="131">
        <v>7.7203596016366909</v>
      </c>
      <c r="M26" s="131">
        <v>1.3377566423944505</v>
      </c>
      <c r="N26" s="191">
        <v>6.0007866610451845</v>
      </c>
      <c r="O26" s="97">
        <v>77.486139755282522</v>
      </c>
      <c r="P26" s="131">
        <v>18.349897998571201</v>
      </c>
      <c r="Q26" s="131">
        <v>0.18822766822068754</v>
      </c>
      <c r="R26" s="131">
        <v>3.1851411184537612</v>
      </c>
      <c r="S26" s="131">
        <v>0</v>
      </c>
      <c r="T26" s="191">
        <v>0.7905934594718047</v>
      </c>
      <c r="U26" s="97">
        <v>66.162244646128315</v>
      </c>
      <c r="V26" s="131">
        <v>30.888563692042442</v>
      </c>
      <c r="W26" s="131">
        <v>0.62359005731884076</v>
      </c>
      <c r="X26" s="131">
        <v>1.6611688316202564</v>
      </c>
      <c r="Y26" s="131">
        <v>0</v>
      </c>
      <c r="Z26" s="191">
        <v>0.66443277289016944</v>
      </c>
      <c r="AA26" s="97">
        <v>72.340961217704645</v>
      </c>
      <c r="AB26" s="131">
        <v>23.058824263365434</v>
      </c>
      <c r="AC26" s="131">
        <v>0.80932546853046528</v>
      </c>
      <c r="AD26" s="131">
        <v>1.5852743939528304</v>
      </c>
      <c r="AE26" s="131">
        <v>0.13800688118262586</v>
      </c>
      <c r="AF26" s="191">
        <v>2.0676077752640163</v>
      </c>
      <c r="AG26" s="97">
        <v>72.774405695237206</v>
      </c>
      <c r="AH26" s="131">
        <v>20.965258957697337</v>
      </c>
      <c r="AI26" s="131">
        <v>0</v>
      </c>
      <c r="AJ26" s="131">
        <v>1.2296534937339536</v>
      </c>
      <c r="AK26" s="131">
        <v>0</v>
      </c>
      <c r="AL26" s="191">
        <v>5.0306818533314601</v>
      </c>
      <c r="AM26" s="97">
        <v>47.610127165001138</v>
      </c>
      <c r="AN26" s="131">
        <v>39.291531068832178</v>
      </c>
      <c r="AO26" s="131">
        <v>3.2506319425282419</v>
      </c>
      <c r="AP26" s="131">
        <v>6.215319423895818</v>
      </c>
      <c r="AQ26" s="131">
        <v>0.91243765503910923</v>
      </c>
      <c r="AR26" s="191">
        <v>2.7199527447035385</v>
      </c>
      <c r="AS26" s="97">
        <v>99.966094655246224</v>
      </c>
      <c r="AT26" s="131">
        <v>3.3905344753783616E-2</v>
      </c>
      <c r="AU26" s="131">
        <v>0</v>
      </c>
      <c r="AV26" s="131">
        <v>0</v>
      </c>
      <c r="AW26" s="131">
        <v>0</v>
      </c>
      <c r="AX26" s="191">
        <v>0</v>
      </c>
      <c r="AY26" s="97">
        <v>42.730680036087733</v>
      </c>
      <c r="AZ26" s="131">
        <v>44.810367759996275</v>
      </c>
      <c r="BA26" s="131">
        <v>3.6848659525813434</v>
      </c>
      <c r="BB26" s="131">
        <v>4.9955697646021164</v>
      </c>
      <c r="BC26" s="131">
        <v>2.1781822512054481</v>
      </c>
      <c r="BD26" s="191">
        <v>1.6003342355270567</v>
      </c>
      <c r="BE26" s="97">
        <v>38.765258083612892</v>
      </c>
      <c r="BF26" s="131">
        <v>32.744058861669437</v>
      </c>
      <c r="BG26" s="131">
        <v>7.351788684351475</v>
      </c>
      <c r="BH26" s="131">
        <v>0.90575930989766851</v>
      </c>
      <c r="BI26" s="131">
        <v>1.0123192287091589</v>
      </c>
      <c r="BJ26" s="191">
        <v>19.22081583175936</v>
      </c>
      <c r="BK26" s="97">
        <v>21.91415688912139</v>
      </c>
      <c r="BL26" s="131">
        <v>71.589069078045981</v>
      </c>
      <c r="BM26" s="131">
        <v>2.0975014323792438</v>
      </c>
      <c r="BN26" s="131">
        <v>2.0476795456243924</v>
      </c>
      <c r="BO26" s="131">
        <v>2.0576439229753625</v>
      </c>
      <c r="BP26" s="191">
        <v>0.29394913185362326</v>
      </c>
      <c r="BQ26" s="97">
        <v>53.50165562913908</v>
      </c>
      <c r="BR26" s="131">
        <v>41.237582781456958</v>
      </c>
      <c r="BS26" s="131">
        <v>0.42425496688741732</v>
      </c>
      <c r="BT26" s="131">
        <v>4.8365066225165574</v>
      </c>
      <c r="BU26" s="131">
        <v>0</v>
      </c>
      <c r="BV26" s="191">
        <v>0</v>
      </c>
      <c r="BW26" s="97">
        <v>84.871371253245215</v>
      </c>
      <c r="BX26" s="131">
        <v>11.72999763983951</v>
      </c>
      <c r="BY26" s="131">
        <v>0</v>
      </c>
      <c r="BZ26" s="131">
        <v>3.3986311069152704</v>
      </c>
      <c r="CA26" s="131">
        <v>0</v>
      </c>
      <c r="CB26" s="191">
        <v>0</v>
      </c>
    </row>
    <row r="27" spans="1:80" s="109" customFormat="1" ht="15.75" customHeight="1" x14ac:dyDescent="0.3">
      <c r="A27" s="173"/>
      <c r="B27" s="130" t="s">
        <v>13</v>
      </c>
      <c r="C27" s="192">
        <v>58.084008349885849</v>
      </c>
      <c r="D27" s="193">
        <v>30.063614195401623</v>
      </c>
      <c r="E27" s="193">
        <v>3.4773723647764361</v>
      </c>
      <c r="F27" s="193">
        <v>3.8386533643023233</v>
      </c>
      <c r="G27" s="193">
        <v>0.68872445714684838</v>
      </c>
      <c r="H27" s="194">
        <v>3.8476272684869697</v>
      </c>
      <c r="I27" s="192">
        <v>31.561793549382568</v>
      </c>
      <c r="J27" s="193">
        <v>48.088753124213021</v>
      </c>
      <c r="K27" s="193">
        <v>6.5920713041123857</v>
      </c>
      <c r="L27" s="193">
        <v>6.4857716387689166</v>
      </c>
      <c r="M27" s="193">
        <v>1.9432714240588775</v>
      </c>
      <c r="N27" s="194">
        <v>5.3283389594641974</v>
      </c>
      <c r="O27" s="192">
        <v>80.492446042621324</v>
      </c>
      <c r="P27" s="193">
        <v>15.958358104295616</v>
      </c>
      <c r="Q27" s="193">
        <v>0.11830927885523157</v>
      </c>
      <c r="R27" s="193">
        <v>1.5639983337960917</v>
      </c>
      <c r="S27" s="193">
        <v>0</v>
      </c>
      <c r="T27" s="194">
        <v>1.8668882404317391</v>
      </c>
      <c r="U27" s="192">
        <v>66.55433836785673</v>
      </c>
      <c r="V27" s="193">
        <v>23.167264936953803</v>
      </c>
      <c r="W27" s="193">
        <v>0.59177835470608509</v>
      </c>
      <c r="X27" s="193">
        <v>1.5664616049843743</v>
      </c>
      <c r="Y27" s="193">
        <v>0</v>
      </c>
      <c r="Z27" s="194">
        <v>8.1201567354990161</v>
      </c>
      <c r="AA27" s="192">
        <v>77.653267782007831</v>
      </c>
      <c r="AB27" s="193">
        <v>17.126056062875868</v>
      </c>
      <c r="AC27" s="193">
        <v>1.1118332053852091</v>
      </c>
      <c r="AD27" s="193">
        <v>2.7118065031679439</v>
      </c>
      <c r="AE27" s="193">
        <v>9.2672401098717716E-2</v>
      </c>
      <c r="AF27" s="194">
        <v>1.3043640454644518</v>
      </c>
      <c r="AG27" s="192">
        <v>82.672711416932501</v>
      </c>
      <c r="AH27" s="193">
        <v>12.225487502339453</v>
      </c>
      <c r="AI27" s="193">
        <v>0.39740848256061678</v>
      </c>
      <c r="AJ27" s="193">
        <v>0.29566713256639071</v>
      </c>
      <c r="AK27" s="193">
        <v>0</v>
      </c>
      <c r="AL27" s="194">
        <v>4.4087254656010701</v>
      </c>
      <c r="AM27" s="192">
        <v>57.405279072038105</v>
      </c>
      <c r="AN27" s="193">
        <v>30.844701109787199</v>
      </c>
      <c r="AO27" s="193">
        <v>5.1056209240748149</v>
      </c>
      <c r="AP27" s="193">
        <v>3.1907108312522996</v>
      </c>
      <c r="AQ27" s="193">
        <v>1.5303609846097724E-2</v>
      </c>
      <c r="AR27" s="194">
        <v>3.4383844530015444</v>
      </c>
      <c r="AS27" s="192">
        <v>99.801875297981667</v>
      </c>
      <c r="AT27" s="193">
        <v>3.3903692323992152E-2</v>
      </c>
      <c r="AU27" s="193">
        <v>0</v>
      </c>
      <c r="AV27" s="193">
        <v>0</v>
      </c>
      <c r="AW27" s="193">
        <v>0</v>
      </c>
      <c r="AX27" s="194">
        <v>0.16422100969433701</v>
      </c>
      <c r="AY27" s="192">
        <v>47.597567604739034</v>
      </c>
      <c r="AZ27" s="193">
        <v>37.150842562332571</v>
      </c>
      <c r="BA27" s="193">
        <v>2.760513200034056</v>
      </c>
      <c r="BB27" s="193">
        <v>8.6561572870344268</v>
      </c>
      <c r="BC27" s="193">
        <v>0.38214933623247244</v>
      </c>
      <c r="BD27" s="194">
        <v>3.4527700096274123</v>
      </c>
      <c r="BE27" s="192">
        <v>52.305786191886583</v>
      </c>
      <c r="BF27" s="193">
        <v>28.578016170020838</v>
      </c>
      <c r="BG27" s="193">
        <v>4.125103564650944</v>
      </c>
      <c r="BH27" s="193">
        <v>0.86728269159143689</v>
      </c>
      <c r="BI27" s="193">
        <v>0.27667914087579581</v>
      </c>
      <c r="BJ27" s="194">
        <v>13.84713224097435</v>
      </c>
      <c r="BK27" s="192">
        <v>33.994359842075575</v>
      </c>
      <c r="BL27" s="193">
        <v>50.289904117315288</v>
      </c>
      <c r="BM27" s="193">
        <v>13.08516638465877</v>
      </c>
      <c r="BN27" s="193">
        <v>1.8341793570219966</v>
      </c>
      <c r="BO27" s="193">
        <v>0.39932318104906933</v>
      </c>
      <c r="BP27" s="194">
        <v>0.3970671178793006</v>
      </c>
      <c r="BQ27" s="192">
        <v>84.584919360161919</v>
      </c>
      <c r="BR27" s="193">
        <v>15.144447622609954</v>
      </c>
      <c r="BS27" s="193">
        <v>0.27063301722810179</v>
      </c>
      <c r="BT27" s="193">
        <v>0</v>
      </c>
      <c r="BU27" s="193">
        <v>0</v>
      </c>
      <c r="BV27" s="194">
        <v>0</v>
      </c>
      <c r="BW27" s="192">
        <v>93.901234567901241</v>
      </c>
      <c r="BX27" s="193">
        <v>6.0987654320987659</v>
      </c>
      <c r="BY27" s="193">
        <v>0</v>
      </c>
      <c r="BZ27" s="193">
        <v>0</v>
      </c>
      <c r="CA27" s="193">
        <v>0</v>
      </c>
      <c r="CB27" s="194">
        <v>0</v>
      </c>
    </row>
    <row r="28" spans="1:80" ht="15.75" customHeight="1" x14ac:dyDescent="0.3">
      <c r="A28" s="147" t="s">
        <v>52</v>
      </c>
      <c r="B28" s="148" t="s">
        <v>54</v>
      </c>
      <c r="C28" s="97">
        <v>56.874470905942317</v>
      </c>
      <c r="D28" s="131">
        <v>31.077296820731398</v>
      </c>
      <c r="E28" s="131">
        <v>3.1147315561286337</v>
      </c>
      <c r="F28" s="131">
        <v>5.5258944057118766</v>
      </c>
      <c r="G28" s="131">
        <v>0.92513100408834326</v>
      </c>
      <c r="H28" s="191">
        <v>2.48247530739742</v>
      </c>
      <c r="I28" s="97">
        <v>30.324243469288763</v>
      </c>
      <c r="J28" s="131">
        <v>50.911720092749121</v>
      </c>
      <c r="K28" s="131">
        <v>4.3541345984001616</v>
      </c>
      <c r="L28" s="131">
        <v>8.1579917624859455</v>
      </c>
      <c r="M28" s="131">
        <v>2.2053504588390656</v>
      </c>
      <c r="N28" s="191">
        <v>4.046559618236925</v>
      </c>
      <c r="O28" s="97">
        <v>75.295580489760141</v>
      </c>
      <c r="P28" s="131">
        <v>16.107172542807184</v>
      </c>
      <c r="Q28" s="131">
        <v>2.4460504314590299</v>
      </c>
      <c r="R28" s="131">
        <v>5.6684047366822803</v>
      </c>
      <c r="S28" s="131">
        <v>0.39615506960132907</v>
      </c>
      <c r="T28" s="191">
        <v>8.6636729690021771E-2</v>
      </c>
      <c r="U28" s="97">
        <v>71.049504950495063</v>
      </c>
      <c r="V28" s="131">
        <v>18.224139923719999</v>
      </c>
      <c r="W28" s="131">
        <v>2.8582655930962746</v>
      </c>
      <c r="X28" s="131">
        <v>0.43595176638286398</v>
      </c>
      <c r="Y28" s="131">
        <v>0</v>
      </c>
      <c r="Z28" s="191">
        <v>7.4321377663058126</v>
      </c>
      <c r="AA28" s="97">
        <v>79.172577754251037</v>
      </c>
      <c r="AB28" s="131">
        <v>15.017672898150977</v>
      </c>
      <c r="AC28" s="131">
        <v>2.3434838733643506</v>
      </c>
      <c r="AD28" s="131">
        <v>1.2247884917207621</v>
      </c>
      <c r="AE28" s="131">
        <v>8.9859675517045989E-2</v>
      </c>
      <c r="AF28" s="191">
        <v>2.1516173069957918</v>
      </c>
      <c r="AG28" s="97">
        <v>77.31049747270022</v>
      </c>
      <c r="AH28" s="131">
        <v>20.959729542208823</v>
      </c>
      <c r="AI28" s="131">
        <v>7.4627648494784316E-2</v>
      </c>
      <c r="AJ28" s="131">
        <v>0.83259280127915991</v>
      </c>
      <c r="AK28" s="131">
        <v>0</v>
      </c>
      <c r="AL28" s="191">
        <v>0.82255253531701022</v>
      </c>
      <c r="AM28" s="97">
        <v>55.917238428921891</v>
      </c>
      <c r="AN28" s="131">
        <v>31.070463492957444</v>
      </c>
      <c r="AO28" s="131">
        <v>3.0980759545767156</v>
      </c>
      <c r="AP28" s="131">
        <v>6.475715221782381</v>
      </c>
      <c r="AQ28" s="131">
        <v>0.16373068779343994</v>
      </c>
      <c r="AR28" s="191">
        <v>3.2747762139681469</v>
      </c>
      <c r="AS28" s="97">
        <v>99.9333580155498</v>
      </c>
      <c r="AT28" s="131">
        <v>3.3849896863595491E-2</v>
      </c>
      <c r="AU28" s="131">
        <v>0</v>
      </c>
      <c r="AV28" s="131">
        <v>0</v>
      </c>
      <c r="AW28" s="131">
        <v>0</v>
      </c>
      <c r="AX28" s="191">
        <v>3.2792087586608135E-2</v>
      </c>
      <c r="AY28" s="97">
        <v>41.17907235037989</v>
      </c>
      <c r="AZ28" s="131">
        <v>46.42336914321659</v>
      </c>
      <c r="BA28" s="131">
        <v>4.4640803609164443</v>
      </c>
      <c r="BB28" s="131">
        <v>6.0750336639113032</v>
      </c>
      <c r="BC28" s="131">
        <v>0.36720692739406918</v>
      </c>
      <c r="BD28" s="191">
        <v>1.4912375541816965</v>
      </c>
      <c r="BE28" s="97">
        <v>47.498574380545357</v>
      </c>
      <c r="BF28" s="131">
        <v>37.691538871890465</v>
      </c>
      <c r="BG28" s="131">
        <v>4.1671009951743541</v>
      </c>
      <c r="BH28" s="131">
        <v>1.6417617590611147</v>
      </c>
      <c r="BI28" s="131">
        <v>2.3821641209906366</v>
      </c>
      <c r="BJ28" s="191">
        <v>6.618859872338076</v>
      </c>
      <c r="BK28" s="97">
        <v>34.399521212927247</v>
      </c>
      <c r="BL28" s="131">
        <v>55.933856452542443</v>
      </c>
      <c r="BM28" s="131">
        <v>3.3027441592410334</v>
      </c>
      <c r="BN28" s="131">
        <v>2.2498559205568114</v>
      </c>
      <c r="BO28" s="131">
        <v>0</v>
      </c>
      <c r="BP28" s="191">
        <v>4.114022254732455</v>
      </c>
      <c r="BQ28" s="97">
        <v>81.253032973207695</v>
      </c>
      <c r="BR28" s="131">
        <v>17.303910300615534</v>
      </c>
      <c r="BS28" s="131">
        <v>0.62830434449467465</v>
      </c>
      <c r="BT28" s="131">
        <v>0.31415217224733732</v>
      </c>
      <c r="BU28" s="131">
        <v>0</v>
      </c>
      <c r="BV28" s="191">
        <v>0.50060020943478145</v>
      </c>
      <c r="BW28" s="97">
        <v>91.622186122070076</v>
      </c>
      <c r="BX28" s="131">
        <v>3.6435367834764447</v>
      </c>
      <c r="BY28" s="131">
        <v>2.0422371779995356</v>
      </c>
      <c r="BZ28" s="131">
        <v>0</v>
      </c>
      <c r="CA28" s="131">
        <v>0</v>
      </c>
      <c r="CB28" s="191">
        <v>2.6920399164539335</v>
      </c>
    </row>
    <row r="29" spans="1:80" s="109" customFormat="1" ht="15.75" customHeight="1" x14ac:dyDescent="0.3">
      <c r="A29" s="173"/>
      <c r="B29" s="109" t="s">
        <v>56</v>
      </c>
      <c r="C29" s="192">
        <v>53.086355913178885</v>
      </c>
      <c r="D29" s="193">
        <v>35.784466408656087</v>
      </c>
      <c r="E29" s="193">
        <v>2.8524659944457529</v>
      </c>
      <c r="F29" s="193">
        <v>4.7125379177198399</v>
      </c>
      <c r="G29" s="193">
        <v>0.69420652214699896</v>
      </c>
      <c r="H29" s="194">
        <v>2.8699672438524582</v>
      </c>
      <c r="I29" s="192">
        <v>24.298430366639991</v>
      </c>
      <c r="J29" s="193">
        <v>60.495275803642869</v>
      </c>
      <c r="K29" s="193">
        <v>4.1760013178331059</v>
      </c>
      <c r="L29" s="193">
        <v>5.7652550948369168</v>
      </c>
      <c r="M29" s="193">
        <v>1.7867522473760999</v>
      </c>
      <c r="N29" s="194">
        <v>3.4782851696710111</v>
      </c>
      <c r="O29" s="192">
        <v>76.755839162913759</v>
      </c>
      <c r="P29" s="193">
        <v>15.166087252843377</v>
      </c>
      <c r="Q29" s="193">
        <v>0.79080666900847518</v>
      </c>
      <c r="R29" s="193">
        <v>4.7185235475142955</v>
      </c>
      <c r="S29" s="193">
        <v>0</v>
      </c>
      <c r="T29" s="194">
        <v>2.5687433677201126</v>
      </c>
      <c r="U29" s="192">
        <v>80.477137002213283</v>
      </c>
      <c r="V29" s="193">
        <v>14.56942098764166</v>
      </c>
      <c r="W29" s="193">
        <v>0.72286827098991202</v>
      </c>
      <c r="X29" s="193">
        <v>2.7650626852029516</v>
      </c>
      <c r="Y29" s="193">
        <v>0</v>
      </c>
      <c r="Z29" s="194">
        <v>1.4655110539521925</v>
      </c>
      <c r="AA29" s="192">
        <v>79.78952217004516</v>
      </c>
      <c r="AB29" s="193">
        <v>15.963731325646236</v>
      </c>
      <c r="AC29" s="193">
        <v>0.84330239260971296</v>
      </c>
      <c r="AD29" s="193">
        <v>1.5648859160622419</v>
      </c>
      <c r="AE29" s="193">
        <v>0.24315384590817002</v>
      </c>
      <c r="AF29" s="194">
        <v>1.5954043497284747</v>
      </c>
      <c r="AG29" s="192">
        <v>83.841959497799778</v>
      </c>
      <c r="AH29" s="193">
        <v>14.920953443889529</v>
      </c>
      <c r="AI29" s="193">
        <v>1.5595113280648153E-2</v>
      </c>
      <c r="AJ29" s="193">
        <v>0.49810416032528015</v>
      </c>
      <c r="AK29" s="193">
        <v>0</v>
      </c>
      <c r="AL29" s="194">
        <v>0.72338778470476384</v>
      </c>
      <c r="AM29" s="192">
        <v>48.25403402033163</v>
      </c>
      <c r="AN29" s="193">
        <v>40.143903753281585</v>
      </c>
      <c r="AO29" s="193">
        <v>2.8330298849870106</v>
      </c>
      <c r="AP29" s="193">
        <v>6.3511789057195625</v>
      </c>
      <c r="AQ29" s="193">
        <v>3.9435057903308306E-2</v>
      </c>
      <c r="AR29" s="194">
        <v>2.3784183777769083</v>
      </c>
      <c r="AS29" s="192">
        <v>99.96131562057657</v>
      </c>
      <c r="AT29" s="193">
        <v>3.8684379423426909E-2</v>
      </c>
      <c r="AU29" s="193">
        <v>0</v>
      </c>
      <c r="AV29" s="193">
        <v>0</v>
      </c>
      <c r="AW29" s="193">
        <v>0</v>
      </c>
      <c r="AX29" s="194">
        <v>0</v>
      </c>
      <c r="AY29" s="192">
        <v>32.372163736487153</v>
      </c>
      <c r="AZ29" s="193">
        <v>40.137183668779223</v>
      </c>
      <c r="BA29" s="193">
        <v>11.234211061317211</v>
      </c>
      <c r="BB29" s="193">
        <v>6.3525231364853747</v>
      </c>
      <c r="BC29" s="193">
        <v>0.51178701174723562</v>
      </c>
      <c r="BD29" s="194">
        <v>9.3921313851838093</v>
      </c>
      <c r="BE29" s="192">
        <v>48.730318613158033</v>
      </c>
      <c r="BF29" s="193">
        <v>39.491067168530989</v>
      </c>
      <c r="BG29" s="193">
        <v>6.0859884429836182</v>
      </c>
      <c r="BH29" s="193">
        <v>4.3937867783491491</v>
      </c>
      <c r="BI29" s="193">
        <v>0.31914329640036054</v>
      </c>
      <c r="BJ29" s="194">
        <v>0.97969570057785083</v>
      </c>
      <c r="BK29" s="192">
        <v>32.583415458257072</v>
      </c>
      <c r="BL29" s="193">
        <v>53.284527664367175</v>
      </c>
      <c r="BM29" s="193">
        <v>1.1459946501478249</v>
      </c>
      <c r="BN29" s="193">
        <v>2.2047022384907784</v>
      </c>
      <c r="BO29" s="193">
        <v>5.4821906236801343</v>
      </c>
      <c r="BP29" s="194">
        <v>5.2991693650570166</v>
      </c>
      <c r="BQ29" s="192">
        <v>55.088481837938517</v>
      </c>
      <c r="BR29" s="193">
        <v>43.808341094898068</v>
      </c>
      <c r="BS29" s="193">
        <v>8.4859774397185131E-2</v>
      </c>
      <c r="BT29" s="193">
        <v>1.0183172927662216</v>
      </c>
      <c r="BU29" s="193">
        <v>0</v>
      </c>
      <c r="BV29" s="194">
        <v>0</v>
      </c>
      <c r="BW29" s="192">
        <v>87.987437843496465</v>
      </c>
      <c r="BX29" s="193">
        <v>11.48913896885632</v>
      </c>
      <c r="BY29" s="193">
        <v>0</v>
      </c>
      <c r="BZ29" s="193">
        <v>0.52342318764721274</v>
      </c>
      <c r="CA29" s="193">
        <v>0</v>
      </c>
      <c r="CB29" s="194">
        <v>0</v>
      </c>
    </row>
    <row r="30" spans="1:80" ht="15.75" customHeight="1" x14ac:dyDescent="0.3">
      <c r="A30" s="101"/>
      <c r="B30" s="156" t="s">
        <v>65</v>
      </c>
      <c r="C30" s="97">
        <v>55.656221444142432</v>
      </c>
      <c r="D30" s="131">
        <v>33.50371950543115</v>
      </c>
      <c r="E30" s="131">
        <v>2.7403341531909762</v>
      </c>
      <c r="F30" s="131">
        <v>3.7730606821235266</v>
      </c>
      <c r="G30" s="131">
        <v>0.93307270278965226</v>
      </c>
      <c r="H30" s="191">
        <v>3.3935915123224434</v>
      </c>
      <c r="I30" s="97">
        <v>26.047430234135888</v>
      </c>
      <c r="J30" s="131">
        <v>54.53518069019583</v>
      </c>
      <c r="K30" s="131">
        <v>3.9729228542568107</v>
      </c>
      <c r="L30" s="131">
        <v>5.8936513440576519</v>
      </c>
      <c r="M30" s="131">
        <v>2.1782930543201315</v>
      </c>
      <c r="N30" s="191">
        <v>7.372521823033666</v>
      </c>
      <c r="O30" s="97">
        <v>82.16255480749787</v>
      </c>
      <c r="P30" s="131">
        <v>14.711224997414918</v>
      </c>
      <c r="Q30" s="131">
        <v>0.1246324517319332</v>
      </c>
      <c r="R30" s="131">
        <v>1.6903061914788644</v>
      </c>
      <c r="S30" s="131">
        <v>0</v>
      </c>
      <c r="T30" s="191">
        <v>1.3112815518763716</v>
      </c>
      <c r="U30" s="97">
        <v>61.549118778331803</v>
      </c>
      <c r="V30" s="131">
        <v>37.011310064598277</v>
      </c>
      <c r="W30" s="131">
        <v>4.936081323728244E-2</v>
      </c>
      <c r="X30" s="131">
        <v>1.0308540851438259</v>
      </c>
      <c r="Y30" s="131">
        <v>0</v>
      </c>
      <c r="Z30" s="191">
        <v>0.35935625868881466</v>
      </c>
      <c r="AA30" s="97">
        <v>74.277662240804844</v>
      </c>
      <c r="AB30" s="131">
        <v>19.462973673888381</v>
      </c>
      <c r="AC30" s="131">
        <v>0.85168981133124588</v>
      </c>
      <c r="AD30" s="131">
        <v>2.4889504548852801</v>
      </c>
      <c r="AE30" s="131">
        <v>0.48350258945855573</v>
      </c>
      <c r="AF30" s="191">
        <v>2.435221229631698</v>
      </c>
      <c r="AG30" s="97">
        <v>86.440691246586653</v>
      </c>
      <c r="AH30" s="131">
        <v>9.4155119118977932</v>
      </c>
      <c r="AI30" s="131">
        <v>3.3849300095201151</v>
      </c>
      <c r="AJ30" s="131">
        <v>0.16258633726282962</v>
      </c>
      <c r="AK30" s="131">
        <v>0</v>
      </c>
      <c r="AL30" s="191">
        <v>0.59628049473259437</v>
      </c>
      <c r="AM30" s="97">
        <v>47.548231241830422</v>
      </c>
      <c r="AN30" s="131">
        <v>39.773893897713428</v>
      </c>
      <c r="AO30" s="131">
        <v>3.1986923487448151</v>
      </c>
      <c r="AP30" s="131">
        <v>7.0242941596561748</v>
      </c>
      <c r="AQ30" s="131">
        <v>0.37053556465938425</v>
      </c>
      <c r="AR30" s="191">
        <v>2.0843527873958099</v>
      </c>
      <c r="AS30" s="97">
        <v>99.962963923157545</v>
      </c>
      <c r="AT30" s="131">
        <v>3.7036076842452241E-2</v>
      </c>
      <c r="AU30" s="131">
        <v>0</v>
      </c>
      <c r="AV30" s="131">
        <v>0</v>
      </c>
      <c r="AW30" s="131">
        <v>0</v>
      </c>
      <c r="AX30" s="191">
        <v>0</v>
      </c>
      <c r="AY30" s="97">
        <v>29.552344453818758</v>
      </c>
      <c r="AZ30" s="131">
        <v>51.464658020048326</v>
      </c>
      <c r="BA30" s="131">
        <v>15.586792695657145</v>
      </c>
      <c r="BB30" s="131">
        <v>2.4777995452660471</v>
      </c>
      <c r="BC30" s="131">
        <v>0.53874533468704855</v>
      </c>
      <c r="BD30" s="191">
        <v>0.37965995052265794</v>
      </c>
      <c r="BE30" s="97">
        <v>39.504076326303398</v>
      </c>
      <c r="BF30" s="131">
        <v>44.274470288971735</v>
      </c>
      <c r="BG30" s="131">
        <v>5.5159001388135316</v>
      </c>
      <c r="BH30" s="131">
        <v>1.5981172093547638</v>
      </c>
      <c r="BI30" s="131">
        <v>4.6773818499545508</v>
      </c>
      <c r="BJ30" s="191">
        <v>4.4300541866020264</v>
      </c>
      <c r="BK30" s="97">
        <v>38.240789536722083</v>
      </c>
      <c r="BL30" s="131">
        <v>46.840415848224985</v>
      </c>
      <c r="BM30" s="131">
        <v>0.41680640061323249</v>
      </c>
      <c r="BN30" s="131">
        <v>3.0565802711637042</v>
      </c>
      <c r="BO30" s="131">
        <v>4.2399271786518469</v>
      </c>
      <c r="BP30" s="191">
        <v>7.2054807646241557</v>
      </c>
      <c r="BQ30" s="97">
        <v>67.86164655017113</v>
      </c>
      <c r="BR30" s="131">
        <v>28.82813907404072</v>
      </c>
      <c r="BS30" s="131">
        <v>0.18465141415961089</v>
      </c>
      <c r="BT30" s="131">
        <v>3.1255629616285354</v>
      </c>
      <c r="BU30" s="131">
        <v>0</v>
      </c>
      <c r="BV30" s="191">
        <v>0</v>
      </c>
      <c r="BW30" s="97">
        <v>89.429429429429433</v>
      </c>
      <c r="BX30" s="131">
        <v>10.09009009009009</v>
      </c>
      <c r="BY30" s="131">
        <v>0</v>
      </c>
      <c r="BZ30" s="131">
        <v>0.48048048048048048</v>
      </c>
      <c r="CA30" s="131">
        <v>0</v>
      </c>
      <c r="CB30" s="191">
        <v>0</v>
      </c>
    </row>
    <row r="31" spans="1:80" s="109" customFormat="1" ht="15.75" customHeight="1" x14ac:dyDescent="0.3">
      <c r="A31" s="173"/>
      <c r="B31" s="109" t="s">
        <v>66</v>
      </c>
      <c r="C31" s="192">
        <v>12.732157349108828</v>
      </c>
      <c r="D31" s="193">
        <v>55.41026297474064</v>
      </c>
      <c r="E31" s="193">
        <v>6.4706705922493528</v>
      </c>
      <c r="F31" s="193">
        <v>0.48006767791492272</v>
      </c>
      <c r="G31" s="193">
        <v>9.3028866937688104</v>
      </c>
      <c r="H31" s="194">
        <v>15.603954712217464</v>
      </c>
      <c r="I31" s="192">
        <v>5.3424564424405832</v>
      </c>
      <c r="J31" s="193">
        <v>73.636631397693534</v>
      </c>
      <c r="K31" s="193">
        <v>1.8487889978929244</v>
      </c>
      <c r="L31" s="193">
        <v>0.80204816820354818</v>
      </c>
      <c r="M31" s="193">
        <v>1.598054542296335</v>
      </c>
      <c r="N31" s="194">
        <v>16.772020451473065</v>
      </c>
      <c r="O31" s="192">
        <v>7.331361981526527</v>
      </c>
      <c r="P31" s="193">
        <v>10.003815519626077</v>
      </c>
      <c r="Q31" s="193">
        <v>0</v>
      </c>
      <c r="R31" s="193">
        <v>0</v>
      </c>
      <c r="S31" s="193">
        <v>56.140601898221021</v>
      </c>
      <c r="T31" s="194">
        <v>26.524220600626379</v>
      </c>
      <c r="U31" s="192">
        <v>0</v>
      </c>
      <c r="V31" s="193">
        <v>82.793017456359095</v>
      </c>
      <c r="W31" s="193">
        <v>0</v>
      </c>
      <c r="X31" s="193">
        <v>0</v>
      </c>
      <c r="Y31" s="193">
        <v>17.206982543640898</v>
      </c>
      <c r="Z31" s="194">
        <v>0</v>
      </c>
      <c r="AA31" s="192">
        <v>69.525693071024605</v>
      </c>
      <c r="AB31" s="193">
        <v>25.776343638319283</v>
      </c>
      <c r="AC31" s="193">
        <v>0</v>
      </c>
      <c r="AD31" s="193">
        <v>0</v>
      </c>
      <c r="AE31" s="193">
        <v>1.8389368862981852</v>
      </c>
      <c r="AF31" s="194">
        <v>2.8590264043579339</v>
      </c>
      <c r="AG31" s="192">
        <v>0</v>
      </c>
      <c r="AH31" s="193">
        <v>100</v>
      </c>
      <c r="AI31" s="193">
        <v>0</v>
      </c>
      <c r="AJ31" s="193">
        <v>0</v>
      </c>
      <c r="AK31" s="193">
        <v>0</v>
      </c>
      <c r="AL31" s="194">
        <v>0</v>
      </c>
      <c r="AM31" s="192">
        <v>34.97504554323104</v>
      </c>
      <c r="AN31" s="193">
        <v>40.170746693399742</v>
      </c>
      <c r="AO31" s="193">
        <v>15.126820381808578</v>
      </c>
      <c r="AP31" s="193">
        <v>0</v>
      </c>
      <c r="AQ31" s="193">
        <v>0.30398085567377037</v>
      </c>
      <c r="AR31" s="194">
        <v>9.4234065258868807</v>
      </c>
      <c r="AS31" s="192" t="s">
        <v>108</v>
      </c>
      <c r="AT31" s="193" t="s">
        <v>108</v>
      </c>
      <c r="AU31" s="193" t="s">
        <v>108</v>
      </c>
      <c r="AV31" s="193" t="s">
        <v>108</v>
      </c>
      <c r="AW31" s="193" t="s">
        <v>108</v>
      </c>
      <c r="AX31" s="194" t="s">
        <v>108</v>
      </c>
      <c r="AY31" s="192">
        <v>2.4975984630163302</v>
      </c>
      <c r="AZ31" s="193">
        <v>8.5734870317002869</v>
      </c>
      <c r="BA31" s="193">
        <v>84.894332372718523</v>
      </c>
      <c r="BB31" s="193">
        <v>0</v>
      </c>
      <c r="BC31" s="193">
        <v>0.75648414985590773</v>
      </c>
      <c r="BD31" s="194">
        <v>3.2780979827089336</v>
      </c>
      <c r="BE31" s="192">
        <v>0</v>
      </c>
      <c r="BF31" s="193">
        <v>81.944766767231386</v>
      </c>
      <c r="BG31" s="193">
        <v>11.696449292179162</v>
      </c>
      <c r="BH31" s="193">
        <v>0</v>
      </c>
      <c r="BI31" s="193">
        <v>5.8714318867486668</v>
      </c>
      <c r="BJ31" s="194">
        <v>0.48735205384079838</v>
      </c>
      <c r="BK31" s="192">
        <v>2.221371122175412</v>
      </c>
      <c r="BL31" s="193">
        <v>97.778628877824588</v>
      </c>
      <c r="BM31" s="193">
        <v>0</v>
      </c>
      <c r="BN31" s="193">
        <v>0</v>
      </c>
      <c r="BO31" s="193">
        <v>0</v>
      </c>
      <c r="BP31" s="194">
        <v>0</v>
      </c>
      <c r="BQ31" s="192" t="s">
        <v>108</v>
      </c>
      <c r="BR31" s="193" t="s">
        <v>108</v>
      </c>
      <c r="BS31" s="193" t="s">
        <v>108</v>
      </c>
      <c r="BT31" s="193" t="s">
        <v>108</v>
      </c>
      <c r="BU31" s="193" t="s">
        <v>108</v>
      </c>
      <c r="BV31" s="194" t="s">
        <v>108</v>
      </c>
      <c r="BW31" s="192" t="s">
        <v>108</v>
      </c>
      <c r="BX31" s="193" t="s">
        <v>108</v>
      </c>
      <c r="BY31" s="193" t="s">
        <v>108</v>
      </c>
      <c r="BZ31" s="193" t="s">
        <v>108</v>
      </c>
      <c r="CA31" s="193" t="s">
        <v>108</v>
      </c>
      <c r="CB31" s="194" t="s">
        <v>108</v>
      </c>
    </row>
    <row r="32" spans="1:80" ht="15.75" customHeight="1" x14ac:dyDescent="0.3">
      <c r="A32" s="101"/>
      <c r="B32" s="156" t="s">
        <v>15</v>
      </c>
      <c r="C32" s="97">
        <v>9.6664769183879145</v>
      </c>
      <c r="D32" s="131">
        <v>53.445178843955318</v>
      </c>
      <c r="E32" s="131">
        <v>8.4855512469882175</v>
      </c>
      <c r="F32" s="131">
        <v>0.51564068327191759</v>
      </c>
      <c r="G32" s="131">
        <v>1.2427311431373553</v>
      </c>
      <c r="H32" s="191">
        <v>26.644421164259306</v>
      </c>
      <c r="I32" s="97">
        <v>0.12565298833056046</v>
      </c>
      <c r="J32" s="131">
        <v>76.098009330897838</v>
      </c>
      <c r="K32" s="131">
        <v>2.9633163081290506</v>
      </c>
      <c r="L32" s="131">
        <v>0.97032029877488335</v>
      </c>
      <c r="M32" s="131">
        <v>1.8149876092192065</v>
      </c>
      <c r="N32" s="191">
        <v>18.027713464648468</v>
      </c>
      <c r="O32" s="97">
        <v>0.22790872111473331</v>
      </c>
      <c r="P32" s="131">
        <v>4.1095692813662978</v>
      </c>
      <c r="Q32" s="131">
        <v>0</v>
      </c>
      <c r="R32" s="131">
        <v>0</v>
      </c>
      <c r="S32" s="131">
        <v>0</v>
      </c>
      <c r="T32" s="191">
        <v>95.662521997518965</v>
      </c>
      <c r="U32" s="97">
        <v>0</v>
      </c>
      <c r="V32" s="131">
        <v>93.521126760563376</v>
      </c>
      <c r="W32" s="131">
        <v>0</v>
      </c>
      <c r="X32" s="131">
        <v>0</v>
      </c>
      <c r="Y32" s="131">
        <v>6.4788732394366191</v>
      </c>
      <c r="Z32" s="191">
        <v>0</v>
      </c>
      <c r="AA32" s="97">
        <v>19.326027132718586</v>
      </c>
      <c r="AB32" s="131">
        <v>62.588712402838794</v>
      </c>
      <c r="AC32" s="131">
        <v>0</v>
      </c>
      <c r="AD32" s="131">
        <v>0</v>
      </c>
      <c r="AE32" s="131">
        <v>0</v>
      </c>
      <c r="AF32" s="191">
        <v>18.085260464442623</v>
      </c>
      <c r="AG32" s="97">
        <v>0</v>
      </c>
      <c r="AH32" s="131">
        <v>0</v>
      </c>
      <c r="AI32" s="131">
        <v>0</v>
      </c>
      <c r="AJ32" s="131">
        <v>0</v>
      </c>
      <c r="AK32" s="131">
        <v>0</v>
      </c>
      <c r="AL32" s="191">
        <v>100</v>
      </c>
      <c r="AM32" s="97">
        <v>37.826265109608684</v>
      </c>
      <c r="AN32" s="131">
        <v>29.372054906781393</v>
      </c>
      <c r="AO32" s="131">
        <v>7.7176808031141144</v>
      </c>
      <c r="AP32" s="131">
        <v>0</v>
      </c>
      <c r="AQ32" s="131">
        <v>0</v>
      </c>
      <c r="AR32" s="191">
        <v>25.083999180495798</v>
      </c>
      <c r="AS32" s="97" t="s">
        <v>108</v>
      </c>
      <c r="AT32" s="131" t="s">
        <v>108</v>
      </c>
      <c r="AU32" s="131" t="s">
        <v>108</v>
      </c>
      <c r="AV32" s="131" t="s">
        <v>108</v>
      </c>
      <c r="AW32" s="131" t="s">
        <v>108</v>
      </c>
      <c r="AX32" s="191" t="s">
        <v>108</v>
      </c>
      <c r="AY32" s="97">
        <v>1.5040735324838101</v>
      </c>
      <c r="AZ32" s="131">
        <v>3.4781700438688112</v>
      </c>
      <c r="BA32" s="131">
        <v>92.876540630875283</v>
      </c>
      <c r="BB32" s="131">
        <v>0</v>
      </c>
      <c r="BC32" s="131">
        <v>0</v>
      </c>
      <c r="BD32" s="191">
        <v>2.141215792772091</v>
      </c>
      <c r="BE32" s="97">
        <v>0</v>
      </c>
      <c r="BF32" s="131">
        <v>77.647684938797241</v>
      </c>
      <c r="BG32" s="131">
        <v>13.411389036721664</v>
      </c>
      <c r="BH32" s="131">
        <v>0</v>
      </c>
      <c r="BI32" s="131">
        <v>8.940926024481108</v>
      </c>
      <c r="BJ32" s="191">
        <v>0</v>
      </c>
      <c r="BK32" s="97">
        <v>0</v>
      </c>
      <c r="BL32" s="131">
        <v>96.774193548387103</v>
      </c>
      <c r="BM32" s="131">
        <v>0</v>
      </c>
      <c r="BN32" s="131">
        <v>0</v>
      </c>
      <c r="BO32" s="131">
        <v>0</v>
      </c>
      <c r="BP32" s="191">
        <v>3.225806451612903</v>
      </c>
      <c r="BQ32" s="97" t="s">
        <v>108</v>
      </c>
      <c r="BR32" s="131" t="s">
        <v>108</v>
      </c>
      <c r="BS32" s="131" t="s">
        <v>108</v>
      </c>
      <c r="BT32" s="131" t="s">
        <v>108</v>
      </c>
      <c r="BU32" s="131" t="s">
        <v>108</v>
      </c>
      <c r="BV32" s="191" t="s">
        <v>108</v>
      </c>
      <c r="BW32" s="97">
        <v>0</v>
      </c>
      <c r="BX32" s="131">
        <v>0</v>
      </c>
      <c r="BY32" s="131">
        <v>100</v>
      </c>
      <c r="BZ32" s="131">
        <v>0</v>
      </c>
      <c r="CA32" s="131">
        <v>0</v>
      </c>
      <c r="CB32" s="191">
        <v>0</v>
      </c>
    </row>
    <row r="33" spans="1:80" ht="15.75" customHeight="1" x14ac:dyDescent="0.3">
      <c r="A33" s="101"/>
      <c r="B33" s="130" t="s">
        <v>16</v>
      </c>
      <c r="C33" s="192">
        <v>7.0225967279858148</v>
      </c>
      <c r="D33" s="193">
        <v>55.821669838971843</v>
      </c>
      <c r="E33" s="193">
        <v>5.6492968304031885</v>
      </c>
      <c r="F33" s="193">
        <v>0.30505198253417815</v>
      </c>
      <c r="G33" s="193">
        <v>3.0825758416830622</v>
      </c>
      <c r="H33" s="194">
        <v>28.118808778421911</v>
      </c>
      <c r="I33" s="192">
        <v>0.44286630172116187</v>
      </c>
      <c r="J33" s="193">
        <v>66.955664052867775</v>
      </c>
      <c r="K33" s="193">
        <v>1.4193421117522316</v>
      </c>
      <c r="L33" s="193">
        <v>0.30083345662573358</v>
      </c>
      <c r="M33" s="193">
        <v>4.4917887261429206</v>
      </c>
      <c r="N33" s="194">
        <v>26.389505350890168</v>
      </c>
      <c r="O33" s="192">
        <v>0.31615807903951981</v>
      </c>
      <c r="P33" s="193">
        <v>39.103551775887951</v>
      </c>
      <c r="Q33" s="193">
        <v>0</v>
      </c>
      <c r="R33" s="193">
        <v>0</v>
      </c>
      <c r="S33" s="193">
        <v>0.14207103551775888</v>
      </c>
      <c r="T33" s="194">
        <v>60.43821910955478</v>
      </c>
      <c r="U33" s="192">
        <v>2.6984747751271025</v>
      </c>
      <c r="V33" s="193">
        <v>94.603050449745794</v>
      </c>
      <c r="W33" s="193">
        <v>0</v>
      </c>
      <c r="X33" s="193">
        <v>0</v>
      </c>
      <c r="Y33" s="193">
        <v>2.6984747751271025</v>
      </c>
      <c r="Z33" s="194">
        <v>0</v>
      </c>
      <c r="AA33" s="192">
        <v>8.0963634977510104</v>
      </c>
      <c r="AB33" s="193">
        <v>84.935579781962346</v>
      </c>
      <c r="AC33" s="193">
        <v>1.7991918883891134</v>
      </c>
      <c r="AD33" s="193">
        <v>0</v>
      </c>
      <c r="AE33" s="193">
        <v>0</v>
      </c>
      <c r="AF33" s="194">
        <v>5.1688648318975376</v>
      </c>
      <c r="AG33" s="192">
        <v>50</v>
      </c>
      <c r="AH33" s="193">
        <v>50</v>
      </c>
      <c r="AI33" s="193">
        <v>0</v>
      </c>
      <c r="AJ33" s="193">
        <v>0</v>
      </c>
      <c r="AK33" s="193">
        <v>0</v>
      </c>
      <c r="AL33" s="194">
        <v>0</v>
      </c>
      <c r="AM33" s="192">
        <v>31.266182291013202</v>
      </c>
      <c r="AN33" s="193">
        <v>29.328299476463677</v>
      </c>
      <c r="AO33" s="193">
        <v>7.4127724613050772</v>
      </c>
      <c r="AP33" s="193">
        <v>0.58969123903596321</v>
      </c>
      <c r="AQ33" s="193">
        <v>0</v>
      </c>
      <c r="AR33" s="193">
        <v>31.40305453218209</v>
      </c>
      <c r="AS33" s="192" t="s">
        <v>108</v>
      </c>
      <c r="AT33" s="193" t="s">
        <v>108</v>
      </c>
      <c r="AU33" s="193" t="s">
        <v>108</v>
      </c>
      <c r="AV33" s="193" t="s">
        <v>108</v>
      </c>
      <c r="AW33" s="193" t="s">
        <v>108</v>
      </c>
      <c r="AX33" s="194" t="s">
        <v>108</v>
      </c>
      <c r="AY33" s="193">
        <v>1.6673389807718166</v>
      </c>
      <c r="AZ33" s="193">
        <v>10.393976065617858</v>
      </c>
      <c r="BA33" s="193">
        <v>78.015328761597431</v>
      </c>
      <c r="BB33" s="193">
        <v>0</v>
      </c>
      <c r="BC33" s="193">
        <v>7.1668683608982127</v>
      </c>
      <c r="BD33" s="194">
        <v>2.7564878311146965</v>
      </c>
      <c r="BE33" s="192">
        <v>2.4871693643900521</v>
      </c>
      <c r="BF33" s="193">
        <v>65.179628898539292</v>
      </c>
      <c r="BG33" s="193">
        <v>7.876036320568498</v>
      </c>
      <c r="BH33" s="193">
        <v>0</v>
      </c>
      <c r="BI33" s="193">
        <v>0.82905645479668388</v>
      </c>
      <c r="BJ33" s="194">
        <v>23.628108961705493</v>
      </c>
      <c r="BK33" s="192">
        <v>0</v>
      </c>
      <c r="BL33" s="193">
        <v>100</v>
      </c>
      <c r="BM33" s="193">
        <v>0</v>
      </c>
      <c r="BN33" s="193">
        <v>0</v>
      </c>
      <c r="BO33" s="193">
        <v>0</v>
      </c>
      <c r="BP33" s="194">
        <v>0</v>
      </c>
      <c r="BQ33" s="192" t="s">
        <v>108</v>
      </c>
      <c r="BR33" s="193" t="s">
        <v>108</v>
      </c>
      <c r="BS33" s="193" t="s">
        <v>108</v>
      </c>
      <c r="BT33" s="193" t="s">
        <v>108</v>
      </c>
      <c r="BU33" s="193" t="s">
        <v>108</v>
      </c>
      <c r="BV33" s="194" t="s">
        <v>108</v>
      </c>
      <c r="BW33" s="192" t="s">
        <v>108</v>
      </c>
      <c r="BX33" s="193" t="s">
        <v>108</v>
      </c>
      <c r="BY33" s="193" t="s">
        <v>108</v>
      </c>
      <c r="BZ33" s="193" t="s">
        <v>108</v>
      </c>
      <c r="CA33" s="193" t="s">
        <v>108</v>
      </c>
      <c r="CB33" s="194" t="s">
        <v>108</v>
      </c>
    </row>
    <row r="34" spans="1:80" ht="15.75" customHeight="1" x14ac:dyDescent="0.3">
      <c r="A34" s="101"/>
      <c r="B34" s="148" t="s">
        <v>8</v>
      </c>
      <c r="C34" s="97">
        <v>3.8947826402985641</v>
      </c>
      <c r="D34" s="131">
        <v>58.495770125034419</v>
      </c>
      <c r="E34" s="131">
        <v>5.8712357340796508</v>
      </c>
      <c r="F34" s="131">
        <v>4.4451004182727631</v>
      </c>
      <c r="G34" s="131">
        <v>0.40057096079978877</v>
      </c>
      <c r="H34" s="191">
        <v>26.892540121514834</v>
      </c>
      <c r="I34" s="97">
        <v>3.5207244862417273</v>
      </c>
      <c r="J34" s="131">
        <v>57.733194009056085</v>
      </c>
      <c r="K34" s="131">
        <v>0.44305120167189127</v>
      </c>
      <c r="L34" s="131">
        <v>4.7816091954022983</v>
      </c>
      <c r="M34" s="131">
        <v>0</v>
      </c>
      <c r="N34" s="191">
        <v>33.521421107628001</v>
      </c>
      <c r="O34" s="97">
        <v>1.024104467599839</v>
      </c>
      <c r="P34" s="131">
        <v>55.923259246008683</v>
      </c>
      <c r="Q34" s="131">
        <v>0</v>
      </c>
      <c r="R34" s="131">
        <v>20.491033495818613</v>
      </c>
      <c r="S34" s="131">
        <v>0</v>
      </c>
      <c r="T34" s="191">
        <v>22.561602790572877</v>
      </c>
      <c r="U34" s="97">
        <v>42.759295499021519</v>
      </c>
      <c r="V34" s="131">
        <v>51.826484018264829</v>
      </c>
      <c r="W34" s="131">
        <v>5.4142204827136329</v>
      </c>
      <c r="X34" s="131">
        <v>0</v>
      </c>
      <c r="Y34" s="131">
        <v>0</v>
      </c>
      <c r="Z34" s="191">
        <v>0</v>
      </c>
      <c r="AA34" s="97">
        <v>0</v>
      </c>
      <c r="AB34" s="131">
        <v>87.499145649648</v>
      </c>
      <c r="AC34" s="131">
        <v>0</v>
      </c>
      <c r="AD34" s="131">
        <v>0</v>
      </c>
      <c r="AE34" s="131">
        <v>0.80650673228077374</v>
      </c>
      <c r="AF34" s="191">
        <v>11.694347618071218</v>
      </c>
      <c r="AG34" s="97">
        <v>40.74074074074074</v>
      </c>
      <c r="AH34" s="131">
        <v>59.259259259259252</v>
      </c>
      <c r="AI34" s="131">
        <v>0</v>
      </c>
      <c r="AJ34" s="131">
        <v>0</v>
      </c>
      <c r="AK34" s="131">
        <v>0</v>
      </c>
      <c r="AL34" s="191">
        <v>0</v>
      </c>
      <c r="AM34" s="97">
        <v>4.5379167118701869</v>
      </c>
      <c r="AN34" s="131">
        <v>53.129891666537517</v>
      </c>
      <c r="AO34" s="131">
        <v>20.510515630085401</v>
      </c>
      <c r="AP34" s="131">
        <v>0</v>
      </c>
      <c r="AQ34" s="131">
        <v>0.5098956961083646</v>
      </c>
      <c r="AR34" s="131">
        <v>21.311780295398545</v>
      </c>
      <c r="AS34" s="97" t="s">
        <v>108</v>
      </c>
      <c r="AT34" s="131" t="s">
        <v>108</v>
      </c>
      <c r="AU34" s="131" t="s">
        <v>108</v>
      </c>
      <c r="AV34" s="131" t="s">
        <v>108</v>
      </c>
      <c r="AW34" s="131" t="s">
        <v>108</v>
      </c>
      <c r="AX34" s="191" t="s">
        <v>108</v>
      </c>
      <c r="AY34" s="131">
        <v>0</v>
      </c>
      <c r="AZ34" s="131">
        <v>27.022058823529417</v>
      </c>
      <c r="BA34" s="131">
        <v>31.832107843137258</v>
      </c>
      <c r="BB34" s="131">
        <v>0</v>
      </c>
      <c r="BC34" s="131">
        <v>0</v>
      </c>
      <c r="BD34" s="191">
        <v>41.145833333333336</v>
      </c>
      <c r="BE34" s="97">
        <v>10.53008595988539</v>
      </c>
      <c r="BF34" s="131">
        <v>48.531518624641848</v>
      </c>
      <c r="BG34" s="131">
        <v>17.568051575931236</v>
      </c>
      <c r="BH34" s="131">
        <v>17.299426934097429</v>
      </c>
      <c r="BI34" s="131">
        <v>6.0709169054441281</v>
      </c>
      <c r="BJ34" s="191">
        <v>0</v>
      </c>
      <c r="BK34" s="97">
        <v>0</v>
      </c>
      <c r="BL34" s="131">
        <v>100</v>
      </c>
      <c r="BM34" s="131">
        <v>0</v>
      </c>
      <c r="BN34" s="131">
        <v>0</v>
      </c>
      <c r="BO34" s="131">
        <v>0</v>
      </c>
      <c r="BP34" s="191">
        <v>0</v>
      </c>
      <c r="BQ34" s="97" t="s">
        <v>108</v>
      </c>
      <c r="BR34" s="131" t="s">
        <v>108</v>
      </c>
      <c r="BS34" s="131" t="s">
        <v>108</v>
      </c>
      <c r="BT34" s="131" t="s">
        <v>108</v>
      </c>
      <c r="BU34" s="131" t="s">
        <v>108</v>
      </c>
      <c r="BV34" s="191" t="s">
        <v>108</v>
      </c>
      <c r="BW34" s="97" t="s">
        <v>108</v>
      </c>
      <c r="BX34" s="131" t="s">
        <v>108</v>
      </c>
      <c r="BY34" s="131" t="s">
        <v>108</v>
      </c>
      <c r="BZ34" s="131" t="s">
        <v>108</v>
      </c>
      <c r="CA34" s="131" t="s">
        <v>108</v>
      </c>
      <c r="CB34" s="191" t="s">
        <v>108</v>
      </c>
    </row>
    <row r="35" spans="1:80" ht="15.75" customHeight="1" x14ac:dyDescent="0.3">
      <c r="A35" s="101"/>
      <c r="B35" s="130" t="s">
        <v>9</v>
      </c>
      <c r="C35" s="192">
        <v>1.6384319453242417</v>
      </c>
      <c r="D35" s="193">
        <v>77.046024562340548</v>
      </c>
      <c r="E35" s="193">
        <v>5.0627241919924026</v>
      </c>
      <c r="F35" s="193">
        <v>0.17793063600685832</v>
      </c>
      <c r="G35" s="193">
        <v>1.8952455636759598</v>
      </c>
      <c r="H35" s="194">
        <v>14.179643100659961</v>
      </c>
      <c r="I35" s="192">
        <v>1.5712812580562003</v>
      </c>
      <c r="J35" s="193">
        <v>71.885795308069106</v>
      </c>
      <c r="K35" s="193">
        <v>2.2119102861562259</v>
      </c>
      <c r="L35" s="193">
        <v>0</v>
      </c>
      <c r="M35" s="193">
        <v>3.7896365042536742</v>
      </c>
      <c r="N35" s="194">
        <v>20.541376643464815</v>
      </c>
      <c r="O35" s="192">
        <v>11.022443890274312</v>
      </c>
      <c r="P35" s="193">
        <v>38.379052369077307</v>
      </c>
      <c r="Q35" s="193">
        <v>0</v>
      </c>
      <c r="R35" s="193">
        <v>0</v>
      </c>
      <c r="S35" s="193">
        <v>23.640897755610972</v>
      </c>
      <c r="T35" s="194">
        <v>26.957605985037404</v>
      </c>
      <c r="U35" s="192">
        <v>0.69698289740335984</v>
      </c>
      <c r="V35" s="193">
        <v>99.198217137950834</v>
      </c>
      <c r="W35" s="193">
        <v>0.10479996464579505</v>
      </c>
      <c r="X35" s="193">
        <v>0</v>
      </c>
      <c r="Y35" s="193">
        <v>0</v>
      </c>
      <c r="Z35" s="194">
        <v>0</v>
      </c>
      <c r="AA35" s="192">
        <v>0</v>
      </c>
      <c r="AB35" s="193">
        <v>88.000116221634656</v>
      </c>
      <c r="AC35" s="193">
        <v>0.34285382223900984</v>
      </c>
      <c r="AD35" s="193">
        <v>0</v>
      </c>
      <c r="AE35" s="193">
        <v>0.68570764447801968</v>
      </c>
      <c r="AF35" s="194">
        <v>10.971322311648315</v>
      </c>
      <c r="AG35" s="192">
        <v>57.142857142857139</v>
      </c>
      <c r="AH35" s="193">
        <v>17.142857142857142</v>
      </c>
      <c r="AI35" s="193">
        <v>0</v>
      </c>
      <c r="AJ35" s="193">
        <v>0</v>
      </c>
      <c r="AK35" s="193">
        <v>0</v>
      </c>
      <c r="AL35" s="194">
        <v>25.714285714285712</v>
      </c>
      <c r="AM35" s="192">
        <v>2.4698532616591597</v>
      </c>
      <c r="AN35" s="193">
        <v>67.39793694609908</v>
      </c>
      <c r="AO35" s="193">
        <v>1.8538428011041694</v>
      </c>
      <c r="AP35" s="193">
        <v>0</v>
      </c>
      <c r="AQ35" s="193">
        <v>6.8284178410576768E-2</v>
      </c>
      <c r="AR35" s="193">
        <v>28.210082812727006</v>
      </c>
      <c r="AS35" s="192" t="s">
        <v>108</v>
      </c>
      <c r="AT35" s="193" t="s">
        <v>108</v>
      </c>
      <c r="AU35" s="193" t="s">
        <v>108</v>
      </c>
      <c r="AV35" s="193" t="s">
        <v>108</v>
      </c>
      <c r="AW35" s="193" t="s">
        <v>108</v>
      </c>
      <c r="AX35" s="194" t="s">
        <v>108</v>
      </c>
      <c r="AY35" s="193">
        <v>0</v>
      </c>
      <c r="AZ35" s="193">
        <v>45.310036784025229</v>
      </c>
      <c r="BA35" s="193">
        <v>49.211770888071463</v>
      </c>
      <c r="BB35" s="193">
        <v>2.1676300578034682</v>
      </c>
      <c r="BC35" s="193">
        <v>0</v>
      </c>
      <c r="BD35" s="194">
        <v>3.3105622700998421</v>
      </c>
      <c r="BE35" s="192">
        <v>4.1686127977580574</v>
      </c>
      <c r="BF35" s="193">
        <v>88.626809901914982</v>
      </c>
      <c r="BG35" s="193">
        <v>4.9976646426903315</v>
      </c>
      <c r="BH35" s="193">
        <v>0.49042503503035972</v>
      </c>
      <c r="BI35" s="193">
        <v>1.7164876226062591</v>
      </c>
      <c r="BJ35" s="194">
        <v>0</v>
      </c>
      <c r="BK35" s="192">
        <v>0</v>
      </c>
      <c r="BL35" s="193">
        <v>98.685403445149589</v>
      </c>
      <c r="BM35" s="193">
        <v>0</v>
      </c>
      <c r="BN35" s="193">
        <v>0</v>
      </c>
      <c r="BO35" s="193">
        <v>0</v>
      </c>
      <c r="BP35" s="194">
        <v>1.3145965548504079</v>
      </c>
      <c r="BQ35" s="192">
        <v>0</v>
      </c>
      <c r="BR35" s="193">
        <v>100</v>
      </c>
      <c r="BS35" s="193">
        <v>0</v>
      </c>
      <c r="BT35" s="193">
        <v>0</v>
      </c>
      <c r="BU35" s="193">
        <v>0</v>
      </c>
      <c r="BV35" s="194">
        <v>0</v>
      </c>
      <c r="BW35" s="192" t="s">
        <v>108</v>
      </c>
      <c r="BX35" s="193" t="s">
        <v>108</v>
      </c>
      <c r="BY35" s="193" t="s">
        <v>108</v>
      </c>
      <c r="BZ35" s="193" t="s">
        <v>108</v>
      </c>
      <c r="CA35" s="193" t="s">
        <v>108</v>
      </c>
      <c r="CB35" s="194" t="s">
        <v>108</v>
      </c>
    </row>
    <row r="36" spans="1:80" ht="15.75" customHeight="1" x14ac:dyDescent="0.3">
      <c r="A36" s="101"/>
      <c r="B36" s="148" t="s">
        <v>10</v>
      </c>
      <c r="C36" s="97">
        <v>24.204254675112789</v>
      </c>
      <c r="D36" s="131">
        <v>63.061983043012837</v>
      </c>
      <c r="E36" s="131">
        <v>3.3461028337428389</v>
      </c>
      <c r="F36" s="131">
        <v>0.70725853931301108</v>
      </c>
      <c r="G36" s="131">
        <v>1.7050904513990421</v>
      </c>
      <c r="H36" s="191">
        <v>6.9753104574194449</v>
      </c>
      <c r="I36" s="97">
        <v>10.658536382743636</v>
      </c>
      <c r="J36" s="131">
        <v>73.278891445756102</v>
      </c>
      <c r="K36" s="131">
        <v>0.95868674868949022</v>
      </c>
      <c r="L36" s="131">
        <v>1.7196547398502984</v>
      </c>
      <c r="M36" s="131">
        <v>1.6349181294808632</v>
      </c>
      <c r="N36" s="191">
        <v>11.7493125534796</v>
      </c>
      <c r="O36" s="97">
        <v>46.831762112471282</v>
      </c>
      <c r="P36" s="131">
        <v>53.02552145101744</v>
      </c>
      <c r="Q36" s="131">
        <v>0</v>
      </c>
      <c r="R36" s="131">
        <v>0.14271643651128665</v>
      </c>
      <c r="S36" s="131">
        <v>0</v>
      </c>
      <c r="T36" s="191">
        <v>0</v>
      </c>
      <c r="U36" s="97">
        <v>40.587832368142472</v>
      </c>
      <c r="V36" s="131">
        <v>55.974842767295598</v>
      </c>
      <c r="W36" s="131">
        <v>0.85933121614048191</v>
      </c>
      <c r="X36" s="131">
        <v>0</v>
      </c>
      <c r="Y36" s="131">
        <v>0</v>
      </c>
      <c r="Z36" s="191">
        <v>2.5779936484214456</v>
      </c>
      <c r="AA36" s="97">
        <v>20.79230845562698</v>
      </c>
      <c r="AB36" s="131">
        <v>76.134822540988125</v>
      </c>
      <c r="AC36" s="131">
        <v>1.4465748591463887</v>
      </c>
      <c r="AD36" s="131">
        <v>0</v>
      </c>
      <c r="AE36" s="131">
        <v>0</v>
      </c>
      <c r="AF36" s="191">
        <v>1.6262941442385086</v>
      </c>
      <c r="AG36" s="97">
        <v>81.168734120460329</v>
      </c>
      <c r="AH36" s="131">
        <v>18.831265879539682</v>
      </c>
      <c r="AI36" s="131">
        <v>0</v>
      </c>
      <c r="AJ36" s="131">
        <v>0</v>
      </c>
      <c r="AK36" s="131">
        <v>0</v>
      </c>
      <c r="AL36" s="191">
        <v>0</v>
      </c>
      <c r="AM36" s="97">
        <v>45.404518309639002</v>
      </c>
      <c r="AN36" s="131">
        <v>40.227804080675718</v>
      </c>
      <c r="AO36" s="131">
        <v>1.5115302208358021</v>
      </c>
      <c r="AP36" s="131">
        <v>0</v>
      </c>
      <c r="AQ36" s="131">
        <v>0.15304162080845046</v>
      </c>
      <c r="AR36" s="131">
        <v>12.703105768040999</v>
      </c>
      <c r="AS36" s="97">
        <v>100</v>
      </c>
      <c r="AT36" s="131">
        <v>0</v>
      </c>
      <c r="AU36" s="131">
        <v>0</v>
      </c>
      <c r="AV36" s="131">
        <v>0</v>
      </c>
      <c r="AW36" s="131">
        <v>0</v>
      </c>
      <c r="AX36" s="191">
        <v>0</v>
      </c>
      <c r="AY36" s="131">
        <v>15.661979406792693</v>
      </c>
      <c r="AZ36" s="131">
        <v>66.566774243122808</v>
      </c>
      <c r="BA36" s="131">
        <v>17.771246350084532</v>
      </c>
      <c r="BB36" s="131">
        <v>0</v>
      </c>
      <c r="BC36" s="131">
        <v>0</v>
      </c>
      <c r="BD36" s="191">
        <v>0</v>
      </c>
      <c r="BE36" s="97">
        <v>17.742072962836687</v>
      </c>
      <c r="BF36" s="131">
        <v>51.862427548585067</v>
      </c>
      <c r="BG36" s="131">
        <v>4.2661097852028638</v>
      </c>
      <c r="BH36" s="131">
        <v>0.53699284009546544</v>
      </c>
      <c r="BI36" s="131">
        <v>19.327480395499485</v>
      </c>
      <c r="BJ36" s="191">
        <v>6.2649164677804308</v>
      </c>
      <c r="BK36" s="97">
        <v>11.632571199358201</v>
      </c>
      <c r="BL36" s="131">
        <v>66.606498194945843</v>
      </c>
      <c r="BM36" s="131">
        <v>0</v>
      </c>
      <c r="BN36" s="131">
        <v>7.5611712795828314</v>
      </c>
      <c r="BO36" s="131">
        <v>0</v>
      </c>
      <c r="BP36" s="191">
        <v>14.199759326113115</v>
      </c>
      <c r="BQ36" s="97">
        <v>35.820895522388057</v>
      </c>
      <c r="BR36" s="131">
        <v>64.179104477611943</v>
      </c>
      <c r="BS36" s="131">
        <v>0</v>
      </c>
      <c r="BT36" s="131">
        <v>0</v>
      </c>
      <c r="BU36" s="131">
        <v>0</v>
      </c>
      <c r="BV36" s="191">
        <v>0</v>
      </c>
      <c r="BW36" s="97">
        <v>100</v>
      </c>
      <c r="BX36" s="131">
        <v>0</v>
      </c>
      <c r="BY36" s="131">
        <v>0</v>
      </c>
      <c r="BZ36" s="131">
        <v>0</v>
      </c>
      <c r="CA36" s="131">
        <v>0</v>
      </c>
      <c r="CB36" s="191">
        <v>0</v>
      </c>
    </row>
    <row r="37" spans="1:80" ht="15.75" customHeight="1" x14ac:dyDescent="0.3">
      <c r="A37" s="101"/>
      <c r="B37" s="130" t="s">
        <v>11</v>
      </c>
      <c r="C37" s="192">
        <v>45.367850036711452</v>
      </c>
      <c r="D37" s="193">
        <v>48.169824913306478</v>
      </c>
      <c r="E37" s="193">
        <v>2.1881938330439135</v>
      </c>
      <c r="F37" s="193">
        <v>0.30158108854519605</v>
      </c>
      <c r="G37" s="193">
        <v>0.37186921825205577</v>
      </c>
      <c r="H37" s="194">
        <v>3.6006809101409134</v>
      </c>
      <c r="I37" s="192">
        <v>19.385338762159492</v>
      </c>
      <c r="J37" s="193">
        <v>70.973383987234328</v>
      </c>
      <c r="K37" s="193">
        <v>1.8166124351919679</v>
      </c>
      <c r="L37" s="193">
        <v>0.8870111359080507</v>
      </c>
      <c r="M37" s="193">
        <v>0.95913047922451844</v>
      </c>
      <c r="N37" s="194">
        <v>5.9785232002816633</v>
      </c>
      <c r="O37" s="192">
        <v>65.197334700153732</v>
      </c>
      <c r="P37" s="193">
        <v>34.763160855596261</v>
      </c>
      <c r="Q37" s="193">
        <v>3.9504444249978121E-2</v>
      </c>
      <c r="R37" s="193">
        <v>0</v>
      </c>
      <c r="S37" s="193">
        <v>0</v>
      </c>
      <c r="T37" s="194">
        <v>0</v>
      </c>
      <c r="U37" s="192">
        <v>51.137768807652421</v>
      </c>
      <c r="V37" s="193">
        <v>37.584035703625801</v>
      </c>
      <c r="W37" s="193">
        <v>0.58842759071592032</v>
      </c>
      <c r="X37" s="193">
        <v>9.8071265119320059E-2</v>
      </c>
      <c r="Y37" s="193">
        <v>0</v>
      </c>
      <c r="Z37" s="194">
        <v>10.591696632886565</v>
      </c>
      <c r="AA37" s="192">
        <v>58.070183801747454</v>
      </c>
      <c r="AB37" s="193">
        <v>39.231242438068783</v>
      </c>
      <c r="AC37" s="193">
        <v>1.680706605013518</v>
      </c>
      <c r="AD37" s="193">
        <v>1.3392988883819228E-2</v>
      </c>
      <c r="AE37" s="193">
        <v>0</v>
      </c>
      <c r="AF37" s="194">
        <v>1.004474166286442</v>
      </c>
      <c r="AG37" s="192">
        <v>72.495318352059925</v>
      </c>
      <c r="AH37" s="193">
        <v>25.749063670411985</v>
      </c>
      <c r="AI37" s="193">
        <v>0</v>
      </c>
      <c r="AJ37" s="193">
        <v>0</v>
      </c>
      <c r="AK37" s="193">
        <v>0</v>
      </c>
      <c r="AL37" s="194">
        <v>1.75561797752809</v>
      </c>
      <c r="AM37" s="192">
        <v>46.711160209188328</v>
      </c>
      <c r="AN37" s="193">
        <v>45.518305887380947</v>
      </c>
      <c r="AO37" s="193">
        <v>2.6219136420788316</v>
      </c>
      <c r="AP37" s="193">
        <v>0</v>
      </c>
      <c r="AQ37" s="193">
        <v>0</v>
      </c>
      <c r="AR37" s="193">
        <v>5.1486202613518621</v>
      </c>
      <c r="AS37" s="192">
        <v>99.899801272523831</v>
      </c>
      <c r="AT37" s="193">
        <v>0.10019872747616106</v>
      </c>
      <c r="AU37" s="193">
        <v>0</v>
      </c>
      <c r="AV37" s="193">
        <v>0</v>
      </c>
      <c r="AW37" s="193">
        <v>0</v>
      </c>
      <c r="AX37" s="194">
        <v>0</v>
      </c>
      <c r="AY37" s="193">
        <v>54.763569546977145</v>
      </c>
      <c r="AZ37" s="193">
        <v>38.945981983153942</v>
      </c>
      <c r="BA37" s="193">
        <v>6.2904484698689407</v>
      </c>
      <c r="BB37" s="193">
        <v>0</v>
      </c>
      <c r="BC37" s="193">
        <v>0</v>
      </c>
      <c r="BD37" s="194">
        <v>0</v>
      </c>
      <c r="BE37" s="192">
        <v>22.833550104352561</v>
      </c>
      <c r="BF37" s="193">
        <v>55.754514382505057</v>
      </c>
      <c r="BG37" s="193">
        <v>7.9776776262061038</v>
      </c>
      <c r="BH37" s="193">
        <v>0.47639212365022232</v>
      </c>
      <c r="BI37" s="193">
        <v>1.3021384713106079</v>
      </c>
      <c r="BJ37" s="194">
        <v>11.65572729197544</v>
      </c>
      <c r="BK37" s="192">
        <v>45.978279807189729</v>
      </c>
      <c r="BL37" s="193">
        <v>51.663859689877469</v>
      </c>
      <c r="BM37" s="193">
        <v>0.16841860735234332</v>
      </c>
      <c r="BN37" s="193">
        <v>0.5052558220570299</v>
      </c>
      <c r="BO37" s="193">
        <v>1.6841860735234331</v>
      </c>
      <c r="BP37" s="194">
        <v>0</v>
      </c>
      <c r="BQ37" s="192">
        <v>29.648325761399967</v>
      </c>
      <c r="BR37" s="193">
        <v>70.35167423860004</v>
      </c>
      <c r="BS37" s="193">
        <v>0</v>
      </c>
      <c r="BT37" s="193">
        <v>0</v>
      </c>
      <c r="BU37" s="193">
        <v>0</v>
      </c>
      <c r="BV37" s="194">
        <v>0</v>
      </c>
      <c r="BW37" s="192">
        <v>79.899497487437188</v>
      </c>
      <c r="BX37" s="193">
        <v>16.08040201005025</v>
      </c>
      <c r="BY37" s="193">
        <v>0</v>
      </c>
      <c r="BZ37" s="193">
        <v>0</v>
      </c>
      <c r="CA37" s="193">
        <v>0</v>
      </c>
      <c r="CB37" s="194">
        <v>4.0201005025125625</v>
      </c>
    </row>
    <row r="38" spans="1:80" ht="15.75" customHeight="1" x14ac:dyDescent="0.3">
      <c r="A38" s="101"/>
      <c r="B38" s="148" t="s">
        <v>12</v>
      </c>
      <c r="C38" s="97">
        <v>41.265684627569584</v>
      </c>
      <c r="D38" s="131">
        <v>49.967173876741647</v>
      </c>
      <c r="E38" s="131">
        <v>2.8999991004412871</v>
      </c>
      <c r="F38" s="131">
        <v>2.0409599227249902</v>
      </c>
      <c r="G38" s="131">
        <v>0.53667044651666795</v>
      </c>
      <c r="H38" s="191">
        <v>3.2895120260057267</v>
      </c>
      <c r="I38" s="97">
        <v>20.488323203127031</v>
      </c>
      <c r="J38" s="131">
        <v>69.185574098381167</v>
      </c>
      <c r="K38" s="131">
        <v>3.980584152363182</v>
      </c>
      <c r="L38" s="131">
        <v>1.2891049593038593</v>
      </c>
      <c r="M38" s="131">
        <v>0.91286193191952558</v>
      </c>
      <c r="N38" s="191">
        <v>4.143551654905262</v>
      </c>
      <c r="O38" s="97">
        <v>72.56224506777248</v>
      </c>
      <c r="P38" s="131">
        <v>22.119768193514712</v>
      </c>
      <c r="Q38" s="131">
        <v>3.5774003394001969E-2</v>
      </c>
      <c r="R38" s="131">
        <v>5.2822127353187911</v>
      </c>
      <c r="S38" s="131">
        <v>0</v>
      </c>
      <c r="T38" s="191">
        <v>0</v>
      </c>
      <c r="U38" s="97">
        <v>55.571330813555605</v>
      </c>
      <c r="V38" s="131">
        <v>41.825112078944493</v>
      </c>
      <c r="W38" s="131">
        <v>0.44128086567794156</v>
      </c>
      <c r="X38" s="131">
        <v>4.4128086567794156E-2</v>
      </c>
      <c r="Y38" s="131">
        <v>0</v>
      </c>
      <c r="Z38" s="191">
        <v>2.1181481552541195</v>
      </c>
      <c r="AA38" s="97">
        <v>51.28919572968428</v>
      </c>
      <c r="AB38" s="131">
        <v>37.356318873632851</v>
      </c>
      <c r="AC38" s="131">
        <v>1.0240639549783372</v>
      </c>
      <c r="AD38" s="131">
        <v>3.0443285191663706E-2</v>
      </c>
      <c r="AE38" s="131">
        <v>0</v>
      </c>
      <c r="AF38" s="191">
        <v>10.299978156512887</v>
      </c>
      <c r="AG38" s="97">
        <v>82.250277883769925</v>
      </c>
      <c r="AH38" s="131">
        <v>16.34951971730511</v>
      </c>
      <c r="AI38" s="131">
        <v>0</v>
      </c>
      <c r="AJ38" s="131">
        <v>1.1015810342253269</v>
      </c>
      <c r="AK38" s="131">
        <v>0</v>
      </c>
      <c r="AL38" s="191">
        <v>0.29862136469963674</v>
      </c>
      <c r="AM38" s="97">
        <v>54.131634881139782</v>
      </c>
      <c r="AN38" s="131">
        <v>41.25589706760681</v>
      </c>
      <c r="AO38" s="131">
        <v>0.48893370378161927</v>
      </c>
      <c r="AP38" s="131">
        <v>2.9207864530060235</v>
      </c>
      <c r="AQ38" s="131">
        <v>6.8189566996249576E-2</v>
      </c>
      <c r="AR38" s="131">
        <v>1.1345583274695143</v>
      </c>
      <c r="AS38" s="97">
        <v>100</v>
      </c>
      <c r="AT38" s="131">
        <v>0</v>
      </c>
      <c r="AU38" s="131">
        <v>0</v>
      </c>
      <c r="AV38" s="131">
        <v>0</v>
      </c>
      <c r="AW38" s="131">
        <v>0</v>
      </c>
      <c r="AX38" s="191">
        <v>0</v>
      </c>
      <c r="AY38" s="131">
        <v>37.38483167223157</v>
      </c>
      <c r="AZ38" s="131">
        <v>48.543920869630711</v>
      </c>
      <c r="BA38" s="131">
        <v>8.9253884969748682</v>
      </c>
      <c r="BB38" s="131">
        <v>3.0106946501644365</v>
      </c>
      <c r="BC38" s="131">
        <v>0</v>
      </c>
      <c r="BD38" s="191">
        <v>2.1351643109984186</v>
      </c>
      <c r="BE38" s="97">
        <v>16.689410983660974</v>
      </c>
      <c r="BF38" s="131">
        <v>64.930722039857883</v>
      </c>
      <c r="BG38" s="131">
        <v>10.121835773737077</v>
      </c>
      <c r="BH38" s="131">
        <v>0.64544683362224775</v>
      </c>
      <c r="BI38" s="131">
        <v>3.9980821008372365</v>
      </c>
      <c r="BJ38" s="191">
        <v>3.6145022682845869</v>
      </c>
      <c r="BK38" s="97">
        <v>32.932543042619251</v>
      </c>
      <c r="BL38" s="131">
        <v>65.069150437482364</v>
      </c>
      <c r="BM38" s="131">
        <v>0</v>
      </c>
      <c r="BN38" s="131">
        <v>0.33305108664973182</v>
      </c>
      <c r="BO38" s="131">
        <v>0.66610217329946364</v>
      </c>
      <c r="BP38" s="191">
        <v>0.99915325994919557</v>
      </c>
      <c r="BQ38" s="97">
        <v>26.967487085992097</v>
      </c>
      <c r="BR38" s="131">
        <v>73.032512914007896</v>
      </c>
      <c r="BS38" s="131">
        <v>0</v>
      </c>
      <c r="BT38" s="131">
        <v>0</v>
      </c>
      <c r="BU38" s="131">
        <v>0</v>
      </c>
      <c r="BV38" s="191">
        <v>0</v>
      </c>
      <c r="BW38" s="97">
        <v>51.951219512195124</v>
      </c>
      <c r="BX38" s="131">
        <v>46.09756097560976</v>
      </c>
      <c r="BY38" s="131">
        <v>0</v>
      </c>
      <c r="BZ38" s="131">
        <v>0</v>
      </c>
      <c r="CA38" s="131">
        <v>0</v>
      </c>
      <c r="CB38" s="191">
        <v>1.9512195121951219</v>
      </c>
    </row>
    <row r="39" spans="1:80" ht="15.75" customHeight="1" x14ac:dyDescent="0.3">
      <c r="A39" s="101"/>
      <c r="B39" s="130" t="s">
        <v>13</v>
      </c>
      <c r="C39" s="192">
        <v>52.91068168600156</v>
      </c>
      <c r="D39" s="193">
        <v>39.336412518027466</v>
      </c>
      <c r="E39" s="193">
        <v>1.6265950733484518</v>
      </c>
      <c r="F39" s="193">
        <v>1.5083963802277416</v>
      </c>
      <c r="G39" s="193">
        <v>0.75930603942415809</v>
      </c>
      <c r="H39" s="194">
        <v>3.8586083029705835</v>
      </c>
      <c r="I39" s="192">
        <v>26.5428206384959</v>
      </c>
      <c r="J39" s="193">
        <v>61.888089744083985</v>
      </c>
      <c r="K39" s="193">
        <v>1.9960568995996324</v>
      </c>
      <c r="L39" s="193">
        <v>1.1240038990434127</v>
      </c>
      <c r="M39" s="193">
        <v>1.6628759300154752</v>
      </c>
      <c r="N39" s="194">
        <v>6.786152888761614</v>
      </c>
      <c r="O39" s="192">
        <v>78.497194444368162</v>
      </c>
      <c r="P39" s="193">
        <v>20.230418100571551</v>
      </c>
      <c r="Q39" s="193">
        <v>0</v>
      </c>
      <c r="R39" s="193">
        <v>0.95063430550482164</v>
      </c>
      <c r="S39" s="193">
        <v>0</v>
      </c>
      <c r="T39" s="194">
        <v>0.32175314955547807</v>
      </c>
      <c r="U39" s="192">
        <v>56.170267906313789</v>
      </c>
      <c r="V39" s="193">
        <v>36.658783893226207</v>
      </c>
      <c r="W39" s="193">
        <v>0.82283196734588093</v>
      </c>
      <c r="X39" s="193">
        <v>0.13411513168550973</v>
      </c>
      <c r="Y39" s="193">
        <v>0</v>
      </c>
      <c r="Z39" s="194">
        <v>6.2140011014286181</v>
      </c>
      <c r="AA39" s="192">
        <v>61.64758829860093</v>
      </c>
      <c r="AB39" s="193">
        <v>29.228249240179139</v>
      </c>
      <c r="AC39" s="193">
        <v>0.17689702730936624</v>
      </c>
      <c r="AD39" s="193">
        <v>3.7241479433550786E-2</v>
      </c>
      <c r="AE39" s="193">
        <v>0</v>
      </c>
      <c r="AF39" s="194">
        <v>8.9100239544770261</v>
      </c>
      <c r="AG39" s="192">
        <v>76.129264344385163</v>
      </c>
      <c r="AH39" s="193">
        <v>22.521733916901493</v>
      </c>
      <c r="AI39" s="193">
        <v>0.37772048683973869</v>
      </c>
      <c r="AJ39" s="193">
        <v>0</v>
      </c>
      <c r="AK39" s="193">
        <v>0</v>
      </c>
      <c r="AL39" s="194">
        <v>0.97128125187361369</v>
      </c>
      <c r="AM39" s="192">
        <v>66.951862926980482</v>
      </c>
      <c r="AN39" s="193">
        <v>25.906827897791928</v>
      </c>
      <c r="AO39" s="193">
        <v>1.7636557469929512</v>
      </c>
      <c r="AP39" s="193">
        <v>4.1244938041727925</v>
      </c>
      <c r="AQ39" s="193">
        <v>0.22837728705275709</v>
      </c>
      <c r="AR39" s="193">
        <v>1.0247823370090736</v>
      </c>
      <c r="AS39" s="192">
        <v>99.753984753984753</v>
      </c>
      <c r="AT39" s="193">
        <v>0.24601524601524596</v>
      </c>
      <c r="AU39" s="193">
        <v>0</v>
      </c>
      <c r="AV39" s="193">
        <v>0</v>
      </c>
      <c r="AW39" s="193">
        <v>0</v>
      </c>
      <c r="AX39" s="194">
        <v>0</v>
      </c>
      <c r="AY39" s="193">
        <v>59.475090742291904</v>
      </c>
      <c r="AZ39" s="193">
        <v>32.662571629904406</v>
      </c>
      <c r="BA39" s="193">
        <v>6.0288779865182889</v>
      </c>
      <c r="BB39" s="193">
        <v>1.6659354101019774</v>
      </c>
      <c r="BC39" s="193">
        <v>9.7722468190339445E-2</v>
      </c>
      <c r="BD39" s="194">
        <v>6.9801762993099606E-2</v>
      </c>
      <c r="BE39" s="192">
        <v>34.720352466038428</v>
      </c>
      <c r="BF39" s="193">
        <v>53.053481825969897</v>
      </c>
      <c r="BG39" s="193">
        <v>3.9619051857455965</v>
      </c>
      <c r="BH39" s="193">
        <v>0.42055606857956629</v>
      </c>
      <c r="BI39" s="193">
        <v>3.030673891033699</v>
      </c>
      <c r="BJ39" s="194">
        <v>4.8130305626328145</v>
      </c>
      <c r="BK39" s="192">
        <v>30.191073294521576</v>
      </c>
      <c r="BL39" s="193">
        <v>68.077324973876699</v>
      </c>
      <c r="BM39" s="193">
        <v>0</v>
      </c>
      <c r="BN39" s="193">
        <v>1.731601731601732</v>
      </c>
      <c r="BO39" s="193">
        <v>0</v>
      </c>
      <c r="BP39" s="194">
        <v>0</v>
      </c>
      <c r="BQ39" s="192">
        <v>30.473771922863264</v>
      </c>
      <c r="BR39" s="193">
        <v>69.526228077136736</v>
      </c>
      <c r="BS39" s="193">
        <v>0</v>
      </c>
      <c r="BT39" s="193">
        <v>0</v>
      </c>
      <c r="BU39" s="193">
        <v>0</v>
      </c>
      <c r="BV39" s="194">
        <v>0</v>
      </c>
      <c r="BW39" s="192">
        <v>82.149712092130528</v>
      </c>
      <c r="BX39" s="193">
        <v>14.011516314779271</v>
      </c>
      <c r="BY39" s="193">
        <v>0</v>
      </c>
      <c r="BZ39" s="193">
        <v>0</v>
      </c>
      <c r="CA39" s="193">
        <v>0</v>
      </c>
      <c r="CB39" s="194">
        <v>3.8387715930902107</v>
      </c>
    </row>
    <row r="40" spans="1:80" ht="15.75" customHeight="1" x14ac:dyDescent="0.3">
      <c r="A40" s="148" t="s">
        <v>124</v>
      </c>
      <c r="B40" s="148" t="s">
        <v>54</v>
      </c>
      <c r="C40" s="97">
        <v>56.147858884838463</v>
      </c>
      <c r="D40" s="131">
        <v>35.415098380702709</v>
      </c>
      <c r="E40" s="131">
        <v>1.5112711227898119</v>
      </c>
      <c r="F40" s="131">
        <v>1.3850212248128939</v>
      </c>
      <c r="G40" s="131">
        <v>0.49244702059774526</v>
      </c>
      <c r="H40" s="191">
        <v>5.0483033662584171</v>
      </c>
      <c r="I40" s="97">
        <v>28.442622644541011</v>
      </c>
      <c r="J40" s="131">
        <v>54.793496822022028</v>
      </c>
      <c r="K40" s="131">
        <v>1.096878818337736</v>
      </c>
      <c r="L40" s="131">
        <v>0.60215302870082155</v>
      </c>
      <c r="M40" s="131">
        <v>1.4897822683401647</v>
      </c>
      <c r="N40" s="191">
        <v>13.575066418058238</v>
      </c>
      <c r="O40" s="97">
        <v>80.059945765761682</v>
      </c>
      <c r="P40" s="131">
        <v>19.563245057380634</v>
      </c>
      <c r="Q40" s="131">
        <v>0.16597547075874861</v>
      </c>
      <c r="R40" s="131">
        <v>8.0744823612364194E-2</v>
      </c>
      <c r="S40" s="131">
        <v>0</v>
      </c>
      <c r="T40" s="191">
        <v>0.13008888248658676</v>
      </c>
      <c r="U40" s="97">
        <v>64.672933437699726</v>
      </c>
      <c r="V40" s="131">
        <v>29.678355223944909</v>
      </c>
      <c r="W40" s="131">
        <v>0.6441512929703489</v>
      </c>
      <c r="X40" s="131">
        <v>0.6441512929703489</v>
      </c>
      <c r="Y40" s="131">
        <v>0</v>
      </c>
      <c r="Z40" s="191">
        <v>4.3604087524146689</v>
      </c>
      <c r="AA40" s="97">
        <v>71.249285454450984</v>
      </c>
      <c r="AB40" s="131">
        <v>23.053693406548994</v>
      </c>
      <c r="AC40" s="131">
        <v>1.1405301783621176</v>
      </c>
      <c r="AD40" s="131">
        <v>3.4067222135610642E-2</v>
      </c>
      <c r="AE40" s="131">
        <v>0</v>
      </c>
      <c r="AF40" s="191">
        <v>4.5224237385023134</v>
      </c>
      <c r="AG40" s="97">
        <v>81.849083482855335</v>
      </c>
      <c r="AH40" s="131">
        <v>17.873211371484736</v>
      </c>
      <c r="AI40" s="131">
        <v>0.20286901874509741</v>
      </c>
      <c r="AJ40" s="131">
        <v>7.4836126914858164E-2</v>
      </c>
      <c r="AK40" s="131">
        <v>0</v>
      </c>
      <c r="AL40" s="191">
        <v>0</v>
      </c>
      <c r="AM40" s="97">
        <v>58.914534471424339</v>
      </c>
      <c r="AN40" s="131">
        <v>32.492429693201998</v>
      </c>
      <c r="AO40" s="131">
        <v>0.74652283515106965</v>
      </c>
      <c r="AP40" s="131">
        <v>5.7804533384405952</v>
      </c>
      <c r="AQ40" s="131">
        <v>0.27693088115782993</v>
      </c>
      <c r="AR40" s="131">
        <v>1.7891287806241556</v>
      </c>
      <c r="AS40" s="97">
        <v>99.875607966065843</v>
      </c>
      <c r="AT40" s="131">
        <v>7.4635220360488114E-2</v>
      </c>
      <c r="AU40" s="131">
        <v>0</v>
      </c>
      <c r="AV40" s="131">
        <v>0</v>
      </c>
      <c r="AW40" s="131">
        <v>4.9756813573658742E-2</v>
      </c>
      <c r="AX40" s="191">
        <v>0</v>
      </c>
      <c r="AY40" s="131">
        <v>33.315703224575785</v>
      </c>
      <c r="AZ40" s="131">
        <v>60.542082491567875</v>
      </c>
      <c r="BA40" s="131">
        <v>5.0679337223517988</v>
      </c>
      <c r="BB40" s="131">
        <v>0.1820814511024598</v>
      </c>
      <c r="BC40" s="131">
        <v>0</v>
      </c>
      <c r="BD40" s="191">
        <v>0.89219911040205302</v>
      </c>
      <c r="BE40" s="97">
        <v>38.257057088687581</v>
      </c>
      <c r="BF40" s="131">
        <v>42.561091215504518</v>
      </c>
      <c r="BG40" s="131">
        <v>16.748736043817143</v>
      </c>
      <c r="BH40" s="131">
        <v>0.248841373499052</v>
      </c>
      <c r="BI40" s="131">
        <v>0.11059616599957867</v>
      </c>
      <c r="BJ40" s="191">
        <v>2.0736781124921002</v>
      </c>
      <c r="BK40" s="97">
        <v>43.115108415254824</v>
      </c>
      <c r="BL40" s="131">
        <v>56.884891584745176</v>
      </c>
      <c r="BM40" s="131">
        <v>0</v>
      </c>
      <c r="BN40" s="131">
        <v>0</v>
      </c>
      <c r="BO40" s="131">
        <v>0</v>
      </c>
      <c r="BP40" s="191">
        <v>0</v>
      </c>
      <c r="BQ40" s="97">
        <v>34.878907058580005</v>
      </c>
      <c r="BR40" s="131">
        <v>65.121092941419988</v>
      </c>
      <c r="BS40" s="131">
        <v>0</v>
      </c>
      <c r="BT40" s="131">
        <v>0</v>
      </c>
      <c r="BU40" s="131">
        <v>0</v>
      </c>
      <c r="BV40" s="191">
        <v>0</v>
      </c>
      <c r="BW40" s="97">
        <v>59.92578849721707</v>
      </c>
      <c r="BX40" s="131">
        <v>32.653061224489797</v>
      </c>
      <c r="BY40" s="131">
        <v>0</v>
      </c>
      <c r="BZ40" s="131">
        <v>0</v>
      </c>
      <c r="CA40" s="131">
        <v>0</v>
      </c>
      <c r="CB40" s="191">
        <v>7.421150278293136</v>
      </c>
    </row>
    <row r="41" spans="1:80" ht="15.75" customHeight="1" x14ac:dyDescent="0.3">
      <c r="A41" s="130"/>
      <c r="B41" s="130" t="s">
        <v>48</v>
      </c>
      <c r="C41" s="192">
        <v>54.844149916109053</v>
      </c>
      <c r="D41" s="193">
        <v>37.232449622430977</v>
      </c>
      <c r="E41" s="193">
        <v>1.9442316677873668</v>
      </c>
      <c r="F41" s="193">
        <v>1.9628141833542823</v>
      </c>
      <c r="G41" s="193">
        <v>1.0015774923896155</v>
      </c>
      <c r="H41" s="194">
        <v>3.0147771179287686</v>
      </c>
      <c r="I41" s="192">
        <v>31.696532178095989</v>
      </c>
      <c r="J41" s="193">
        <v>55.873355228457136</v>
      </c>
      <c r="K41" s="193">
        <v>3.0458602040888101</v>
      </c>
      <c r="L41" s="193">
        <v>0.82616584501346779</v>
      </c>
      <c r="M41" s="193">
        <v>2.8419120491163423</v>
      </c>
      <c r="N41" s="194">
        <v>5.7161744952283167</v>
      </c>
      <c r="O41" s="192">
        <v>74.716852785175831</v>
      </c>
      <c r="P41" s="193">
        <v>24.410954347969611</v>
      </c>
      <c r="Q41" s="193">
        <v>0</v>
      </c>
      <c r="R41" s="193">
        <v>0.7357273162582868</v>
      </c>
      <c r="S41" s="193">
        <v>0</v>
      </c>
      <c r="T41" s="194">
        <v>0.13646555059629514</v>
      </c>
      <c r="U41" s="192">
        <v>48.374029630711817</v>
      </c>
      <c r="V41" s="193">
        <v>44.372356179484285</v>
      </c>
      <c r="W41" s="193">
        <v>0</v>
      </c>
      <c r="X41" s="193">
        <v>2.1675177804192929</v>
      </c>
      <c r="Y41" s="193">
        <v>0</v>
      </c>
      <c r="Z41" s="194">
        <v>5.0860964093846075</v>
      </c>
      <c r="AA41" s="192">
        <v>71.038110336860498</v>
      </c>
      <c r="AB41" s="193">
        <v>22.798608806793752</v>
      </c>
      <c r="AC41" s="193">
        <v>0.31075365662247656</v>
      </c>
      <c r="AD41" s="193">
        <v>5.1792276103746086E-2</v>
      </c>
      <c r="AE41" s="193">
        <v>0</v>
      </c>
      <c r="AF41" s="194">
        <v>5.8007349236195624</v>
      </c>
      <c r="AG41" s="192">
        <v>77.398229161209187</v>
      </c>
      <c r="AH41" s="193">
        <v>19.949442028605855</v>
      </c>
      <c r="AI41" s="193">
        <v>0.47152512181065642</v>
      </c>
      <c r="AJ41" s="193">
        <v>0</v>
      </c>
      <c r="AK41" s="193">
        <v>0</v>
      </c>
      <c r="AL41" s="194">
        <v>2.1808036883742861</v>
      </c>
      <c r="AM41" s="192">
        <v>67.126919546147008</v>
      </c>
      <c r="AN41" s="193">
        <v>25.790989442427158</v>
      </c>
      <c r="AO41" s="193">
        <v>0.70634216610861156</v>
      </c>
      <c r="AP41" s="193">
        <v>5.6126253414889318</v>
      </c>
      <c r="AQ41" s="193">
        <v>0.26512686873016389</v>
      </c>
      <c r="AR41" s="193">
        <v>0.49799663509815784</v>
      </c>
      <c r="AS41" s="192">
        <v>100</v>
      </c>
      <c r="AT41" s="193">
        <v>0</v>
      </c>
      <c r="AU41" s="193">
        <v>0</v>
      </c>
      <c r="AV41" s="193">
        <v>0</v>
      </c>
      <c r="AW41" s="193">
        <v>0</v>
      </c>
      <c r="AX41" s="194">
        <v>0</v>
      </c>
      <c r="AY41" s="193">
        <v>30.959988322493814</v>
      </c>
      <c r="AZ41" s="193">
        <v>57.535235253093745</v>
      </c>
      <c r="BA41" s="193">
        <v>7.9585448529769565</v>
      </c>
      <c r="BB41" s="193">
        <v>2.6931248682225872</v>
      </c>
      <c r="BC41" s="193">
        <v>0</v>
      </c>
      <c r="BD41" s="194">
        <v>0.85310670321293636</v>
      </c>
      <c r="BE41" s="192">
        <v>45.235887791051894</v>
      </c>
      <c r="BF41" s="193">
        <v>40.927392651850283</v>
      </c>
      <c r="BG41" s="193">
        <v>6.8210113639373775</v>
      </c>
      <c r="BH41" s="193">
        <v>2.9270747794760399</v>
      </c>
      <c r="BI41" s="193">
        <v>0.1112553309846097</v>
      </c>
      <c r="BJ41" s="194">
        <v>3.9773780826997966</v>
      </c>
      <c r="BK41" s="192">
        <v>36.845718208340479</v>
      </c>
      <c r="BL41" s="193">
        <v>55.062639437103137</v>
      </c>
      <c r="BM41" s="193">
        <v>0.24884159945083231</v>
      </c>
      <c r="BN41" s="193">
        <v>0.24884159945083231</v>
      </c>
      <c r="BO41" s="193">
        <v>0</v>
      </c>
      <c r="BP41" s="194">
        <v>7.5939591556547104</v>
      </c>
      <c r="BQ41" s="192">
        <v>32.401508256403595</v>
      </c>
      <c r="BR41" s="193">
        <v>36.653231049278382</v>
      </c>
      <c r="BS41" s="193">
        <v>0</v>
      </c>
      <c r="BT41" s="193">
        <v>30.945260694318037</v>
      </c>
      <c r="BU41" s="193">
        <v>0</v>
      </c>
      <c r="BV41" s="194">
        <v>0</v>
      </c>
      <c r="BW41" s="192">
        <v>45.856353591160222</v>
      </c>
      <c r="BX41" s="193">
        <v>27.624309392265197</v>
      </c>
      <c r="BY41" s="193">
        <v>0</v>
      </c>
      <c r="BZ41" s="193">
        <v>0</v>
      </c>
      <c r="CA41" s="193">
        <v>0</v>
      </c>
      <c r="CB41" s="194">
        <v>26.519337016574585</v>
      </c>
    </row>
    <row r="42" spans="1:80" ht="15.75" customHeight="1" x14ac:dyDescent="0.3">
      <c r="A42" s="130"/>
      <c r="B42" s="148" t="s">
        <v>49</v>
      </c>
      <c r="C42" s="97">
        <v>53.568742365033138</v>
      </c>
      <c r="D42" s="131">
        <v>38.953074445865624</v>
      </c>
      <c r="E42" s="131">
        <v>1.5970439911653731</v>
      </c>
      <c r="F42" s="131">
        <v>2.5573643437714022</v>
      </c>
      <c r="G42" s="131">
        <v>0.25898642917554165</v>
      </c>
      <c r="H42" s="191">
        <v>3.0647884249889303</v>
      </c>
      <c r="I42" s="97">
        <v>32.017038428549625</v>
      </c>
      <c r="J42" s="131">
        <v>59.846822527770328</v>
      </c>
      <c r="K42" s="131">
        <v>1.5892623170789459</v>
      </c>
      <c r="L42" s="131">
        <v>1.1576449292521087</v>
      </c>
      <c r="M42" s="131">
        <v>0.54461931898906013</v>
      </c>
      <c r="N42" s="191">
        <v>4.8446124783599318</v>
      </c>
      <c r="O42" s="97">
        <v>73.888286092787297</v>
      </c>
      <c r="P42" s="131">
        <v>21.278580255540184</v>
      </c>
      <c r="Q42" s="131">
        <v>1.6539817779361973E-2</v>
      </c>
      <c r="R42" s="131">
        <v>4.2224689237236994</v>
      </c>
      <c r="S42" s="131">
        <v>0</v>
      </c>
      <c r="T42" s="191">
        <v>0.59412491016942326</v>
      </c>
      <c r="U42" s="97">
        <v>50.632774081573615</v>
      </c>
      <c r="V42" s="131">
        <v>45.035435348568136</v>
      </c>
      <c r="W42" s="131">
        <v>0.24009256580850455</v>
      </c>
      <c r="X42" s="131">
        <v>0.24949378073474116</v>
      </c>
      <c r="Y42" s="131">
        <v>0</v>
      </c>
      <c r="Z42" s="191">
        <v>3.8422042233150142</v>
      </c>
      <c r="AA42" s="97">
        <v>61.381763929534628</v>
      </c>
      <c r="AB42" s="131">
        <v>29.030213106646229</v>
      </c>
      <c r="AC42" s="131">
        <v>0.78176447603199206</v>
      </c>
      <c r="AD42" s="131">
        <v>1.6121672172627589E-2</v>
      </c>
      <c r="AE42" s="131">
        <v>0.10861635065456722</v>
      </c>
      <c r="AF42" s="191">
        <v>8.6815204649599558</v>
      </c>
      <c r="AG42" s="97">
        <v>75.438180689577337</v>
      </c>
      <c r="AH42" s="131">
        <v>17.807121494272334</v>
      </c>
      <c r="AI42" s="131">
        <v>0</v>
      </c>
      <c r="AJ42" s="131">
        <v>3.4535297105129508</v>
      </c>
      <c r="AK42" s="131">
        <v>0</v>
      </c>
      <c r="AL42" s="191">
        <v>3.3011681056373794</v>
      </c>
      <c r="AM42" s="97">
        <v>60.006186319756914</v>
      </c>
      <c r="AN42" s="131">
        <v>31.952341544334423</v>
      </c>
      <c r="AO42" s="131">
        <v>1.3523651891623416</v>
      </c>
      <c r="AP42" s="131">
        <v>4.9987991699029601</v>
      </c>
      <c r="AQ42" s="131">
        <v>0.15963976584184883</v>
      </c>
      <c r="AR42" s="131">
        <v>1.5306680110015369</v>
      </c>
      <c r="AS42" s="97">
        <v>100</v>
      </c>
      <c r="AT42" s="131">
        <v>0</v>
      </c>
      <c r="AU42" s="131">
        <v>0</v>
      </c>
      <c r="AV42" s="131">
        <v>0</v>
      </c>
      <c r="AW42" s="131">
        <v>0</v>
      </c>
      <c r="AX42" s="191">
        <v>0</v>
      </c>
      <c r="AY42" s="131">
        <v>45.406418039895918</v>
      </c>
      <c r="AZ42" s="131">
        <v>41.17328707718994</v>
      </c>
      <c r="BA42" s="131">
        <v>10.376409366869039</v>
      </c>
      <c r="BB42" s="131">
        <v>2.9869904596704249</v>
      </c>
      <c r="BC42" s="131">
        <v>0</v>
      </c>
      <c r="BD42" s="191">
        <v>5.6895056374674756E-2</v>
      </c>
      <c r="BE42" s="97">
        <v>38.63813147770513</v>
      </c>
      <c r="BF42" s="131">
        <v>52.746652090735168</v>
      </c>
      <c r="BG42" s="131">
        <v>4.722812033552672</v>
      </c>
      <c r="BH42" s="131">
        <v>0.26488952425000528</v>
      </c>
      <c r="BI42" s="131">
        <v>0.42676645573611943</v>
      </c>
      <c r="BJ42" s="191">
        <v>3.2007484180208969</v>
      </c>
      <c r="BK42" s="97">
        <v>25.487123009149435</v>
      </c>
      <c r="BL42" s="131">
        <v>70.764147746526604</v>
      </c>
      <c r="BM42" s="131">
        <v>0</v>
      </c>
      <c r="BN42" s="131">
        <v>0</v>
      </c>
      <c r="BO42" s="131">
        <v>3.7487292443239575</v>
      </c>
      <c r="BP42" s="191">
        <v>0</v>
      </c>
      <c r="BQ42" s="97">
        <v>29.404069767441865</v>
      </c>
      <c r="BR42" s="131">
        <v>70.595930232558146</v>
      </c>
      <c r="BS42" s="131">
        <v>0</v>
      </c>
      <c r="BT42" s="131">
        <v>0</v>
      </c>
      <c r="BU42" s="131">
        <v>0</v>
      </c>
      <c r="BV42" s="191">
        <v>0</v>
      </c>
      <c r="BW42" s="97">
        <v>39.534883720930232</v>
      </c>
      <c r="BX42" s="131">
        <v>60.465116279069761</v>
      </c>
      <c r="BY42" s="131">
        <v>0</v>
      </c>
      <c r="BZ42" s="131">
        <v>0</v>
      </c>
      <c r="CA42" s="131">
        <v>0</v>
      </c>
      <c r="CB42" s="191">
        <v>0</v>
      </c>
    </row>
    <row r="43" spans="1:80" ht="15.75" customHeight="1" x14ac:dyDescent="0.3">
      <c r="A43" s="130"/>
      <c r="B43" s="130" t="s">
        <v>14</v>
      </c>
      <c r="C43" s="192">
        <v>55.412696925981109</v>
      </c>
      <c r="D43" s="193">
        <v>36.776770348134733</v>
      </c>
      <c r="E43" s="193">
        <v>1.9458188960343841</v>
      </c>
      <c r="F43" s="193">
        <v>1.6621267412459437</v>
      </c>
      <c r="G43" s="193">
        <v>0.42848449564227736</v>
      </c>
      <c r="H43" s="194">
        <v>3.7741025929614849</v>
      </c>
      <c r="I43" s="192">
        <v>37.622419511786816</v>
      </c>
      <c r="J43" s="193">
        <v>51.100729285467651</v>
      </c>
      <c r="K43" s="193">
        <v>1.7544180887907674</v>
      </c>
      <c r="L43" s="193">
        <v>0.66755255145281622</v>
      </c>
      <c r="M43" s="193">
        <v>1.0358574074267839</v>
      </c>
      <c r="N43" s="194">
        <v>7.819023155075179</v>
      </c>
      <c r="O43" s="192">
        <v>78.248555248872592</v>
      </c>
      <c r="P43" s="193">
        <v>20.900347822460059</v>
      </c>
      <c r="Q43" s="193">
        <v>8.9055175317512732E-3</v>
      </c>
      <c r="R43" s="193">
        <v>0.84219141113561735</v>
      </c>
      <c r="S43" s="193">
        <v>0</v>
      </c>
      <c r="T43" s="194">
        <v>0</v>
      </c>
      <c r="U43" s="192">
        <v>52.960440674714626</v>
      </c>
      <c r="V43" s="193">
        <v>42.028528754847272</v>
      </c>
      <c r="W43" s="193">
        <v>0.89820359281437101</v>
      </c>
      <c r="X43" s="193">
        <v>9.454774661203906E-2</v>
      </c>
      <c r="Y43" s="193">
        <v>0</v>
      </c>
      <c r="Z43" s="194">
        <v>4.0182792310116593</v>
      </c>
      <c r="AA43" s="192">
        <v>64.748775411943043</v>
      </c>
      <c r="AB43" s="193">
        <v>26.500244718653139</v>
      </c>
      <c r="AC43" s="193">
        <v>1.7430732683668313</v>
      </c>
      <c r="AD43" s="193">
        <v>0.12912390722178674</v>
      </c>
      <c r="AE43" s="193">
        <v>0</v>
      </c>
      <c r="AF43" s="194">
        <v>6.8787826938151841</v>
      </c>
      <c r="AG43" s="192">
        <v>80.705958085973833</v>
      </c>
      <c r="AH43" s="193">
        <v>18.99721049996424</v>
      </c>
      <c r="AI43" s="193">
        <v>0.19788760937462752</v>
      </c>
      <c r="AJ43" s="193">
        <v>0</v>
      </c>
      <c r="AK43" s="193">
        <v>0</v>
      </c>
      <c r="AL43" s="194">
        <v>9.8943804687313758E-2</v>
      </c>
      <c r="AM43" s="192">
        <v>60.644941352836867</v>
      </c>
      <c r="AN43" s="193">
        <v>28.939984922834384</v>
      </c>
      <c r="AO43" s="193">
        <v>1.5421294937104995</v>
      </c>
      <c r="AP43" s="193">
        <v>7.0559414463970214</v>
      </c>
      <c r="AQ43" s="193">
        <v>0.26788316379587546</v>
      </c>
      <c r="AR43" s="193">
        <v>1.5491196204253657</v>
      </c>
      <c r="AS43" s="192">
        <v>100</v>
      </c>
      <c r="AT43" s="193">
        <v>0</v>
      </c>
      <c r="AU43" s="193">
        <v>0</v>
      </c>
      <c r="AV43" s="193">
        <v>0</v>
      </c>
      <c r="AW43" s="193">
        <v>0</v>
      </c>
      <c r="AX43" s="194">
        <v>0</v>
      </c>
      <c r="AY43" s="193">
        <v>42.090523239632624</v>
      </c>
      <c r="AZ43" s="193">
        <v>47.878977641710755</v>
      </c>
      <c r="BA43" s="193">
        <v>9.3520966694498586</v>
      </c>
      <c r="BB43" s="193">
        <v>0.59432693199740261</v>
      </c>
      <c r="BC43" s="193">
        <v>0</v>
      </c>
      <c r="BD43" s="194">
        <v>8.4075517209388662E-2</v>
      </c>
      <c r="BE43" s="192">
        <v>40.360439992142986</v>
      </c>
      <c r="BF43" s="193">
        <v>50.274995089373398</v>
      </c>
      <c r="BG43" s="193">
        <v>6.2708701630328019</v>
      </c>
      <c r="BH43" s="193">
        <v>0.18562168532704773</v>
      </c>
      <c r="BI43" s="193">
        <v>0.26812021213906895</v>
      </c>
      <c r="BJ43" s="194">
        <v>2.6399528579846789</v>
      </c>
      <c r="BK43" s="192">
        <v>18.984066457851011</v>
      </c>
      <c r="BL43" s="193">
        <v>77.679422579327252</v>
      </c>
      <c r="BM43" s="193">
        <v>0.26328930046756549</v>
      </c>
      <c r="BN43" s="193">
        <v>0.26328930046756549</v>
      </c>
      <c r="BO43" s="193">
        <v>0</v>
      </c>
      <c r="BP43" s="194">
        <v>2.8099323618866041</v>
      </c>
      <c r="BQ43" s="192">
        <v>42.142973457091678</v>
      </c>
      <c r="BR43" s="193">
        <v>57.857026542908315</v>
      </c>
      <c r="BS43" s="193">
        <v>0</v>
      </c>
      <c r="BT43" s="193">
        <v>0</v>
      </c>
      <c r="BU43" s="193">
        <v>0</v>
      </c>
      <c r="BV43" s="194">
        <v>0</v>
      </c>
      <c r="BW43" s="192">
        <v>47.537473233404711</v>
      </c>
      <c r="BX43" s="193">
        <v>52.462526766595289</v>
      </c>
      <c r="BY43" s="193">
        <v>0</v>
      </c>
      <c r="BZ43" s="193">
        <v>0</v>
      </c>
      <c r="CA43" s="193">
        <v>0</v>
      </c>
      <c r="CB43" s="194">
        <v>0</v>
      </c>
    </row>
    <row r="44" spans="1:80" ht="15.75" customHeight="1" x14ac:dyDescent="0.3">
      <c r="A44" s="130"/>
      <c r="B44" s="148" t="s">
        <v>15</v>
      </c>
      <c r="C44" s="97">
        <v>54.992113278185897</v>
      </c>
      <c r="D44" s="131">
        <v>37.79660697882516</v>
      </c>
      <c r="E44" s="131">
        <v>2.5864147427222655</v>
      </c>
      <c r="F44" s="131">
        <v>1.2241253990768788</v>
      </c>
      <c r="G44" s="131">
        <v>0.44478993707842218</v>
      </c>
      <c r="H44" s="191">
        <v>2.955949664111488</v>
      </c>
      <c r="I44" s="97">
        <v>32.085507069816067</v>
      </c>
      <c r="J44" s="131">
        <v>58.138577339269446</v>
      </c>
      <c r="K44" s="131">
        <v>2.1933470170141298</v>
      </c>
      <c r="L44" s="131">
        <v>0.5227762348082613</v>
      </c>
      <c r="M44" s="131">
        <v>0.91971606619364932</v>
      </c>
      <c r="N44" s="191">
        <v>6.1400762728984493</v>
      </c>
      <c r="O44" s="97">
        <v>77.276494949862268</v>
      </c>
      <c r="P44" s="131">
        <v>18.931764702390279</v>
      </c>
      <c r="Q44" s="131">
        <v>3.5173981345916823E-2</v>
      </c>
      <c r="R44" s="131">
        <v>3.7091482776251183</v>
      </c>
      <c r="S44" s="131">
        <v>0</v>
      </c>
      <c r="T44" s="191">
        <v>4.7418088776457486E-2</v>
      </c>
      <c r="U44" s="97">
        <v>55.080090901563182</v>
      </c>
      <c r="V44" s="131">
        <v>40.603004903900128</v>
      </c>
      <c r="W44" s="131">
        <v>0</v>
      </c>
      <c r="X44" s="131">
        <v>0.1269677704275502</v>
      </c>
      <c r="Y44" s="131">
        <v>0</v>
      </c>
      <c r="Z44" s="191">
        <v>4.1899364241091561</v>
      </c>
      <c r="AA44" s="97">
        <v>62.173124329459547</v>
      </c>
      <c r="AB44" s="131">
        <v>33.617929125410519</v>
      </c>
      <c r="AC44" s="131">
        <v>1.4547144623801218</v>
      </c>
      <c r="AD44" s="131">
        <v>0</v>
      </c>
      <c r="AE44" s="131">
        <v>4.8319861100873857E-2</v>
      </c>
      <c r="AF44" s="191">
        <v>2.7059122216489357</v>
      </c>
      <c r="AG44" s="97">
        <v>86.231712513612052</v>
      </c>
      <c r="AH44" s="131">
        <v>13.66175843946783</v>
      </c>
      <c r="AI44" s="131">
        <v>0.10652904692012689</v>
      </c>
      <c r="AJ44" s="131">
        <v>0</v>
      </c>
      <c r="AK44" s="131">
        <v>0</v>
      </c>
      <c r="AL44" s="191">
        <v>0</v>
      </c>
      <c r="AM44" s="97">
        <v>62.601747189779864</v>
      </c>
      <c r="AN44" s="131">
        <v>30.329461126592978</v>
      </c>
      <c r="AO44" s="131">
        <v>3.5677740551711175</v>
      </c>
      <c r="AP44" s="131">
        <v>1.0478128816106709</v>
      </c>
      <c r="AQ44" s="131">
        <v>0.53317468766634302</v>
      </c>
      <c r="AR44" s="131">
        <v>1.9200300591790083</v>
      </c>
      <c r="AS44" s="97">
        <v>99.928533142755043</v>
      </c>
      <c r="AT44" s="131">
        <v>7.1466857244952664E-2</v>
      </c>
      <c r="AU44" s="131">
        <v>0</v>
      </c>
      <c r="AV44" s="131">
        <v>0</v>
      </c>
      <c r="AW44" s="131">
        <v>0</v>
      </c>
      <c r="AX44" s="191">
        <v>0</v>
      </c>
      <c r="AY44" s="131">
        <v>31.900417182509557</v>
      </c>
      <c r="AZ44" s="131">
        <v>52.423507870288496</v>
      </c>
      <c r="BA44" s="131">
        <v>14.690858397228496</v>
      </c>
      <c r="BB44" s="131">
        <v>0.81043684522632953</v>
      </c>
      <c r="BC44" s="131">
        <v>4.3694926186785416E-2</v>
      </c>
      <c r="BD44" s="191">
        <v>0.13108477856035625</v>
      </c>
      <c r="BE44" s="97">
        <v>42.214141866189287</v>
      </c>
      <c r="BF44" s="131">
        <v>43.008503020810011</v>
      </c>
      <c r="BG44" s="131">
        <v>8.8330722756768836</v>
      </c>
      <c r="BH44" s="131">
        <v>2.7724323114790774</v>
      </c>
      <c r="BI44" s="131">
        <v>0.16446632356231816</v>
      </c>
      <c r="BJ44" s="191">
        <v>3.0073842022823891</v>
      </c>
      <c r="BK44" s="97">
        <v>26.017874875868912</v>
      </c>
      <c r="BL44" s="131">
        <v>70.340946706388607</v>
      </c>
      <c r="BM44" s="131">
        <v>0</v>
      </c>
      <c r="BN44" s="131">
        <v>0.7199602780536245</v>
      </c>
      <c r="BO44" s="131">
        <v>2.9212181396888446</v>
      </c>
      <c r="BP44" s="191">
        <v>0</v>
      </c>
      <c r="BQ44" s="97">
        <v>70.991691709386586</v>
      </c>
      <c r="BR44" s="131">
        <v>22.57380236874668</v>
      </c>
      <c r="BS44" s="131">
        <v>6.4345059218667133</v>
      </c>
      <c r="BT44" s="131">
        <v>0</v>
      </c>
      <c r="BU44" s="131">
        <v>0</v>
      </c>
      <c r="BV44" s="191">
        <v>0</v>
      </c>
      <c r="BW44" s="97">
        <v>98.217468805704101</v>
      </c>
      <c r="BX44" s="131">
        <v>1.7825311942959003</v>
      </c>
      <c r="BY44" s="131">
        <v>0</v>
      </c>
      <c r="BZ44" s="131">
        <v>0</v>
      </c>
      <c r="CA44" s="131">
        <v>0</v>
      </c>
      <c r="CB44" s="191">
        <v>0</v>
      </c>
    </row>
    <row r="45" spans="1:80" ht="15.75" customHeight="1" x14ac:dyDescent="0.3">
      <c r="A45" s="130"/>
      <c r="B45" s="130" t="s">
        <v>16</v>
      </c>
      <c r="C45" s="192">
        <v>58.098347134709336</v>
      </c>
      <c r="D45" s="193">
        <v>36.022203059061894</v>
      </c>
      <c r="E45" s="193">
        <v>1.9533481143742453</v>
      </c>
      <c r="F45" s="193">
        <v>0.64342616708797284</v>
      </c>
      <c r="G45" s="193">
        <v>0.6125872161691952</v>
      </c>
      <c r="H45" s="194">
        <v>2.6700883085972604</v>
      </c>
      <c r="I45" s="192">
        <v>33.769528908778533</v>
      </c>
      <c r="J45" s="193">
        <v>56.613107843529008</v>
      </c>
      <c r="K45" s="193">
        <v>2.0810025172813371</v>
      </c>
      <c r="L45" s="193">
        <v>0.86569005474088012</v>
      </c>
      <c r="M45" s="193">
        <v>1.7041595077316503</v>
      </c>
      <c r="N45" s="194">
        <v>4.9665111679386289</v>
      </c>
      <c r="O45" s="192">
        <v>80.324186413312304</v>
      </c>
      <c r="P45" s="193">
        <v>18.051906690683076</v>
      </c>
      <c r="Q45" s="193">
        <v>1.8432276549477839E-2</v>
      </c>
      <c r="R45" s="193">
        <v>1.2939924777646086</v>
      </c>
      <c r="S45" s="193">
        <v>0</v>
      </c>
      <c r="T45" s="194">
        <v>0.31148214169054317</v>
      </c>
      <c r="U45" s="192">
        <v>53.506189458897893</v>
      </c>
      <c r="V45" s="193">
        <v>42.422522021597253</v>
      </c>
      <c r="W45" s="193">
        <v>0</v>
      </c>
      <c r="X45" s="193">
        <v>0.12115536566094055</v>
      </c>
      <c r="Y45" s="193">
        <v>0</v>
      </c>
      <c r="Z45" s="194">
        <v>3.9501331538439017</v>
      </c>
      <c r="AA45" s="192">
        <v>71.949140172668251</v>
      </c>
      <c r="AB45" s="193">
        <v>21.302093751182561</v>
      </c>
      <c r="AC45" s="193">
        <v>0.86723357786559541</v>
      </c>
      <c r="AD45" s="193">
        <v>0.20413127976689238</v>
      </c>
      <c r="AE45" s="193">
        <v>0</v>
      </c>
      <c r="AF45" s="194">
        <v>5.6774012185166951</v>
      </c>
      <c r="AG45" s="192">
        <v>66.156572311327182</v>
      </c>
      <c r="AH45" s="193">
        <v>33.843427688672818</v>
      </c>
      <c r="AI45" s="193">
        <v>0</v>
      </c>
      <c r="AJ45" s="193">
        <v>0</v>
      </c>
      <c r="AK45" s="193">
        <v>0</v>
      </c>
      <c r="AL45" s="194">
        <v>0</v>
      </c>
      <c r="AM45" s="192">
        <v>67.712518010000849</v>
      </c>
      <c r="AN45" s="193">
        <v>29.395052311401166</v>
      </c>
      <c r="AO45" s="193">
        <v>1.5130284110706183</v>
      </c>
      <c r="AP45" s="193">
        <v>0.21244738254654355</v>
      </c>
      <c r="AQ45" s="193">
        <v>0.26998521531956576</v>
      </c>
      <c r="AR45" s="193">
        <v>0.89696866966127098</v>
      </c>
      <c r="AS45" s="192">
        <v>99.933536048385747</v>
      </c>
      <c r="AT45" s="193">
        <v>6.6463951614243219E-2</v>
      </c>
      <c r="AU45" s="193">
        <v>0</v>
      </c>
      <c r="AV45" s="193">
        <v>0</v>
      </c>
      <c r="AW45" s="193">
        <v>0</v>
      </c>
      <c r="AX45" s="194">
        <v>0</v>
      </c>
      <c r="AY45" s="193">
        <v>33.184911478547505</v>
      </c>
      <c r="AZ45" s="193">
        <v>54.366260832580146</v>
      </c>
      <c r="BA45" s="193">
        <v>11.430033494603647</v>
      </c>
      <c r="BB45" s="193">
        <v>0.76824924238396508</v>
      </c>
      <c r="BC45" s="193">
        <v>0</v>
      </c>
      <c r="BD45" s="194">
        <v>0.25054495188473602</v>
      </c>
      <c r="BE45" s="192">
        <v>43.90400327177074</v>
      </c>
      <c r="BF45" s="193">
        <v>46.963852510061635</v>
      </c>
      <c r="BG45" s="193">
        <v>7.7658081366707874</v>
      </c>
      <c r="BH45" s="193">
        <v>0.39038173757052436</v>
      </c>
      <c r="BI45" s="193">
        <v>7.807634751410486E-2</v>
      </c>
      <c r="BJ45" s="194">
        <v>0.89787799641220589</v>
      </c>
      <c r="BK45" s="192">
        <v>25.208365291200085</v>
      </c>
      <c r="BL45" s="193">
        <v>67.106406913125738</v>
      </c>
      <c r="BM45" s="193">
        <v>0</v>
      </c>
      <c r="BN45" s="193">
        <v>0.44485350513882493</v>
      </c>
      <c r="BO45" s="193">
        <v>0</v>
      </c>
      <c r="BP45" s="194">
        <v>7.2403742905353576</v>
      </c>
      <c r="BQ45" s="192">
        <v>46.697102394484304</v>
      </c>
      <c r="BR45" s="193">
        <v>53.302897605515696</v>
      </c>
      <c r="BS45" s="193">
        <v>0</v>
      </c>
      <c r="BT45" s="193">
        <v>0</v>
      </c>
      <c r="BU45" s="193">
        <v>0</v>
      </c>
      <c r="BV45" s="194">
        <v>0</v>
      </c>
      <c r="BW45" s="192">
        <v>75.90027700831024</v>
      </c>
      <c r="BX45" s="193">
        <v>20.775623268698059</v>
      </c>
      <c r="BY45" s="193">
        <v>0</v>
      </c>
      <c r="BZ45" s="193">
        <v>3.32409972299169</v>
      </c>
      <c r="CA45" s="193">
        <v>0</v>
      </c>
      <c r="CB45" s="194">
        <v>0</v>
      </c>
    </row>
    <row r="46" spans="1:80" ht="15.75" customHeight="1" x14ac:dyDescent="0.3">
      <c r="A46" s="130"/>
      <c r="B46" s="148" t="s">
        <v>8</v>
      </c>
      <c r="C46" s="97">
        <v>58.276088285965166</v>
      </c>
      <c r="D46" s="131">
        <v>34.015768642663005</v>
      </c>
      <c r="E46" s="131">
        <v>1.8578788909371697</v>
      </c>
      <c r="F46" s="131">
        <v>1.069392147772354</v>
      </c>
      <c r="G46" s="131">
        <v>1.1833784907468619</v>
      </c>
      <c r="H46" s="191">
        <v>3.5974935419154246</v>
      </c>
      <c r="I46" s="97">
        <v>32.948577310602381</v>
      </c>
      <c r="J46" s="131">
        <v>54.421438392702861</v>
      </c>
      <c r="K46" s="131">
        <v>2.0915825775961174</v>
      </c>
      <c r="L46" s="131">
        <v>1.065514339597124</v>
      </c>
      <c r="M46" s="131">
        <v>2.2084181737581998</v>
      </c>
      <c r="N46" s="191">
        <v>7.2644692057433531</v>
      </c>
      <c r="O46" s="97">
        <v>81.366304795432271</v>
      </c>
      <c r="P46" s="131">
        <v>15.883454072289322</v>
      </c>
      <c r="Q46" s="131">
        <v>2.0060851248787991E-2</v>
      </c>
      <c r="R46" s="131">
        <v>2.6907357380679198</v>
      </c>
      <c r="S46" s="131">
        <v>0</v>
      </c>
      <c r="T46" s="191">
        <v>3.9444542961751913E-2</v>
      </c>
      <c r="U46" s="97">
        <v>55.66705403514954</v>
      </c>
      <c r="V46" s="131">
        <v>37.416490882153695</v>
      </c>
      <c r="W46" s="131">
        <v>0</v>
      </c>
      <c r="X46" s="131">
        <v>0.60804000727004348</v>
      </c>
      <c r="Y46" s="131">
        <v>0</v>
      </c>
      <c r="Z46" s="191">
        <v>6.3084150754267014</v>
      </c>
      <c r="AA46" s="97">
        <v>70.086939365140452</v>
      </c>
      <c r="AB46" s="131">
        <v>22.951660306480555</v>
      </c>
      <c r="AC46" s="131">
        <v>0.48407088376145352</v>
      </c>
      <c r="AD46" s="131">
        <v>1.152549723241556E-2</v>
      </c>
      <c r="AE46" s="131">
        <v>2.305099446483112E-2</v>
      </c>
      <c r="AF46" s="191">
        <v>6.4427529529202987</v>
      </c>
      <c r="AG46" s="97">
        <v>67.570836040177895</v>
      </c>
      <c r="AH46" s="131">
        <v>29.303383139273397</v>
      </c>
      <c r="AI46" s="131">
        <v>0</v>
      </c>
      <c r="AJ46" s="131">
        <v>0</v>
      </c>
      <c r="AK46" s="131">
        <v>0</v>
      </c>
      <c r="AL46" s="191">
        <v>3.1257808205486985</v>
      </c>
      <c r="AM46" s="97">
        <v>69.970874024035083</v>
      </c>
      <c r="AN46" s="131">
        <v>27.206904569596407</v>
      </c>
      <c r="AO46" s="131">
        <v>1.0083339452235849</v>
      </c>
      <c r="AP46" s="131">
        <v>0.66946912401791636</v>
      </c>
      <c r="AQ46" s="131">
        <v>6.0393567809677674E-2</v>
      </c>
      <c r="AR46" s="131">
        <v>1.0840247693173757</v>
      </c>
      <c r="AS46" s="97">
        <v>100</v>
      </c>
      <c r="AT46" s="131">
        <v>0</v>
      </c>
      <c r="AU46" s="131">
        <v>0</v>
      </c>
      <c r="AV46" s="131">
        <v>0</v>
      </c>
      <c r="AW46" s="131">
        <v>0</v>
      </c>
      <c r="AX46" s="191">
        <v>0</v>
      </c>
      <c r="AY46" s="131">
        <v>47.833371585953657</v>
      </c>
      <c r="AZ46" s="131">
        <v>36.416341519394066</v>
      </c>
      <c r="BA46" s="131">
        <v>11.192104659169154</v>
      </c>
      <c r="BB46" s="131">
        <v>0.80927243516180858</v>
      </c>
      <c r="BC46" s="131">
        <v>2.8822584347027771</v>
      </c>
      <c r="BD46" s="191">
        <v>0.86665136561854483</v>
      </c>
      <c r="BE46" s="97">
        <v>52.828321229123489</v>
      </c>
      <c r="BF46" s="131">
        <v>33.813350462756596</v>
      </c>
      <c r="BG46" s="131">
        <v>6.2419705828373644</v>
      </c>
      <c r="BH46" s="131">
        <v>0.23400015731103002</v>
      </c>
      <c r="BI46" s="131">
        <v>6.2904748171259239</v>
      </c>
      <c r="BJ46" s="191">
        <v>0.59188275084554653</v>
      </c>
      <c r="BK46" s="97">
        <v>30.202595462608535</v>
      </c>
      <c r="BL46" s="131">
        <v>65.390719820745019</v>
      </c>
      <c r="BM46" s="131">
        <v>0</v>
      </c>
      <c r="BN46" s="131">
        <v>0</v>
      </c>
      <c r="BO46" s="131">
        <v>1.3770889739520118</v>
      </c>
      <c r="BP46" s="191">
        <v>3.0295957426944256</v>
      </c>
      <c r="BQ46" s="97">
        <v>40.963231486276541</v>
      </c>
      <c r="BR46" s="131">
        <v>50.014385177513091</v>
      </c>
      <c r="BS46" s="131">
        <v>0</v>
      </c>
      <c r="BT46" s="131">
        <v>2.9000517866390472</v>
      </c>
      <c r="BU46" s="131">
        <v>0</v>
      </c>
      <c r="BV46" s="191">
        <v>6.1223315495713218</v>
      </c>
      <c r="BW46" s="97">
        <v>63.142857142857146</v>
      </c>
      <c r="BX46" s="131">
        <v>16</v>
      </c>
      <c r="BY46" s="131">
        <v>0</v>
      </c>
      <c r="BZ46" s="131">
        <v>0</v>
      </c>
      <c r="CA46" s="131">
        <v>0</v>
      </c>
      <c r="CB46" s="191">
        <v>20.857142857142858</v>
      </c>
    </row>
    <row r="47" spans="1:80" ht="15.75" customHeight="1" x14ac:dyDescent="0.3">
      <c r="A47" s="130"/>
      <c r="B47" s="130" t="s">
        <v>9</v>
      </c>
      <c r="C47" s="192">
        <v>54.899870706933243</v>
      </c>
      <c r="D47" s="193">
        <v>38.5398146736161</v>
      </c>
      <c r="E47" s="193">
        <v>1.8378308949744782</v>
      </c>
      <c r="F47" s="193">
        <v>0.88594390354409025</v>
      </c>
      <c r="G47" s="193">
        <v>0.82819794060713658</v>
      </c>
      <c r="H47" s="194">
        <v>3.008341880324866</v>
      </c>
      <c r="I47" s="192">
        <v>32.923121422277219</v>
      </c>
      <c r="J47" s="193">
        <v>56.610673133193842</v>
      </c>
      <c r="K47" s="193">
        <v>1.6579444784512627</v>
      </c>
      <c r="L47" s="193">
        <v>1.7360573915500155</v>
      </c>
      <c r="M47" s="193">
        <v>1.0059665148692005</v>
      </c>
      <c r="N47" s="194">
        <v>6.0662370596584214</v>
      </c>
      <c r="O47" s="192">
        <v>75.9265236502807</v>
      </c>
      <c r="P47" s="193">
        <v>23.059925796417087</v>
      </c>
      <c r="Q47" s="193">
        <v>3.8818528599643076E-2</v>
      </c>
      <c r="R47" s="193">
        <v>0.97473202470258824</v>
      </c>
      <c r="S47" s="193">
        <v>0</v>
      </c>
      <c r="T47" s="194">
        <v>0</v>
      </c>
      <c r="U47" s="192">
        <v>62.581354679358867</v>
      </c>
      <c r="V47" s="193">
        <v>34.46418591234427</v>
      </c>
      <c r="W47" s="193">
        <v>0.37319487262696732</v>
      </c>
      <c r="X47" s="193">
        <v>0.21769700903239761</v>
      </c>
      <c r="Y47" s="193">
        <v>0</v>
      </c>
      <c r="Z47" s="194">
        <v>2.3635675266374596</v>
      </c>
      <c r="AA47" s="192">
        <v>59.106583471703765</v>
      </c>
      <c r="AB47" s="193">
        <v>34.417022564454307</v>
      </c>
      <c r="AC47" s="193">
        <v>1.5028714433865515</v>
      </c>
      <c r="AD47" s="193">
        <v>9.7044341862544108E-3</v>
      </c>
      <c r="AE47" s="193">
        <v>0</v>
      </c>
      <c r="AF47" s="194">
        <v>4.9638180862691312</v>
      </c>
      <c r="AG47" s="192">
        <v>75.987073617041247</v>
      </c>
      <c r="AH47" s="193">
        <v>22.033500680335948</v>
      </c>
      <c r="AI47" s="193">
        <v>0.26392342701637495</v>
      </c>
      <c r="AJ47" s="193">
        <v>0</v>
      </c>
      <c r="AK47" s="193">
        <v>0</v>
      </c>
      <c r="AL47" s="194">
        <v>1.7155022756064373</v>
      </c>
      <c r="AM47" s="192">
        <v>64.511415921214464</v>
      </c>
      <c r="AN47" s="193">
        <v>31.923274196452407</v>
      </c>
      <c r="AO47" s="193">
        <v>1.8866240232882678</v>
      </c>
      <c r="AP47" s="193">
        <v>0.38400222715239712</v>
      </c>
      <c r="AQ47" s="193">
        <v>6.8741139428515521E-2</v>
      </c>
      <c r="AR47" s="193">
        <v>1.2259424924639439</v>
      </c>
      <c r="AS47" s="192">
        <v>100</v>
      </c>
      <c r="AT47" s="193">
        <v>0</v>
      </c>
      <c r="AU47" s="193">
        <v>0</v>
      </c>
      <c r="AV47" s="193">
        <v>0</v>
      </c>
      <c r="AW47" s="193">
        <v>0</v>
      </c>
      <c r="AX47" s="194">
        <v>0</v>
      </c>
      <c r="AY47" s="193">
        <v>31.186868686868685</v>
      </c>
      <c r="AZ47" s="193">
        <v>54.112381779579223</v>
      </c>
      <c r="BA47" s="193">
        <v>9.8601460464517778</v>
      </c>
      <c r="BB47" s="193">
        <v>0.54807630444573119</v>
      </c>
      <c r="BC47" s="193">
        <v>0</v>
      </c>
      <c r="BD47" s="194">
        <v>4.2925271826545712</v>
      </c>
      <c r="BE47" s="192">
        <v>46.156594784353054</v>
      </c>
      <c r="BF47" s="193">
        <v>33.844658976930795</v>
      </c>
      <c r="BG47" s="193">
        <v>5.2720661985957857</v>
      </c>
      <c r="BH47" s="193">
        <v>0.21063189568706117</v>
      </c>
      <c r="BI47" s="193">
        <v>13.585757271815444</v>
      </c>
      <c r="BJ47" s="194">
        <v>0.93029087261785326</v>
      </c>
      <c r="BK47" s="192">
        <v>19.852505786725519</v>
      </c>
      <c r="BL47" s="193">
        <v>76.971523927437161</v>
      </c>
      <c r="BM47" s="193">
        <v>3.1759702858373253</v>
      </c>
      <c r="BN47" s="193">
        <v>0</v>
      </c>
      <c r="BO47" s="193">
        <v>0</v>
      </c>
      <c r="BP47" s="194">
        <v>0</v>
      </c>
      <c r="BQ47" s="192">
        <v>47.837966262770237</v>
      </c>
      <c r="BR47" s="193">
        <v>52.162033737229741</v>
      </c>
      <c r="BS47" s="193">
        <v>0</v>
      </c>
      <c r="BT47" s="193">
        <v>0</v>
      </c>
      <c r="BU47" s="193">
        <v>0</v>
      </c>
      <c r="BV47" s="194">
        <v>0</v>
      </c>
      <c r="BW47" s="192">
        <v>92.804232804232797</v>
      </c>
      <c r="BX47" s="193">
        <v>7.1957671957671954</v>
      </c>
      <c r="BY47" s="193">
        <v>0</v>
      </c>
      <c r="BZ47" s="193">
        <v>0</v>
      </c>
      <c r="CA47" s="193">
        <v>0</v>
      </c>
      <c r="CB47" s="194">
        <v>0</v>
      </c>
    </row>
    <row r="48" spans="1:80" ht="15.75" customHeight="1" x14ac:dyDescent="0.3">
      <c r="A48" s="130"/>
      <c r="B48" s="148" t="s">
        <v>10</v>
      </c>
      <c r="C48" s="97">
        <v>55.827122293648465</v>
      </c>
      <c r="D48" s="131">
        <v>36.807668259109853</v>
      </c>
      <c r="E48" s="131">
        <v>2.1280937003832405</v>
      </c>
      <c r="F48" s="131">
        <v>2.0882985878400295</v>
      </c>
      <c r="G48" s="131">
        <v>0.50475141605779517</v>
      </c>
      <c r="H48" s="191">
        <v>2.6440657429606316</v>
      </c>
      <c r="I48" s="97">
        <v>31.02663978198812</v>
      </c>
      <c r="J48" s="131">
        <v>58.244463935476752</v>
      </c>
      <c r="K48" s="131">
        <v>1.7470725692129436</v>
      </c>
      <c r="L48" s="131">
        <v>2.4787684400629182</v>
      </c>
      <c r="M48" s="131">
        <v>1.3418604801698524</v>
      </c>
      <c r="N48" s="191">
        <v>5.1611947930893862</v>
      </c>
      <c r="O48" s="97">
        <v>80.858610852398542</v>
      </c>
      <c r="P48" s="131">
        <v>17.408233089531983</v>
      </c>
      <c r="Q48" s="131">
        <v>6.5536967603870844E-2</v>
      </c>
      <c r="R48" s="131">
        <v>1.6676190904655837</v>
      </c>
      <c r="S48" s="131">
        <v>0</v>
      </c>
      <c r="T48" s="191">
        <v>0</v>
      </c>
      <c r="U48" s="97">
        <v>40.374580693253812</v>
      </c>
      <c r="V48" s="131">
        <v>56.796496459187473</v>
      </c>
      <c r="W48" s="131">
        <v>0</v>
      </c>
      <c r="X48" s="131">
        <v>6.4293701080879603E-2</v>
      </c>
      <c r="Y48" s="131">
        <v>0</v>
      </c>
      <c r="Z48" s="191">
        <v>2.764629146477823</v>
      </c>
      <c r="AA48" s="97">
        <v>62.052453494938305</v>
      </c>
      <c r="AB48" s="131">
        <v>31.553288674850915</v>
      </c>
      <c r="AC48" s="131">
        <v>1.1679747046765516</v>
      </c>
      <c r="AD48" s="131">
        <v>2.6911859554759256E-2</v>
      </c>
      <c r="AE48" s="131">
        <v>0</v>
      </c>
      <c r="AF48" s="191">
        <v>5.1993712659794884</v>
      </c>
      <c r="AG48" s="97">
        <v>77.751050742873588</v>
      </c>
      <c r="AH48" s="131">
        <v>22.031937354154277</v>
      </c>
      <c r="AI48" s="131">
        <v>0.21701190297214804</v>
      </c>
      <c r="AJ48" s="131">
        <v>0</v>
      </c>
      <c r="AK48" s="131">
        <v>0</v>
      </c>
      <c r="AL48" s="191">
        <v>0</v>
      </c>
      <c r="AM48" s="97">
        <v>66.157259658404527</v>
      </c>
      <c r="AN48" s="131">
        <v>27.254880067986793</v>
      </c>
      <c r="AO48" s="131">
        <v>3.934692892660995</v>
      </c>
      <c r="AP48" s="131">
        <v>0.95778395251508286</v>
      </c>
      <c r="AQ48" s="131">
        <v>0.21140038067943404</v>
      </c>
      <c r="AR48" s="131">
        <v>1.4839830477532032</v>
      </c>
      <c r="AS48" s="97">
        <v>100</v>
      </c>
      <c r="AT48" s="131">
        <v>0</v>
      </c>
      <c r="AU48" s="131">
        <v>0</v>
      </c>
      <c r="AV48" s="131">
        <v>0</v>
      </c>
      <c r="AW48" s="131">
        <v>0</v>
      </c>
      <c r="AX48" s="191">
        <v>0</v>
      </c>
      <c r="AY48" s="131">
        <v>42.896867588124636</v>
      </c>
      <c r="AZ48" s="131">
        <v>34.085049050203821</v>
      </c>
      <c r="BA48" s="131">
        <v>8.6133793631867341</v>
      </c>
      <c r="BB48" s="131">
        <v>12.88778501418345</v>
      </c>
      <c r="BC48" s="131">
        <v>0</v>
      </c>
      <c r="BD48" s="191">
        <v>1.516918984301352</v>
      </c>
      <c r="BE48" s="97">
        <v>53.313117756575537</v>
      </c>
      <c r="BF48" s="131">
        <v>41.667129169462712</v>
      </c>
      <c r="BG48" s="131">
        <v>4.0131788069446053</v>
      </c>
      <c r="BH48" s="131">
        <v>0.24369692780415447</v>
      </c>
      <c r="BI48" s="131">
        <v>9.5359667401625672E-2</v>
      </c>
      <c r="BJ48" s="191">
        <v>0.66751767181137966</v>
      </c>
      <c r="BK48" s="97">
        <v>45.977360784015808</v>
      </c>
      <c r="BL48" s="131">
        <v>50.896452176555499</v>
      </c>
      <c r="BM48" s="131">
        <v>0</v>
      </c>
      <c r="BN48" s="131">
        <v>0.66094355390108639</v>
      </c>
      <c r="BO48" s="131">
        <v>2.2411304413887412</v>
      </c>
      <c r="BP48" s="191">
        <v>0.22411304413887412</v>
      </c>
      <c r="BQ48" s="97">
        <v>33.87706680507155</v>
      </c>
      <c r="BR48" s="131">
        <v>66.12293319492845</v>
      </c>
      <c r="BS48" s="131">
        <v>0</v>
      </c>
      <c r="BT48" s="131">
        <v>0</v>
      </c>
      <c r="BU48" s="131">
        <v>0</v>
      </c>
      <c r="BV48" s="191">
        <v>0</v>
      </c>
      <c r="BW48" s="97">
        <v>89.261744966442961</v>
      </c>
      <c r="BX48" s="131">
        <v>10.738255033557047</v>
      </c>
      <c r="BY48" s="131">
        <v>0</v>
      </c>
      <c r="BZ48" s="131">
        <v>0</v>
      </c>
      <c r="CA48" s="131">
        <v>0</v>
      </c>
      <c r="CB48" s="191">
        <v>0</v>
      </c>
    </row>
    <row r="49" spans="1:80" s="109" customFormat="1" ht="15.75" customHeight="1" x14ac:dyDescent="0.3">
      <c r="A49" s="360"/>
      <c r="B49" s="401" t="s">
        <v>11</v>
      </c>
      <c r="C49" s="402">
        <v>55.226171670931912</v>
      </c>
      <c r="D49" s="405">
        <v>34.529016065645173</v>
      </c>
      <c r="E49" s="405">
        <v>2.3404825453509788</v>
      </c>
      <c r="F49" s="405">
        <v>2.5202304100957309</v>
      </c>
      <c r="G49" s="405">
        <v>0.69944243979563936</v>
      </c>
      <c r="H49" s="407">
        <v>4.6846568681804772</v>
      </c>
      <c r="I49" s="402">
        <v>37.373392310824308</v>
      </c>
      <c r="J49" s="405">
        <v>48.086719097639318</v>
      </c>
      <c r="K49" s="405">
        <v>1.656693520837718</v>
      </c>
      <c r="L49" s="405">
        <v>2.618817416427893</v>
      </c>
      <c r="M49" s="405">
        <v>0.57935426454404815</v>
      </c>
      <c r="N49" s="407">
        <v>9.685023389726668</v>
      </c>
      <c r="O49" s="402">
        <v>74.641008059738752</v>
      </c>
      <c r="P49" s="405">
        <v>23.143237284467972</v>
      </c>
      <c r="Q49" s="405">
        <v>0.20596176758648446</v>
      </c>
      <c r="R49" s="405">
        <v>2.0097928882067921</v>
      </c>
      <c r="S49" s="405">
        <v>0</v>
      </c>
      <c r="T49" s="407">
        <v>0</v>
      </c>
      <c r="U49" s="402">
        <v>41.718647235972149</v>
      </c>
      <c r="V49" s="405">
        <v>43.494755789400799</v>
      </c>
      <c r="W49" s="405">
        <v>0.86191976184706964</v>
      </c>
      <c r="X49" s="405">
        <v>13.685831977569313</v>
      </c>
      <c r="Y49" s="405">
        <v>0</v>
      </c>
      <c r="Z49" s="407">
        <v>0.23884523521063372</v>
      </c>
      <c r="AA49" s="402">
        <v>67.620171667070309</v>
      </c>
      <c r="AB49" s="405">
        <v>25.931304864739058</v>
      </c>
      <c r="AC49" s="405">
        <v>2.3613657879921122</v>
      </c>
      <c r="AD49" s="405">
        <v>1.8556902066735655E-2</v>
      </c>
      <c r="AE49" s="405">
        <v>0</v>
      </c>
      <c r="AF49" s="407">
        <v>4.0686007781317919</v>
      </c>
      <c r="AG49" s="402">
        <v>74.299957638304789</v>
      </c>
      <c r="AH49" s="405">
        <v>22.748230324834388</v>
      </c>
      <c r="AI49" s="405">
        <v>0</v>
      </c>
      <c r="AJ49" s="405">
        <v>0.16576315514817386</v>
      </c>
      <c r="AK49" s="405">
        <v>5.0956821767771963E-2</v>
      </c>
      <c r="AL49" s="407">
        <v>2.735092059944868</v>
      </c>
      <c r="AM49" s="402">
        <v>60.017456014247415</v>
      </c>
      <c r="AN49" s="405">
        <v>28.094920739269963</v>
      </c>
      <c r="AO49" s="405">
        <v>5.4391079339135633</v>
      </c>
      <c r="AP49" s="405">
        <v>2.663593052575258</v>
      </c>
      <c r="AQ49" s="405">
        <v>0</v>
      </c>
      <c r="AR49" s="405">
        <v>3.784922259993805</v>
      </c>
      <c r="AS49" s="402">
        <v>99.988654799587039</v>
      </c>
      <c r="AT49" s="405">
        <v>1.1345200412965294E-2</v>
      </c>
      <c r="AU49" s="405">
        <v>0</v>
      </c>
      <c r="AV49" s="405">
        <v>0</v>
      </c>
      <c r="AW49" s="405">
        <v>0</v>
      </c>
      <c r="AX49" s="407">
        <v>0</v>
      </c>
      <c r="AY49" s="405">
        <v>31.891510945008015</v>
      </c>
      <c r="AZ49" s="405">
        <v>50.101014415376397</v>
      </c>
      <c r="BA49" s="405">
        <v>4.6052322477309122</v>
      </c>
      <c r="BB49" s="405">
        <v>1.3223705285638014</v>
      </c>
      <c r="BC49" s="405">
        <v>10.835237586759211</v>
      </c>
      <c r="BD49" s="407">
        <v>1.2446342765616658</v>
      </c>
      <c r="BE49" s="402">
        <v>54.149250479937919</v>
      </c>
      <c r="BF49" s="405">
        <v>31.763040015249089</v>
      </c>
      <c r="BG49" s="405">
        <v>4.7539949442001257</v>
      </c>
      <c r="BH49" s="405">
        <v>8.6189134114849253</v>
      </c>
      <c r="BI49" s="405">
        <v>0.10483750187209825</v>
      </c>
      <c r="BJ49" s="407">
        <v>0.6099636472558444</v>
      </c>
      <c r="BK49" s="402">
        <v>30.403445149592024</v>
      </c>
      <c r="BL49" s="405">
        <v>65.997280145058923</v>
      </c>
      <c r="BM49" s="405">
        <v>0</v>
      </c>
      <c r="BN49" s="405">
        <v>0.65729827742520397</v>
      </c>
      <c r="BO49" s="405">
        <v>0</v>
      </c>
      <c r="BP49" s="407">
        <v>2.9419764279238438</v>
      </c>
      <c r="BQ49" s="402">
        <v>32.395317424583524</v>
      </c>
      <c r="BR49" s="405">
        <v>67.604682575416476</v>
      </c>
      <c r="BS49" s="405">
        <v>0</v>
      </c>
      <c r="BT49" s="405">
        <v>0</v>
      </c>
      <c r="BU49" s="405">
        <v>0</v>
      </c>
      <c r="BV49" s="407">
        <v>0</v>
      </c>
      <c r="BW49" s="402">
        <v>93.451899757477776</v>
      </c>
      <c r="BX49" s="405">
        <v>4.6079223928860147</v>
      </c>
      <c r="BY49" s="405">
        <v>0</v>
      </c>
      <c r="BZ49" s="405">
        <v>1.4551333872271623</v>
      </c>
      <c r="CA49" s="405">
        <v>0.48504446240905419</v>
      </c>
      <c r="CB49" s="407">
        <v>0</v>
      </c>
    </row>
    <row r="50" spans="1:80" s="109" customFormat="1" ht="15" customHeight="1" x14ac:dyDescent="0.3">
      <c r="A50" s="132"/>
      <c r="B50" s="133"/>
      <c r="C50" s="133"/>
      <c r="D50" s="133"/>
      <c r="E50" s="133"/>
      <c r="F50" s="133"/>
      <c r="G50" s="133"/>
      <c r="H50" s="133"/>
      <c r="I50" s="134"/>
      <c r="J50" s="134"/>
      <c r="K50" s="134"/>
      <c r="L50" s="134"/>
      <c r="M50" s="134"/>
      <c r="N50" s="134"/>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33"/>
      <c r="BU50" s="133"/>
      <c r="BV50" s="133"/>
      <c r="BW50" s="133"/>
      <c r="BX50" s="133"/>
      <c r="BY50" s="133"/>
      <c r="BZ50" s="133"/>
      <c r="CA50" s="133"/>
      <c r="CB50" s="135"/>
    </row>
    <row r="51" spans="1:80" s="109" customFormat="1" x14ac:dyDescent="0.3">
      <c r="A51" s="108"/>
      <c r="B51" s="109" t="s">
        <v>84</v>
      </c>
      <c r="C51" s="140"/>
      <c r="D51" s="140"/>
      <c r="E51" s="140"/>
      <c r="F51" s="140"/>
      <c r="G51" s="140"/>
      <c r="H51" s="140"/>
      <c r="I51" s="140"/>
      <c r="J51" s="140"/>
      <c r="K51" s="140"/>
      <c r="L51" s="141"/>
      <c r="M51" s="141"/>
      <c r="N51" s="141"/>
      <c r="O51" s="140"/>
      <c r="P51" s="140"/>
      <c r="Q51" s="140"/>
      <c r="R51" s="140"/>
      <c r="S51" s="140"/>
      <c r="T51" s="140"/>
      <c r="U51" s="140"/>
      <c r="V51" s="140"/>
      <c r="W51" s="140"/>
      <c r="X51" s="140"/>
      <c r="Y51" s="140"/>
      <c r="Z51" s="140"/>
      <c r="CB51" s="111"/>
    </row>
    <row r="52" spans="1:80" s="114" customFormat="1" ht="14.25" customHeight="1" x14ac:dyDescent="0.3">
      <c r="A52" s="113"/>
      <c r="B52" s="140" t="s">
        <v>17</v>
      </c>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36"/>
      <c r="BB52" s="136"/>
      <c r="BC52" s="136"/>
      <c r="BD52" s="136"/>
      <c r="CB52" s="115"/>
    </row>
    <row r="53" spans="1:80" s="117" customFormat="1" x14ac:dyDescent="0.3">
      <c r="A53" s="116"/>
      <c r="B53" s="140" t="s">
        <v>60</v>
      </c>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12"/>
      <c r="BA53" s="136"/>
      <c r="BB53" s="136"/>
      <c r="BC53" s="136"/>
      <c r="BD53" s="136"/>
      <c r="CB53" s="118"/>
    </row>
    <row r="54" spans="1:80" s="117" customFormat="1" x14ac:dyDescent="0.3">
      <c r="A54" s="116"/>
      <c r="B54" s="437" t="s">
        <v>121</v>
      </c>
      <c r="C54" s="437"/>
      <c r="D54" s="437"/>
      <c r="E54" s="437"/>
      <c r="F54" s="437"/>
      <c r="G54" s="437"/>
      <c r="H54" s="437"/>
      <c r="I54" s="437"/>
      <c r="J54" s="437"/>
      <c r="K54" s="437"/>
      <c r="L54" s="437"/>
      <c r="M54" s="437"/>
      <c r="N54" s="437"/>
      <c r="O54" s="437"/>
      <c r="P54" s="140"/>
      <c r="Q54" s="140"/>
      <c r="R54" s="140"/>
      <c r="S54" s="140"/>
      <c r="T54" s="140"/>
      <c r="U54" s="140"/>
      <c r="V54" s="140"/>
      <c r="W54" s="140"/>
      <c r="X54" s="140"/>
      <c r="Y54" s="140"/>
      <c r="Z54" s="140"/>
      <c r="AA54" s="112"/>
      <c r="AB54" s="112"/>
      <c r="AC54" s="112"/>
      <c r="AD54" s="112"/>
      <c r="AE54" s="112"/>
      <c r="AF54" s="112"/>
      <c r="AG54" s="112"/>
      <c r="AH54" s="112"/>
      <c r="AI54" s="112"/>
      <c r="AJ54" s="112"/>
      <c r="AK54" s="112"/>
      <c r="AL54" s="112"/>
      <c r="AM54" s="112"/>
      <c r="AN54" s="112"/>
      <c r="AO54" s="112"/>
      <c r="AP54" s="112"/>
      <c r="AQ54" s="112"/>
      <c r="AR54" s="112"/>
      <c r="AS54" s="112"/>
      <c r="AT54" s="112"/>
      <c r="AU54" s="112"/>
      <c r="AV54" s="112"/>
      <c r="AW54" s="112"/>
      <c r="AX54" s="112"/>
      <c r="AY54" s="112"/>
      <c r="AZ54" s="112"/>
      <c r="BA54" s="284"/>
      <c r="BB54" s="284"/>
      <c r="BC54" s="284"/>
      <c r="BD54" s="284"/>
      <c r="CB54" s="118"/>
    </row>
    <row r="55" spans="1:80" ht="15" customHeight="1" x14ac:dyDescent="0.3">
      <c r="A55" s="123"/>
      <c r="B55" s="124" t="str">
        <f>'1.1 V.A Ing.real'!B45</f>
        <v>Actualizado el 15 de diciembre de 2021</v>
      </c>
      <c r="C55" s="124"/>
      <c r="D55" s="124"/>
      <c r="E55" s="124"/>
      <c r="F55" s="124"/>
      <c r="G55" s="124"/>
      <c r="H55" s="124"/>
      <c r="I55" s="124"/>
      <c r="J55" s="124"/>
      <c r="K55" s="124"/>
      <c r="L55" s="124"/>
      <c r="M55" s="124"/>
      <c r="N55" s="124"/>
      <c r="O55" s="124"/>
      <c r="P55" s="124"/>
      <c r="Q55" s="124"/>
      <c r="R55" s="143"/>
      <c r="S55" s="143"/>
      <c r="T55" s="143"/>
      <c r="U55" s="143"/>
      <c r="V55" s="143"/>
      <c r="W55" s="83"/>
      <c r="X55" s="83"/>
      <c r="Y55" s="83"/>
      <c r="Z55" s="83"/>
      <c r="AA55" s="124"/>
      <c r="AB55" s="124"/>
      <c r="AC55" s="195"/>
      <c r="AD55" s="195"/>
      <c r="AE55" s="195"/>
      <c r="AF55" s="195"/>
      <c r="AG55" s="195"/>
      <c r="AH55" s="195"/>
      <c r="AI55" s="195"/>
      <c r="AJ55" s="195"/>
      <c r="AK55" s="195"/>
      <c r="AL55" s="195"/>
      <c r="AM55" s="124"/>
      <c r="AN55" s="124"/>
      <c r="AO55" s="124"/>
      <c r="AP55" s="124"/>
      <c r="AQ55" s="124"/>
      <c r="AR55" s="124"/>
      <c r="AS55" s="124"/>
      <c r="AT55" s="124"/>
      <c r="AU55" s="144"/>
      <c r="AV55" s="144"/>
      <c r="AW55" s="144"/>
      <c r="AX55" s="144"/>
      <c r="CB55" s="102"/>
    </row>
    <row r="56" spans="1:80" s="83" customFormat="1" x14ac:dyDescent="0.3">
      <c r="A56" s="125"/>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c r="AC56" s="196"/>
      <c r="AD56" s="196"/>
      <c r="AE56" s="196"/>
      <c r="AF56" s="196"/>
      <c r="AG56" s="196"/>
      <c r="AH56" s="196"/>
      <c r="AI56" s="196"/>
      <c r="AJ56" s="196"/>
      <c r="AK56" s="196"/>
      <c r="AL56" s="19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6"/>
      <c r="BZ56" s="126"/>
      <c r="CA56" s="126"/>
      <c r="CB56" s="127"/>
    </row>
  </sheetData>
  <mergeCells count="17">
    <mergeCell ref="B54:O54"/>
    <mergeCell ref="A7:K8"/>
    <mergeCell ref="U14:Z14"/>
    <mergeCell ref="A14:A15"/>
    <mergeCell ref="B14:B15"/>
    <mergeCell ref="C14:H14"/>
    <mergeCell ref="I14:N14"/>
    <mergeCell ref="O14:T14"/>
    <mergeCell ref="BQ14:BV14"/>
    <mergeCell ref="BW14:CB14"/>
    <mergeCell ref="AA14:AF14"/>
    <mergeCell ref="AG14:AL14"/>
    <mergeCell ref="AM14:AR14"/>
    <mergeCell ref="AS14:AX14"/>
    <mergeCell ref="AY14:BD14"/>
    <mergeCell ref="BE14:BJ14"/>
    <mergeCell ref="BK14:BP14"/>
  </mergeCells>
  <hyperlinks>
    <hyperlink ref="L4" location="Contenido!A1" display="Inicio" xr:uid="{00000000-0004-0000-12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B57"/>
  <sheetViews>
    <sheetView showGridLines="0" zoomScale="80" zoomScaleNormal="80" workbookViewId="0">
      <pane ySplit="16" topLeftCell="A17" activePane="bottomLeft" state="frozen"/>
      <selection pane="bottomLeft" activeCell="A7" sqref="A7:F8"/>
    </sheetView>
  </sheetViews>
  <sheetFormatPr baseColWidth="10" defaultColWidth="9.140625" defaultRowHeight="12" x14ac:dyDescent="0.2"/>
  <cols>
    <col min="1" max="1" width="8.7109375" style="9" customWidth="1"/>
    <col min="2" max="2" width="15.85546875" style="51" customWidth="1"/>
    <col min="3" max="3" width="9" style="11" bestFit="1" customWidth="1"/>
    <col min="4" max="4" width="11.140625" style="11" bestFit="1" customWidth="1"/>
    <col min="5" max="5" width="12.85546875" style="9" bestFit="1" customWidth="1"/>
    <col min="6" max="6" width="10.42578125" style="9" customWidth="1"/>
    <col min="7" max="7" width="12.85546875" style="9" bestFit="1" customWidth="1"/>
    <col min="8" max="8" width="11" style="9" bestFit="1" customWidth="1"/>
    <col min="9" max="9" width="12.85546875" style="9" bestFit="1" customWidth="1"/>
    <col min="10" max="10" width="11" style="9" bestFit="1" customWidth="1"/>
    <col min="11" max="11" width="12.85546875" style="9" bestFit="1" customWidth="1"/>
    <col min="12" max="12" width="11" style="9" bestFit="1" customWidth="1"/>
    <col min="13" max="13" width="12.85546875" style="9" bestFit="1" customWidth="1"/>
    <col min="14" max="14" width="9.140625" style="9"/>
    <col min="15" max="15" width="12.85546875" style="9" bestFit="1" customWidth="1"/>
    <col min="16" max="16" width="11" style="9" bestFit="1" customWidth="1"/>
    <col min="17" max="17" width="12.85546875" style="9" bestFit="1" customWidth="1"/>
    <col min="18" max="18" width="11" style="9" bestFit="1" customWidth="1"/>
    <col min="19" max="19" width="12.85546875" style="9" bestFit="1" customWidth="1"/>
    <col min="20" max="20" width="11" style="9" bestFit="1" customWidth="1"/>
    <col min="21" max="21" width="12.85546875" style="9" bestFit="1" customWidth="1"/>
    <col min="22" max="22" width="11" style="9" bestFit="1" customWidth="1"/>
    <col min="23" max="23" width="12.85546875" style="9" bestFit="1" customWidth="1"/>
    <col min="24" max="24" width="11" style="9" bestFit="1" customWidth="1"/>
    <col min="25" max="25" width="12.85546875" style="9" bestFit="1" customWidth="1"/>
    <col min="26" max="26" width="11.140625" style="9" bestFit="1" customWidth="1"/>
    <col min="27" max="27" width="12.85546875" style="9" bestFit="1" customWidth="1"/>
    <col min="28" max="28" width="11" style="9" bestFit="1" customWidth="1"/>
    <col min="29" max="16384" width="9.140625" style="9"/>
  </cols>
  <sheetData>
    <row r="1" spans="1:28" s="3" customFormat="1" ht="12" customHeight="1" x14ac:dyDescent="0.2">
      <c r="A1" s="5"/>
      <c r="B1" s="5"/>
      <c r="C1" s="5"/>
      <c r="D1" s="5"/>
    </row>
    <row r="2" spans="1:28" s="6" customFormat="1" ht="16.5" x14ac:dyDescent="0.3">
      <c r="A2" s="5"/>
      <c r="B2" s="5"/>
      <c r="C2" s="5"/>
      <c r="D2" s="5"/>
      <c r="E2" s="85"/>
    </row>
    <row r="3" spans="1:28" s="6" customFormat="1" ht="16.5" x14ac:dyDescent="0.3">
      <c r="A3" s="5"/>
      <c r="B3" s="5"/>
      <c r="C3" s="5"/>
      <c r="D3" s="5"/>
      <c r="G3" s="88" t="s">
        <v>0</v>
      </c>
    </row>
    <row r="4" spans="1:28" s="6" customFormat="1" ht="16.5" x14ac:dyDescent="0.3">
      <c r="A4" s="5"/>
      <c r="B4" s="5"/>
      <c r="C4" s="5"/>
      <c r="D4" s="5"/>
      <c r="E4" s="85"/>
    </row>
    <row r="5" spans="1:28" s="6" customFormat="1" ht="16.5" x14ac:dyDescent="0.3">
      <c r="A5" s="5"/>
      <c r="B5" s="5"/>
      <c r="C5" s="5"/>
      <c r="D5" s="5"/>
      <c r="E5" s="85"/>
    </row>
    <row r="6" spans="1:28" s="6" customFormat="1" x14ac:dyDescent="0.2">
      <c r="A6" s="5"/>
      <c r="B6" s="5"/>
      <c r="C6" s="5"/>
      <c r="D6" s="5"/>
      <c r="E6" s="52"/>
    </row>
    <row r="7" spans="1:28" s="6" customFormat="1" ht="15" customHeight="1" x14ac:dyDescent="0.2">
      <c r="A7" s="439" t="s">
        <v>4</v>
      </c>
      <c r="B7" s="439"/>
      <c r="C7" s="439"/>
      <c r="D7" s="439"/>
      <c r="E7" s="439"/>
      <c r="F7" s="439"/>
    </row>
    <row r="8" spans="1:28" s="6" customFormat="1" ht="15" customHeight="1" x14ac:dyDescent="0.2">
      <c r="A8" s="439"/>
      <c r="B8" s="439"/>
      <c r="C8" s="439"/>
      <c r="D8" s="439"/>
      <c r="E8" s="439"/>
      <c r="F8" s="439"/>
    </row>
    <row r="9" spans="1:28" s="3" customFormat="1" ht="15" customHeight="1" x14ac:dyDescent="0.2">
      <c r="A9" s="250"/>
      <c r="B9" s="441"/>
      <c r="C9" s="441"/>
      <c r="D9" s="441"/>
      <c r="E9" s="441"/>
      <c r="F9" s="441"/>
    </row>
    <row r="10" spans="1:28" ht="15" customHeight="1" x14ac:dyDescent="0.2">
      <c r="A10" s="7" t="s">
        <v>165</v>
      </c>
      <c r="B10" s="251"/>
      <c r="C10" s="8"/>
      <c r="D10" s="8"/>
      <c r="E10" s="251"/>
      <c r="F10" s="8"/>
    </row>
    <row r="11" spans="1:28" ht="15" customHeight="1" x14ac:dyDescent="0.2">
      <c r="A11" s="7" t="s">
        <v>79</v>
      </c>
      <c r="B11" s="251"/>
      <c r="C11" s="8"/>
      <c r="D11" s="8"/>
      <c r="E11" s="251"/>
      <c r="F11" s="8"/>
    </row>
    <row r="12" spans="1:28" ht="15" customHeight="1" x14ac:dyDescent="0.2">
      <c r="A12" s="249" t="str">
        <f>'5.2 Porc Mens Ocupación.reg'!A12</f>
        <v>Enero 2019 - octubre 2021</v>
      </c>
      <c r="B12" s="251"/>
      <c r="C12" s="10"/>
      <c r="D12" s="10"/>
      <c r="E12" s="251"/>
      <c r="F12" s="10"/>
    </row>
    <row r="13" spans="1:28" ht="15" customHeight="1" x14ac:dyDescent="0.2">
      <c r="A13" s="249" t="s">
        <v>53</v>
      </c>
      <c r="B13" s="251"/>
      <c r="C13" s="8"/>
      <c r="D13" s="8"/>
      <c r="E13" s="251"/>
      <c r="F13" s="8"/>
    </row>
    <row r="14" spans="1:28" ht="15" customHeight="1" x14ac:dyDescent="0.2">
      <c r="A14" s="249"/>
      <c r="B14" s="251"/>
      <c r="C14" s="8"/>
      <c r="D14" s="8"/>
      <c r="E14" s="251"/>
      <c r="F14" s="8"/>
    </row>
    <row r="15" spans="1:28" s="95" customFormat="1" ht="32.1" customHeight="1" x14ac:dyDescent="0.3">
      <c r="A15" s="442" t="s">
        <v>25</v>
      </c>
      <c r="B15" s="442" t="s">
        <v>43</v>
      </c>
      <c r="C15" s="440" t="s">
        <v>24</v>
      </c>
      <c r="D15" s="440"/>
      <c r="E15" s="440" t="s">
        <v>5</v>
      </c>
      <c r="F15" s="440"/>
      <c r="G15" s="440" t="s">
        <v>6</v>
      </c>
      <c r="H15" s="440"/>
      <c r="I15" s="440" t="s">
        <v>20</v>
      </c>
      <c r="J15" s="440"/>
      <c r="K15" s="440" t="s">
        <v>21</v>
      </c>
      <c r="L15" s="440"/>
      <c r="M15" s="440" t="s">
        <v>22</v>
      </c>
      <c r="N15" s="440"/>
      <c r="O15" s="440" t="s">
        <v>3</v>
      </c>
      <c r="P15" s="440"/>
      <c r="Q15" s="440" t="s">
        <v>7</v>
      </c>
      <c r="R15" s="440"/>
      <c r="S15" s="440" t="s">
        <v>41</v>
      </c>
      <c r="T15" s="440"/>
      <c r="U15" s="440" t="s">
        <v>38</v>
      </c>
      <c r="V15" s="440"/>
      <c r="W15" s="440" t="s">
        <v>42</v>
      </c>
      <c r="X15" s="440"/>
      <c r="Y15" s="440" t="s">
        <v>23</v>
      </c>
      <c r="Z15" s="440"/>
      <c r="AA15" s="440" t="s">
        <v>40</v>
      </c>
      <c r="AB15" s="443"/>
    </row>
    <row r="16" spans="1:28" s="15" customFormat="1" ht="33.75" customHeight="1" x14ac:dyDescent="0.25">
      <c r="A16" s="442"/>
      <c r="B16" s="442"/>
      <c r="C16" s="13" t="s">
        <v>163</v>
      </c>
      <c r="D16" s="14" t="s">
        <v>164</v>
      </c>
      <c r="E16" s="13" t="s">
        <v>163</v>
      </c>
      <c r="F16" s="14" t="s">
        <v>164</v>
      </c>
      <c r="G16" s="13" t="s">
        <v>163</v>
      </c>
      <c r="H16" s="14" t="s">
        <v>164</v>
      </c>
      <c r="I16" s="13" t="s">
        <v>163</v>
      </c>
      <c r="J16" s="14" t="s">
        <v>164</v>
      </c>
      <c r="K16" s="13" t="s">
        <v>163</v>
      </c>
      <c r="L16" s="14" t="s">
        <v>164</v>
      </c>
      <c r="M16" s="13" t="s">
        <v>163</v>
      </c>
      <c r="N16" s="14" t="s">
        <v>164</v>
      </c>
      <c r="O16" s="13" t="s">
        <v>163</v>
      </c>
      <c r="P16" s="14" t="s">
        <v>164</v>
      </c>
      <c r="Q16" s="13" t="s">
        <v>163</v>
      </c>
      <c r="R16" s="14" t="s">
        <v>164</v>
      </c>
      <c r="S16" s="13" t="s">
        <v>163</v>
      </c>
      <c r="T16" s="14" t="s">
        <v>164</v>
      </c>
      <c r="U16" s="13" t="s">
        <v>163</v>
      </c>
      <c r="V16" s="14" t="s">
        <v>164</v>
      </c>
      <c r="W16" s="13" t="s">
        <v>163</v>
      </c>
      <c r="X16" s="14" t="s">
        <v>164</v>
      </c>
      <c r="Y16" s="13" t="s">
        <v>163</v>
      </c>
      <c r="Z16" s="14" t="s">
        <v>164</v>
      </c>
      <c r="AA16" s="13" t="s">
        <v>163</v>
      </c>
      <c r="AB16" s="14" t="s">
        <v>164</v>
      </c>
    </row>
    <row r="17" spans="1:28" s="24" customFormat="1" ht="15" customHeight="1" x14ac:dyDescent="0.2">
      <c r="A17" s="63" t="s">
        <v>51</v>
      </c>
      <c r="B17" s="64" t="s">
        <v>47</v>
      </c>
      <c r="C17" s="65">
        <v>71.463328313244119</v>
      </c>
      <c r="D17" s="66">
        <v>28.536671686755955</v>
      </c>
      <c r="E17" s="65">
        <v>50.666216564660004</v>
      </c>
      <c r="F17" s="66">
        <v>49.333783435339996</v>
      </c>
      <c r="G17" s="65">
        <v>51.711692620497942</v>
      </c>
      <c r="H17" s="66">
        <v>48.288307379502079</v>
      </c>
      <c r="I17" s="65">
        <v>94.447741423115943</v>
      </c>
      <c r="J17" s="66">
        <v>5.5522585768840589</v>
      </c>
      <c r="K17" s="65">
        <v>77.57459129928958</v>
      </c>
      <c r="L17" s="66">
        <v>22.42540870071041</v>
      </c>
      <c r="M17" s="65">
        <v>86.408547020363287</v>
      </c>
      <c r="N17" s="66">
        <v>13.591452979636736</v>
      </c>
      <c r="O17" s="65">
        <v>69.373536314270766</v>
      </c>
      <c r="P17" s="66">
        <v>30.626463685729217</v>
      </c>
      <c r="Q17" s="65">
        <v>71.746202721980552</v>
      </c>
      <c r="R17" s="66">
        <v>28.25379727801942</v>
      </c>
      <c r="S17" s="65">
        <v>82.414973414115124</v>
      </c>
      <c r="T17" s="66">
        <v>17.585026585884844</v>
      </c>
      <c r="U17" s="65">
        <v>87.728390540442973</v>
      </c>
      <c r="V17" s="66">
        <v>12.271609459556988</v>
      </c>
      <c r="W17" s="65">
        <v>96.095242984843026</v>
      </c>
      <c r="X17" s="66">
        <v>3.9047570151569606</v>
      </c>
      <c r="Y17" s="65">
        <v>93.513262508669555</v>
      </c>
      <c r="Z17" s="66">
        <v>6.4867374913304783</v>
      </c>
      <c r="AA17" s="65">
        <v>92.981621703892543</v>
      </c>
      <c r="AB17" s="66">
        <v>7.0183782961074543</v>
      </c>
    </row>
    <row r="18" spans="1:28" s="24" customFormat="1" ht="15" customHeight="1" x14ac:dyDescent="0.2">
      <c r="A18" s="16"/>
      <c r="B18" s="20" t="s">
        <v>48</v>
      </c>
      <c r="C18" s="21">
        <v>65.457320061482491</v>
      </c>
      <c r="D18" s="22">
        <v>34.542679938517516</v>
      </c>
      <c r="E18" s="21">
        <v>48.782314309645827</v>
      </c>
      <c r="F18" s="22">
        <v>51.217685690354209</v>
      </c>
      <c r="G18" s="21">
        <v>44.181913188510798</v>
      </c>
      <c r="H18" s="22">
        <v>55.818086811489209</v>
      </c>
      <c r="I18" s="21">
        <v>90.931889425048652</v>
      </c>
      <c r="J18" s="22">
        <v>9.068110574951378</v>
      </c>
      <c r="K18" s="21">
        <v>74.919687213755068</v>
      </c>
      <c r="L18" s="22">
        <v>25.080312786244896</v>
      </c>
      <c r="M18" s="21">
        <v>85.824710234881096</v>
      </c>
      <c r="N18" s="22">
        <v>14.175289765118857</v>
      </c>
      <c r="O18" s="21">
        <v>65.634131125377976</v>
      </c>
      <c r="P18" s="22">
        <v>34.365868874622095</v>
      </c>
      <c r="Q18" s="21">
        <v>69.163001932942976</v>
      </c>
      <c r="R18" s="22">
        <v>30.836998067057031</v>
      </c>
      <c r="S18" s="21">
        <v>77.904746766390033</v>
      </c>
      <c r="T18" s="22">
        <v>22.095253233609995</v>
      </c>
      <c r="U18" s="21">
        <v>82.222733594810165</v>
      </c>
      <c r="V18" s="22">
        <v>17.777266405189835</v>
      </c>
      <c r="W18" s="21">
        <v>95.472105422761118</v>
      </c>
      <c r="X18" s="22">
        <v>4.5278945772388814</v>
      </c>
      <c r="Y18" s="21">
        <v>90.901690591182401</v>
      </c>
      <c r="Z18" s="22">
        <v>9.0983094088175918</v>
      </c>
      <c r="AA18" s="21">
        <v>94.302357331391633</v>
      </c>
      <c r="AB18" s="22">
        <v>5.6976426686083554</v>
      </c>
    </row>
    <row r="19" spans="1:28" s="24" customFormat="1" ht="15" customHeight="1" x14ac:dyDescent="0.2">
      <c r="A19" s="16"/>
      <c r="B19" s="64" t="s">
        <v>49</v>
      </c>
      <c r="C19" s="65">
        <v>67.46539758611712</v>
      </c>
      <c r="D19" s="66">
        <v>32.534602413882759</v>
      </c>
      <c r="E19" s="65">
        <v>52.558684692206405</v>
      </c>
      <c r="F19" s="66">
        <v>47.441315307793559</v>
      </c>
      <c r="G19" s="65">
        <v>47.613114139099892</v>
      </c>
      <c r="H19" s="66">
        <v>52.38688586090008</v>
      </c>
      <c r="I19" s="65">
        <v>92.014581305849845</v>
      </c>
      <c r="J19" s="66">
        <v>7.9854186941501997</v>
      </c>
      <c r="K19" s="65">
        <v>74.700805568120217</v>
      </c>
      <c r="L19" s="66">
        <v>25.299194431879794</v>
      </c>
      <c r="M19" s="65">
        <v>88.059809812480623</v>
      </c>
      <c r="N19" s="66">
        <v>11.940190187519343</v>
      </c>
      <c r="O19" s="65">
        <v>66.13344579537798</v>
      </c>
      <c r="P19" s="66">
        <v>33.866554204622034</v>
      </c>
      <c r="Q19" s="65">
        <v>67.749360739871378</v>
      </c>
      <c r="R19" s="66">
        <v>32.250639260128615</v>
      </c>
      <c r="S19" s="65">
        <v>80.823315251645596</v>
      </c>
      <c r="T19" s="66">
        <v>19.17668474835439</v>
      </c>
      <c r="U19" s="65">
        <v>83.526759748816218</v>
      </c>
      <c r="V19" s="66">
        <v>16.473240251183789</v>
      </c>
      <c r="W19" s="65">
        <v>95.493271051094325</v>
      </c>
      <c r="X19" s="66">
        <v>4.5067289489056606</v>
      </c>
      <c r="Y19" s="65">
        <v>90.434928806518229</v>
      </c>
      <c r="Z19" s="66">
        <v>9.5650711934817618</v>
      </c>
      <c r="AA19" s="65">
        <v>91.823707363103992</v>
      </c>
      <c r="AB19" s="66">
        <v>8.1762926368960063</v>
      </c>
    </row>
    <row r="20" spans="1:28" s="24" customFormat="1" ht="15" customHeight="1" x14ac:dyDescent="0.2">
      <c r="A20" s="16"/>
      <c r="B20" s="20" t="s">
        <v>14</v>
      </c>
      <c r="C20" s="21">
        <v>68.513007336819911</v>
      </c>
      <c r="D20" s="22">
        <v>31.486992663180231</v>
      </c>
      <c r="E20" s="21">
        <v>47.246251827350719</v>
      </c>
      <c r="F20" s="22">
        <v>52.753748172649274</v>
      </c>
      <c r="G20" s="21">
        <v>49.642757700536386</v>
      </c>
      <c r="H20" s="22">
        <v>50.3572422994636</v>
      </c>
      <c r="I20" s="21">
        <v>94.62297310452783</v>
      </c>
      <c r="J20" s="22">
        <v>5.3770268954721363</v>
      </c>
      <c r="K20" s="21">
        <v>76.065553426027876</v>
      </c>
      <c r="L20" s="22">
        <v>23.934446573972128</v>
      </c>
      <c r="M20" s="21">
        <v>87.87968530994263</v>
      </c>
      <c r="N20" s="22">
        <v>12.120314690057421</v>
      </c>
      <c r="O20" s="21">
        <v>69.260660712424624</v>
      </c>
      <c r="P20" s="22">
        <v>30.739339287575419</v>
      </c>
      <c r="Q20" s="21">
        <v>69.186076118764902</v>
      </c>
      <c r="R20" s="22">
        <v>30.813923881235123</v>
      </c>
      <c r="S20" s="21">
        <v>81.39457630659912</v>
      </c>
      <c r="T20" s="22">
        <v>18.605423693400859</v>
      </c>
      <c r="U20" s="21">
        <v>84.653340043297149</v>
      </c>
      <c r="V20" s="22">
        <v>15.346659956702869</v>
      </c>
      <c r="W20" s="21">
        <v>95.074248248105292</v>
      </c>
      <c r="X20" s="22">
        <v>4.9257517518947278</v>
      </c>
      <c r="Y20" s="21">
        <v>94.243706262144443</v>
      </c>
      <c r="Z20" s="22">
        <v>5.756293737855545</v>
      </c>
      <c r="AA20" s="21">
        <v>93.212116723448375</v>
      </c>
      <c r="AB20" s="22">
        <v>6.7878832765516224</v>
      </c>
    </row>
    <row r="21" spans="1:28" s="24" customFormat="1" ht="15" customHeight="1" x14ac:dyDescent="0.2">
      <c r="A21" s="16"/>
      <c r="B21" s="64" t="s">
        <v>15</v>
      </c>
      <c r="C21" s="65">
        <v>67.477141534031645</v>
      </c>
      <c r="D21" s="66">
        <v>32.522858465968277</v>
      </c>
      <c r="E21" s="65">
        <v>47.052591063390807</v>
      </c>
      <c r="F21" s="66">
        <v>52.947408936609186</v>
      </c>
      <c r="G21" s="65">
        <v>48.17904387543409</v>
      </c>
      <c r="H21" s="66">
        <v>51.820956124565953</v>
      </c>
      <c r="I21" s="65">
        <v>93.002500261269333</v>
      </c>
      <c r="J21" s="66">
        <v>6.9974997387306228</v>
      </c>
      <c r="K21" s="65">
        <v>76.610053041812904</v>
      </c>
      <c r="L21" s="66">
        <v>23.389946958187082</v>
      </c>
      <c r="M21" s="65">
        <v>89.297302723484663</v>
      </c>
      <c r="N21" s="66">
        <v>10.702697276515327</v>
      </c>
      <c r="O21" s="65">
        <v>67.603959816561684</v>
      </c>
      <c r="P21" s="66">
        <v>32.396040183438281</v>
      </c>
      <c r="Q21" s="65">
        <v>71.677083397775945</v>
      </c>
      <c r="R21" s="66">
        <v>28.322916602224108</v>
      </c>
      <c r="S21" s="65">
        <v>81.962818849978419</v>
      </c>
      <c r="T21" s="66">
        <v>18.037181150021624</v>
      </c>
      <c r="U21" s="65">
        <v>83.977254077566172</v>
      </c>
      <c r="V21" s="66">
        <v>16.022745922433849</v>
      </c>
      <c r="W21" s="65">
        <v>95.327983902020918</v>
      </c>
      <c r="X21" s="66">
        <v>4.672016097979057</v>
      </c>
      <c r="Y21" s="65">
        <v>94.538687255812235</v>
      </c>
      <c r="Z21" s="66">
        <v>5.4613127441877767</v>
      </c>
      <c r="AA21" s="65">
        <v>94.259993016653766</v>
      </c>
      <c r="AB21" s="66">
        <v>5.7400069833462375</v>
      </c>
    </row>
    <row r="22" spans="1:28" s="24" customFormat="1" ht="14.25" customHeight="1" x14ac:dyDescent="0.2">
      <c r="A22" s="16"/>
      <c r="B22" s="20" t="s">
        <v>16</v>
      </c>
      <c r="C22" s="21">
        <v>71.842606153791195</v>
      </c>
      <c r="D22" s="22">
        <v>28.157393846208791</v>
      </c>
      <c r="E22" s="21">
        <v>47.368987544467089</v>
      </c>
      <c r="F22" s="22">
        <v>52.631012455532932</v>
      </c>
      <c r="G22" s="21">
        <v>58.631251860155309</v>
      </c>
      <c r="H22" s="22">
        <v>41.368748139844719</v>
      </c>
      <c r="I22" s="21">
        <v>94.774754630956082</v>
      </c>
      <c r="J22" s="22">
        <v>5.2252453690439182</v>
      </c>
      <c r="K22" s="21">
        <v>80.362305677657957</v>
      </c>
      <c r="L22" s="22">
        <v>19.637694322342025</v>
      </c>
      <c r="M22" s="21">
        <v>88.896667284029547</v>
      </c>
      <c r="N22" s="22">
        <v>11.103332715970419</v>
      </c>
      <c r="O22" s="21">
        <v>71.334600861786583</v>
      </c>
      <c r="P22" s="22">
        <v>28.665399138213481</v>
      </c>
      <c r="Q22" s="21">
        <v>70.721788885410348</v>
      </c>
      <c r="R22" s="22">
        <v>29.278211114589642</v>
      </c>
      <c r="S22" s="21">
        <v>81.724533629580961</v>
      </c>
      <c r="T22" s="22">
        <v>18.275466370419039</v>
      </c>
      <c r="U22" s="21">
        <v>84.943801067144548</v>
      </c>
      <c r="V22" s="22">
        <v>15.056198932855485</v>
      </c>
      <c r="W22" s="21">
        <v>90.637484369289979</v>
      </c>
      <c r="X22" s="22">
        <v>9.3625156307100248</v>
      </c>
      <c r="Y22" s="21">
        <v>95.007783281107876</v>
      </c>
      <c r="Z22" s="22">
        <v>4.9922167188921476</v>
      </c>
      <c r="AA22" s="21">
        <v>94.212342951815543</v>
      </c>
      <c r="AB22" s="22">
        <v>5.787657048184454</v>
      </c>
    </row>
    <row r="23" spans="1:28" s="24" customFormat="1" ht="15" customHeight="1" x14ac:dyDescent="0.2">
      <c r="A23" s="16"/>
      <c r="B23" s="64" t="s">
        <v>8</v>
      </c>
      <c r="C23" s="65">
        <v>70.944447311551713</v>
      </c>
      <c r="D23" s="66">
        <v>29.055552688448216</v>
      </c>
      <c r="E23" s="65">
        <v>54.757107100089677</v>
      </c>
      <c r="F23" s="66">
        <v>45.242892899910316</v>
      </c>
      <c r="G23" s="65">
        <v>53.533111158349087</v>
      </c>
      <c r="H23" s="66">
        <v>46.466888841650963</v>
      </c>
      <c r="I23" s="65">
        <v>94.740988388656817</v>
      </c>
      <c r="J23" s="66">
        <v>5.2590116113432224</v>
      </c>
      <c r="K23" s="65">
        <v>76.46677676935289</v>
      </c>
      <c r="L23" s="66">
        <v>23.533223230647089</v>
      </c>
      <c r="M23" s="65">
        <v>87.074427855494292</v>
      </c>
      <c r="N23" s="66">
        <v>12.92557214450567</v>
      </c>
      <c r="O23" s="65">
        <v>68.208999174528628</v>
      </c>
      <c r="P23" s="66">
        <v>31.791000825471372</v>
      </c>
      <c r="Q23" s="65">
        <v>74.39931242848354</v>
      </c>
      <c r="R23" s="66">
        <v>25.600687571516456</v>
      </c>
      <c r="S23" s="65">
        <v>83.633065798764775</v>
      </c>
      <c r="T23" s="66">
        <v>16.366934201235225</v>
      </c>
      <c r="U23" s="65">
        <v>84.459170404032093</v>
      </c>
      <c r="V23" s="66">
        <v>15.540829595967898</v>
      </c>
      <c r="W23" s="65">
        <v>94.940700172621476</v>
      </c>
      <c r="X23" s="66">
        <v>5.0592998273785135</v>
      </c>
      <c r="Y23" s="65">
        <v>92.92154334734245</v>
      </c>
      <c r="Z23" s="66">
        <v>7.0784566526575459</v>
      </c>
      <c r="AA23" s="65">
        <v>93.753842194804633</v>
      </c>
      <c r="AB23" s="66">
        <v>6.2461578051953621</v>
      </c>
    </row>
    <row r="24" spans="1:28" s="24" customFormat="1" ht="15" customHeight="1" x14ac:dyDescent="0.2">
      <c r="A24" s="16"/>
      <c r="B24" s="20" t="s">
        <v>9</v>
      </c>
      <c r="C24" s="21">
        <v>67.015994036791923</v>
      </c>
      <c r="D24" s="22">
        <v>32.984005963208197</v>
      </c>
      <c r="E24" s="21">
        <v>47.447214592655548</v>
      </c>
      <c r="F24" s="22">
        <v>52.55278540734443</v>
      </c>
      <c r="G24" s="21">
        <v>48.027531017564641</v>
      </c>
      <c r="H24" s="22">
        <v>51.97246898243538</v>
      </c>
      <c r="I24" s="21">
        <v>93.648915134866371</v>
      </c>
      <c r="J24" s="22">
        <v>6.3510848651336573</v>
      </c>
      <c r="K24" s="21">
        <v>72.39381293023196</v>
      </c>
      <c r="L24" s="22">
        <v>27.606187069768044</v>
      </c>
      <c r="M24" s="21">
        <v>83.644079654898036</v>
      </c>
      <c r="N24" s="22">
        <v>16.355920345101925</v>
      </c>
      <c r="O24" s="21">
        <v>66.738917790887058</v>
      </c>
      <c r="P24" s="22">
        <v>33.261082209112971</v>
      </c>
      <c r="Q24" s="21">
        <v>68.76831264661476</v>
      </c>
      <c r="R24" s="22">
        <v>31.231687353385229</v>
      </c>
      <c r="S24" s="21">
        <v>79.609978841133994</v>
      </c>
      <c r="T24" s="22">
        <v>20.390021158865995</v>
      </c>
      <c r="U24" s="21">
        <v>82.091782909389252</v>
      </c>
      <c r="V24" s="22">
        <v>17.908217090610716</v>
      </c>
      <c r="W24" s="21">
        <v>95.981528477456663</v>
      </c>
      <c r="X24" s="22">
        <v>4.0184715225433374</v>
      </c>
      <c r="Y24" s="21">
        <v>90.019475470181604</v>
      </c>
      <c r="Z24" s="22">
        <v>9.9805245298183962</v>
      </c>
      <c r="AA24" s="21">
        <v>92.841402107292879</v>
      </c>
      <c r="AB24" s="22">
        <v>7.1585978927071139</v>
      </c>
    </row>
    <row r="25" spans="1:28" s="24" customFormat="1" ht="15" customHeight="1" x14ac:dyDescent="0.2">
      <c r="A25" s="16"/>
      <c r="B25" s="64" t="s">
        <v>10</v>
      </c>
      <c r="C25" s="65">
        <v>69.399297767948141</v>
      </c>
      <c r="D25" s="66">
        <v>30.60070223205188</v>
      </c>
      <c r="E25" s="65">
        <v>50.141448618414664</v>
      </c>
      <c r="F25" s="66">
        <v>49.858551381585372</v>
      </c>
      <c r="G25" s="65">
        <v>51.202354719938079</v>
      </c>
      <c r="H25" s="66">
        <v>48.79764528006195</v>
      </c>
      <c r="I25" s="65">
        <v>94.799556241312871</v>
      </c>
      <c r="J25" s="66">
        <v>5.2004437586870855</v>
      </c>
      <c r="K25" s="65">
        <v>78.941974520190271</v>
      </c>
      <c r="L25" s="66">
        <v>21.058025479809785</v>
      </c>
      <c r="M25" s="65">
        <v>89.875273966285846</v>
      </c>
      <c r="N25" s="66">
        <v>10.124726033714175</v>
      </c>
      <c r="O25" s="65">
        <v>66.020794977910356</v>
      </c>
      <c r="P25" s="66">
        <v>33.979205022089623</v>
      </c>
      <c r="Q25" s="65">
        <v>68.585035632098368</v>
      </c>
      <c r="R25" s="66">
        <v>31.414964367901639</v>
      </c>
      <c r="S25" s="65">
        <v>80.407541539654488</v>
      </c>
      <c r="T25" s="66">
        <v>19.592458460345544</v>
      </c>
      <c r="U25" s="65">
        <v>81.364916668614569</v>
      </c>
      <c r="V25" s="66">
        <v>18.635083331385442</v>
      </c>
      <c r="W25" s="65">
        <v>93.683116847954878</v>
      </c>
      <c r="X25" s="66">
        <v>6.316883152045162</v>
      </c>
      <c r="Y25" s="65">
        <v>95.32427142818841</v>
      </c>
      <c r="Z25" s="66">
        <v>4.6757285718115762</v>
      </c>
      <c r="AA25" s="65">
        <v>96.155831113218852</v>
      </c>
      <c r="AB25" s="66">
        <v>3.8441688867811359</v>
      </c>
    </row>
    <row r="26" spans="1:28" s="24" customFormat="1" ht="15" customHeight="1" x14ac:dyDescent="0.2">
      <c r="A26" s="16"/>
      <c r="B26" s="20" t="s">
        <v>11</v>
      </c>
      <c r="C26" s="21">
        <v>70.517680617145288</v>
      </c>
      <c r="D26" s="22">
        <v>29.482319382854705</v>
      </c>
      <c r="E26" s="21">
        <v>48.536408655866396</v>
      </c>
      <c r="F26" s="22">
        <v>51.463591344133619</v>
      </c>
      <c r="G26" s="21">
        <v>54.110264070412903</v>
      </c>
      <c r="H26" s="22">
        <v>45.889735929587104</v>
      </c>
      <c r="I26" s="21">
        <v>95.937113279003455</v>
      </c>
      <c r="J26" s="22">
        <v>4.0628867209966035</v>
      </c>
      <c r="K26" s="21">
        <v>79.043695533362325</v>
      </c>
      <c r="L26" s="22">
        <v>20.956304466637686</v>
      </c>
      <c r="M26" s="21">
        <v>90.256332129249856</v>
      </c>
      <c r="N26" s="22">
        <v>9.7436678707501247</v>
      </c>
      <c r="O26" s="21">
        <v>69.778449420807704</v>
      </c>
      <c r="P26" s="22">
        <v>30.221550579192328</v>
      </c>
      <c r="Q26" s="21">
        <v>67.958020726409956</v>
      </c>
      <c r="R26" s="22">
        <v>32.041979273590051</v>
      </c>
      <c r="S26" s="21">
        <v>81.570383797016362</v>
      </c>
      <c r="T26" s="22">
        <v>18.429616202983631</v>
      </c>
      <c r="U26" s="21">
        <v>81.682050699038626</v>
      </c>
      <c r="V26" s="22">
        <v>18.317949300961381</v>
      </c>
      <c r="W26" s="21">
        <v>96.501169399208848</v>
      </c>
      <c r="X26" s="22">
        <v>3.4988306007911683</v>
      </c>
      <c r="Y26" s="21">
        <v>93.525088070284653</v>
      </c>
      <c r="Z26" s="22">
        <v>6.4749119297153479</v>
      </c>
      <c r="AA26" s="21">
        <v>95.414201183431956</v>
      </c>
      <c r="AB26" s="22">
        <v>4.5857988165680474</v>
      </c>
    </row>
    <row r="27" spans="1:28" s="24" customFormat="1" ht="15" customHeight="1" x14ac:dyDescent="0.2">
      <c r="A27" s="16"/>
      <c r="B27" s="64" t="s">
        <v>12</v>
      </c>
      <c r="C27" s="65">
        <v>70.380302140821783</v>
      </c>
      <c r="D27" s="66">
        <v>29.619697859178196</v>
      </c>
      <c r="E27" s="65">
        <v>48.525167977894199</v>
      </c>
      <c r="F27" s="66">
        <v>51.474832022105822</v>
      </c>
      <c r="G27" s="65">
        <v>57.059137962985517</v>
      </c>
      <c r="H27" s="66">
        <v>42.940862037014483</v>
      </c>
      <c r="I27" s="65">
        <v>94.843222225647906</v>
      </c>
      <c r="J27" s="66">
        <v>5.1567777743521441</v>
      </c>
      <c r="K27" s="65">
        <v>79.527139899594005</v>
      </c>
      <c r="L27" s="66">
        <v>20.472860100406002</v>
      </c>
      <c r="M27" s="65">
        <v>87.549004127115523</v>
      </c>
      <c r="N27" s="66">
        <v>12.450995872884489</v>
      </c>
      <c r="O27" s="65">
        <v>68.742193013920954</v>
      </c>
      <c r="P27" s="66">
        <v>31.257806986079046</v>
      </c>
      <c r="Q27" s="65">
        <v>71.371041618891255</v>
      </c>
      <c r="R27" s="66">
        <v>28.628958381108728</v>
      </c>
      <c r="S27" s="65">
        <v>82.175925759375602</v>
      </c>
      <c r="T27" s="66">
        <v>17.824074240624409</v>
      </c>
      <c r="U27" s="65">
        <v>81.206138561615035</v>
      </c>
      <c r="V27" s="66">
        <v>18.793861438384983</v>
      </c>
      <c r="W27" s="65">
        <v>96.287046980052011</v>
      </c>
      <c r="X27" s="66">
        <v>3.7129530199480016</v>
      </c>
      <c r="Y27" s="65">
        <v>94.08666366431045</v>
      </c>
      <c r="Z27" s="66">
        <v>5.9133363356895279</v>
      </c>
      <c r="AA27" s="65">
        <v>93.903070768699465</v>
      </c>
      <c r="AB27" s="66">
        <v>6.0969292313005443</v>
      </c>
    </row>
    <row r="28" spans="1:28" s="24" customFormat="1" ht="15" customHeight="1" x14ac:dyDescent="0.2">
      <c r="A28" s="16"/>
      <c r="B28" s="20" t="s">
        <v>13</v>
      </c>
      <c r="C28" s="21">
        <v>72.697214509721078</v>
      </c>
      <c r="D28" s="22">
        <v>27.302785490278968</v>
      </c>
      <c r="E28" s="21">
        <v>48.577892677394978</v>
      </c>
      <c r="F28" s="22">
        <v>51.422107322605029</v>
      </c>
      <c r="G28" s="21">
        <v>55.451107816602097</v>
      </c>
      <c r="H28" s="22">
        <v>44.548892183397882</v>
      </c>
      <c r="I28" s="21">
        <v>95.668359869097856</v>
      </c>
      <c r="J28" s="22">
        <v>4.3316401309021879</v>
      </c>
      <c r="K28" s="21">
        <v>79.23538148368155</v>
      </c>
      <c r="L28" s="22">
        <v>20.764618516318489</v>
      </c>
      <c r="M28" s="21">
        <v>87.86678085128743</v>
      </c>
      <c r="N28" s="22">
        <v>12.133219148712588</v>
      </c>
      <c r="O28" s="21">
        <v>74.97644853388104</v>
      </c>
      <c r="P28" s="22">
        <v>25.02355146611896</v>
      </c>
      <c r="Q28" s="21">
        <v>71.442515297625974</v>
      </c>
      <c r="R28" s="22">
        <v>28.55748470237404</v>
      </c>
      <c r="S28" s="21">
        <v>78.793253352074018</v>
      </c>
      <c r="T28" s="22">
        <v>21.206746647925982</v>
      </c>
      <c r="U28" s="21">
        <v>80.705941360250179</v>
      </c>
      <c r="V28" s="22">
        <v>19.294058639749831</v>
      </c>
      <c r="W28" s="21">
        <v>96.070966369422251</v>
      </c>
      <c r="X28" s="22">
        <v>3.9290336305777647</v>
      </c>
      <c r="Y28" s="21">
        <v>95.577269095767619</v>
      </c>
      <c r="Z28" s="22">
        <v>4.4227309042323881</v>
      </c>
      <c r="AA28" s="21">
        <v>89.984667886641276</v>
      </c>
      <c r="AB28" s="22">
        <v>10.015332113358721</v>
      </c>
    </row>
    <row r="29" spans="1:28" s="24" customFormat="1" ht="15" customHeight="1" x14ac:dyDescent="0.2">
      <c r="A29" s="69" t="s">
        <v>52</v>
      </c>
      <c r="B29" s="64" t="s">
        <v>47</v>
      </c>
      <c r="C29" s="65">
        <v>71.34469346526771</v>
      </c>
      <c r="D29" s="66">
        <v>28.655306534732322</v>
      </c>
      <c r="E29" s="65">
        <v>47.241662786771677</v>
      </c>
      <c r="F29" s="66">
        <v>52.758337213228288</v>
      </c>
      <c r="G29" s="65">
        <v>52.787727133393538</v>
      </c>
      <c r="H29" s="66">
        <v>47.212272866606511</v>
      </c>
      <c r="I29" s="65">
        <v>94.917429225246011</v>
      </c>
      <c r="J29" s="66">
        <v>5.0825707747539814</v>
      </c>
      <c r="K29" s="65">
        <v>79.316716942416889</v>
      </c>
      <c r="L29" s="66">
        <v>20.683283057583125</v>
      </c>
      <c r="M29" s="65">
        <v>87.289264085013443</v>
      </c>
      <c r="N29" s="66">
        <v>12.710735914986584</v>
      </c>
      <c r="O29" s="65">
        <v>71.976091286710712</v>
      </c>
      <c r="P29" s="66">
        <v>28.023908713289309</v>
      </c>
      <c r="Q29" s="65">
        <v>68.857332420592542</v>
      </c>
      <c r="R29" s="66">
        <v>31.142667579407462</v>
      </c>
      <c r="S29" s="65">
        <v>81.112120204003418</v>
      </c>
      <c r="T29" s="66">
        <v>18.887879795996572</v>
      </c>
      <c r="U29" s="65">
        <v>82.763511535416868</v>
      </c>
      <c r="V29" s="66">
        <v>17.236488464583115</v>
      </c>
      <c r="W29" s="65">
        <v>96.070972276291272</v>
      </c>
      <c r="X29" s="66">
        <v>3.9290277237087214</v>
      </c>
      <c r="Y29" s="65">
        <v>95.563007268631111</v>
      </c>
      <c r="Z29" s="66">
        <v>4.4369927313688908</v>
      </c>
      <c r="AA29" s="65">
        <v>88.483228651610318</v>
      </c>
      <c r="AB29" s="66">
        <v>11.516771348389684</v>
      </c>
    </row>
    <row r="30" spans="1:28" s="24" customFormat="1" ht="15" customHeight="1" x14ac:dyDescent="0.2">
      <c r="A30" s="26"/>
      <c r="B30" s="28" t="s">
        <v>48</v>
      </c>
      <c r="C30" s="29">
        <v>64.241578674782872</v>
      </c>
      <c r="D30" s="30">
        <v>35.758421325217107</v>
      </c>
      <c r="E30" s="29">
        <v>45.616511878470938</v>
      </c>
      <c r="F30" s="30">
        <v>54.383488121529069</v>
      </c>
      <c r="G30" s="29">
        <v>43.953799009978802</v>
      </c>
      <c r="H30" s="30">
        <v>56.046200990021219</v>
      </c>
      <c r="I30" s="29">
        <v>91.405862116541371</v>
      </c>
      <c r="J30" s="30">
        <v>8.5941378834585951</v>
      </c>
      <c r="K30" s="29">
        <v>73.294782503132808</v>
      </c>
      <c r="L30" s="30">
        <v>26.705217496867228</v>
      </c>
      <c r="M30" s="29">
        <v>84.315857687577846</v>
      </c>
      <c r="N30" s="30">
        <v>15.684142312422148</v>
      </c>
      <c r="O30" s="29">
        <v>66.342056197694262</v>
      </c>
      <c r="P30" s="30">
        <v>33.657943802305731</v>
      </c>
      <c r="Q30" s="29">
        <v>63.387752290418142</v>
      </c>
      <c r="R30" s="30">
        <v>36.612247709581865</v>
      </c>
      <c r="S30" s="29">
        <v>77.117555969786991</v>
      </c>
      <c r="T30" s="30">
        <v>22.882444030213012</v>
      </c>
      <c r="U30" s="29">
        <v>80.907302115990149</v>
      </c>
      <c r="V30" s="30">
        <v>19.092697884009901</v>
      </c>
      <c r="W30" s="29">
        <v>96.180521574164985</v>
      </c>
      <c r="X30" s="30">
        <v>3.819478425835011</v>
      </c>
      <c r="Y30" s="29">
        <v>92.761765221416695</v>
      </c>
      <c r="Z30" s="30">
        <v>7.2382347785832746</v>
      </c>
      <c r="AA30" s="29">
        <v>90.059833506763781</v>
      </c>
      <c r="AB30" s="30">
        <v>9.9401664932362124</v>
      </c>
    </row>
    <row r="31" spans="1:28" s="24" customFormat="1" ht="15" customHeight="1" x14ac:dyDescent="0.2">
      <c r="A31" s="26"/>
      <c r="B31" s="64" t="s">
        <v>49</v>
      </c>
      <c r="C31" s="65">
        <v>65.804590759272088</v>
      </c>
      <c r="D31" s="66">
        <v>34.195409240727741</v>
      </c>
      <c r="E31" s="65">
        <v>51.415996383356067</v>
      </c>
      <c r="F31" s="66">
        <v>48.584003616643955</v>
      </c>
      <c r="G31" s="65">
        <v>40.715537314294693</v>
      </c>
      <c r="H31" s="66">
        <v>59.2844626857053</v>
      </c>
      <c r="I31" s="65">
        <v>90.358078711053707</v>
      </c>
      <c r="J31" s="66">
        <v>9.6419212889463264</v>
      </c>
      <c r="K31" s="65">
        <v>72.164332409679645</v>
      </c>
      <c r="L31" s="66">
        <v>27.835667590320355</v>
      </c>
      <c r="M31" s="65">
        <v>84.363737941959698</v>
      </c>
      <c r="N31" s="66">
        <v>15.636262058040318</v>
      </c>
      <c r="O31" s="65">
        <v>67.144422537206111</v>
      </c>
      <c r="P31" s="66">
        <v>32.855577462793931</v>
      </c>
      <c r="Q31" s="65">
        <v>70.954996471661389</v>
      </c>
      <c r="R31" s="66">
        <v>29.045003528338576</v>
      </c>
      <c r="S31" s="65">
        <v>79.374823960018446</v>
      </c>
      <c r="T31" s="66">
        <v>20.625176039981536</v>
      </c>
      <c r="U31" s="65">
        <v>84.609520132652392</v>
      </c>
      <c r="V31" s="66">
        <v>15.390479867347571</v>
      </c>
      <c r="W31" s="65">
        <v>96.361344801497779</v>
      </c>
      <c r="X31" s="66">
        <v>3.6386551985022129</v>
      </c>
      <c r="Y31" s="65">
        <v>95.020207140005652</v>
      </c>
      <c r="Z31" s="66">
        <v>4.9797928599943466</v>
      </c>
      <c r="AA31" s="65">
        <v>93.046855424705583</v>
      </c>
      <c r="AB31" s="66">
        <v>6.9531445752944121</v>
      </c>
    </row>
    <row r="32" spans="1:28" s="24" customFormat="1" ht="15" customHeight="1" x14ac:dyDescent="0.2">
      <c r="A32" s="26"/>
      <c r="B32" s="28" t="s">
        <v>14</v>
      </c>
      <c r="C32" s="29">
        <v>76.237414020612718</v>
      </c>
      <c r="D32" s="30">
        <v>23.762585979387207</v>
      </c>
      <c r="E32" s="29">
        <v>64.515057068661932</v>
      </c>
      <c r="F32" s="30">
        <v>35.48494293133804</v>
      </c>
      <c r="G32" s="29">
        <v>68.161548468083609</v>
      </c>
      <c r="H32" s="30">
        <v>31.838451531916402</v>
      </c>
      <c r="I32" s="29">
        <v>99.64687026665257</v>
      </c>
      <c r="J32" s="30">
        <v>0.35312973334742331</v>
      </c>
      <c r="K32" s="29">
        <v>72.494584045121826</v>
      </c>
      <c r="L32" s="30">
        <v>27.505415954878178</v>
      </c>
      <c r="M32" s="29">
        <v>99.803613511390424</v>
      </c>
      <c r="N32" s="30">
        <v>0.19638648860958366</v>
      </c>
      <c r="O32" s="29">
        <v>79.41394461210723</v>
      </c>
      <c r="P32" s="30">
        <v>20.586055387892777</v>
      </c>
      <c r="Q32" s="29" t="s">
        <v>108</v>
      </c>
      <c r="R32" s="30" t="s">
        <v>108</v>
      </c>
      <c r="S32" s="29">
        <v>84.131399935214631</v>
      </c>
      <c r="T32" s="30">
        <v>15.868600064785351</v>
      </c>
      <c r="U32" s="29">
        <v>96.585821930290223</v>
      </c>
      <c r="V32" s="30">
        <v>3.4141780697097666</v>
      </c>
      <c r="W32" s="29">
        <v>94.255351917449559</v>
      </c>
      <c r="X32" s="30">
        <v>5.7446480825504374</v>
      </c>
      <c r="Y32" s="29">
        <v>100</v>
      </c>
      <c r="Z32" s="30">
        <v>0</v>
      </c>
      <c r="AA32" s="29">
        <v>100</v>
      </c>
      <c r="AB32" s="30">
        <v>0</v>
      </c>
    </row>
    <row r="33" spans="1:28" s="24" customFormat="1" ht="15" customHeight="1" x14ac:dyDescent="0.2">
      <c r="A33" s="26"/>
      <c r="B33" s="64" t="s">
        <v>15</v>
      </c>
      <c r="C33" s="65">
        <v>88.165019824915561</v>
      </c>
      <c r="D33" s="66">
        <v>11.834980175084338</v>
      </c>
      <c r="E33" s="65">
        <v>74.13451700270835</v>
      </c>
      <c r="F33" s="66">
        <v>25.86548299729159</v>
      </c>
      <c r="G33" s="65">
        <v>89.797738390266019</v>
      </c>
      <c r="H33" s="66">
        <v>10.202261609733988</v>
      </c>
      <c r="I33" s="65">
        <v>99.734429197327827</v>
      </c>
      <c r="J33" s="66">
        <v>0.26557080267216593</v>
      </c>
      <c r="K33" s="65">
        <v>85.88455772113943</v>
      </c>
      <c r="L33" s="66">
        <v>14.115442278860568</v>
      </c>
      <c r="M33" s="65">
        <v>99.833421763755041</v>
      </c>
      <c r="N33" s="66">
        <v>0.16657823624495635</v>
      </c>
      <c r="O33" s="65">
        <v>89.427123835434813</v>
      </c>
      <c r="P33" s="66">
        <v>10.572876164565162</v>
      </c>
      <c r="Q33" s="65" t="s">
        <v>108</v>
      </c>
      <c r="R33" s="66" t="s">
        <v>108</v>
      </c>
      <c r="S33" s="65">
        <v>94.563161929640245</v>
      </c>
      <c r="T33" s="66">
        <v>5.4368380703597499</v>
      </c>
      <c r="U33" s="65">
        <v>95.624398422703109</v>
      </c>
      <c r="V33" s="66">
        <v>4.3756015772968615</v>
      </c>
      <c r="W33" s="65">
        <v>96.80270294300702</v>
      </c>
      <c r="X33" s="66">
        <v>3.1972970569929768</v>
      </c>
      <c r="Y33" s="65">
        <v>100</v>
      </c>
      <c r="Z33" s="66">
        <v>0</v>
      </c>
      <c r="AA33" s="65">
        <v>98.991935483870961</v>
      </c>
      <c r="AB33" s="66">
        <v>1.0080645161290323</v>
      </c>
    </row>
    <row r="34" spans="1:28" s="24" customFormat="1" ht="15" customHeight="1" x14ac:dyDescent="0.2">
      <c r="A34" s="26"/>
      <c r="B34" s="28" t="s">
        <v>16</v>
      </c>
      <c r="C34" s="29">
        <v>91.719039906140623</v>
      </c>
      <c r="D34" s="30">
        <v>8.2809600938593597</v>
      </c>
      <c r="E34" s="29">
        <v>79.030329855796666</v>
      </c>
      <c r="F34" s="30">
        <v>20.96967014420332</v>
      </c>
      <c r="G34" s="29">
        <v>93.904625532392373</v>
      </c>
      <c r="H34" s="30">
        <v>6.0953744676076118</v>
      </c>
      <c r="I34" s="29">
        <v>99.467336055328715</v>
      </c>
      <c r="J34" s="30">
        <v>0.5326639446712772</v>
      </c>
      <c r="K34" s="29">
        <v>96.089520379689461</v>
      </c>
      <c r="L34" s="30">
        <v>3.9104796203105239</v>
      </c>
      <c r="M34" s="29">
        <v>99.861679973565515</v>
      </c>
      <c r="N34" s="30">
        <v>0.13832002643449393</v>
      </c>
      <c r="O34" s="29">
        <v>93.040118568760136</v>
      </c>
      <c r="P34" s="30">
        <v>6.959881431239884</v>
      </c>
      <c r="Q34" s="29" t="s">
        <v>108</v>
      </c>
      <c r="R34" s="30" t="s">
        <v>108</v>
      </c>
      <c r="S34" s="29">
        <v>97.116122877905426</v>
      </c>
      <c r="T34" s="30">
        <v>2.8838771220946016</v>
      </c>
      <c r="U34" s="29">
        <v>97.816718095467948</v>
      </c>
      <c r="V34" s="30">
        <v>2.1832819045320551</v>
      </c>
      <c r="W34" s="29">
        <v>97.102621722846436</v>
      </c>
      <c r="X34" s="30">
        <v>2.8973782771535581</v>
      </c>
      <c r="Y34" s="29">
        <v>100</v>
      </c>
      <c r="Z34" s="30">
        <v>0</v>
      </c>
      <c r="AA34" s="29">
        <v>100</v>
      </c>
      <c r="AB34" s="30">
        <v>0</v>
      </c>
    </row>
    <row r="35" spans="1:28" s="24" customFormat="1" ht="15" customHeight="1" x14ac:dyDescent="0.2">
      <c r="A35" s="26"/>
      <c r="B35" s="64" t="s">
        <v>8</v>
      </c>
      <c r="C35" s="65">
        <v>94.671887270528686</v>
      </c>
      <c r="D35" s="66">
        <v>5.3281127294713313</v>
      </c>
      <c r="E35" s="65">
        <v>82.618413946921692</v>
      </c>
      <c r="F35" s="66">
        <v>17.381586053078312</v>
      </c>
      <c r="G35" s="65">
        <v>96.805279339825361</v>
      </c>
      <c r="H35" s="66">
        <v>3.1947206601746445</v>
      </c>
      <c r="I35" s="65">
        <v>99.638867131137403</v>
      </c>
      <c r="J35" s="66">
        <v>0.36113286886259638</v>
      </c>
      <c r="K35" s="65">
        <v>94.486773683020559</v>
      </c>
      <c r="L35" s="66">
        <v>5.5132263169794253</v>
      </c>
      <c r="M35" s="65">
        <v>99.536376332679552</v>
      </c>
      <c r="N35" s="66">
        <v>0.46362366732044585</v>
      </c>
      <c r="O35" s="65">
        <v>94.700931071779664</v>
      </c>
      <c r="P35" s="66">
        <v>5.2990689282203354</v>
      </c>
      <c r="Q35" s="65" t="s">
        <v>108</v>
      </c>
      <c r="R35" s="66" t="s">
        <v>108</v>
      </c>
      <c r="S35" s="65">
        <v>99.089595617563205</v>
      </c>
      <c r="T35" s="66">
        <v>0.91040438243678201</v>
      </c>
      <c r="U35" s="65">
        <v>97.975160910162259</v>
      </c>
      <c r="V35" s="66">
        <v>2.0248390898377293</v>
      </c>
      <c r="W35" s="65">
        <v>98.269258428642203</v>
      </c>
      <c r="X35" s="66">
        <v>1.7307415713577987</v>
      </c>
      <c r="Y35" s="65">
        <v>100</v>
      </c>
      <c r="Z35" s="66">
        <v>0</v>
      </c>
      <c r="AA35" s="65">
        <v>100</v>
      </c>
      <c r="AB35" s="66">
        <v>0</v>
      </c>
    </row>
    <row r="36" spans="1:28" s="24" customFormat="1" ht="15" customHeight="1" x14ac:dyDescent="0.2">
      <c r="A36" s="26"/>
      <c r="B36" s="28" t="s">
        <v>9</v>
      </c>
      <c r="C36" s="29">
        <v>93.88774274942206</v>
      </c>
      <c r="D36" s="30">
        <v>6.1122572505778949</v>
      </c>
      <c r="E36" s="29">
        <v>86.965068803871148</v>
      </c>
      <c r="F36" s="30">
        <v>13.034931196128834</v>
      </c>
      <c r="G36" s="29">
        <v>99.13822930836993</v>
      </c>
      <c r="H36" s="30">
        <v>0.86177069163007913</v>
      </c>
      <c r="I36" s="29">
        <v>88.112501097588165</v>
      </c>
      <c r="J36" s="30">
        <v>11.887498902411844</v>
      </c>
      <c r="K36" s="29">
        <v>95.458677887692119</v>
      </c>
      <c r="L36" s="30">
        <v>4.5413221123078982</v>
      </c>
      <c r="M36" s="29">
        <v>99.6783462709611</v>
      </c>
      <c r="N36" s="30">
        <v>0.32165372903889849</v>
      </c>
      <c r="O36" s="29">
        <v>95.89958846952122</v>
      </c>
      <c r="P36" s="30">
        <v>4.1004115304787518</v>
      </c>
      <c r="Q36" s="29" t="s">
        <v>108</v>
      </c>
      <c r="R36" s="30" t="s">
        <v>108</v>
      </c>
      <c r="S36" s="29">
        <v>96.372845900748786</v>
      </c>
      <c r="T36" s="30">
        <v>3.6271540992511722</v>
      </c>
      <c r="U36" s="29">
        <v>96.862095624741229</v>
      </c>
      <c r="V36" s="30">
        <v>3.137904375258775</v>
      </c>
      <c r="W36" s="29">
        <v>98.8688339657471</v>
      </c>
      <c r="X36" s="30">
        <v>1.1311660342528973</v>
      </c>
      <c r="Y36" s="29">
        <v>99.952315264224524</v>
      </c>
      <c r="Z36" s="30">
        <v>4.7684735775473011E-2</v>
      </c>
      <c r="AA36" s="29">
        <v>100</v>
      </c>
      <c r="AB36" s="30">
        <v>0</v>
      </c>
    </row>
    <row r="37" spans="1:28" s="24" customFormat="1" ht="15" customHeight="1" x14ac:dyDescent="0.2">
      <c r="A37" s="26"/>
      <c r="B37" s="64" t="s">
        <v>10</v>
      </c>
      <c r="C37" s="65">
        <v>93.904173097465574</v>
      </c>
      <c r="D37" s="66">
        <v>6.095826902534478</v>
      </c>
      <c r="E37" s="65">
        <v>86.042625919926522</v>
      </c>
      <c r="F37" s="66">
        <v>13.957374080073468</v>
      </c>
      <c r="G37" s="65">
        <v>87.886523049751858</v>
      </c>
      <c r="H37" s="66">
        <v>12.113476950248113</v>
      </c>
      <c r="I37" s="65">
        <v>99.361123156550505</v>
      </c>
      <c r="J37" s="66">
        <v>0.63887684344951345</v>
      </c>
      <c r="K37" s="65">
        <v>90.591119258136558</v>
      </c>
      <c r="L37" s="66">
        <v>9.4088807418634364</v>
      </c>
      <c r="M37" s="65">
        <v>99.51137971878957</v>
      </c>
      <c r="N37" s="66">
        <v>0.48862028121042878</v>
      </c>
      <c r="O37" s="65">
        <v>95.508658277727662</v>
      </c>
      <c r="P37" s="66">
        <v>4.4913417222723204</v>
      </c>
      <c r="Q37" s="65">
        <v>66.666666666666657</v>
      </c>
      <c r="R37" s="66">
        <v>33.333333333333329</v>
      </c>
      <c r="S37" s="65">
        <v>92.953264069850078</v>
      </c>
      <c r="T37" s="66">
        <v>7.0467359301499162</v>
      </c>
      <c r="U37" s="65">
        <v>94.977567724922096</v>
      </c>
      <c r="V37" s="66">
        <v>5.0224322750779136</v>
      </c>
      <c r="W37" s="65">
        <v>98.385493402412379</v>
      </c>
      <c r="X37" s="66">
        <v>1.6145065975876314</v>
      </c>
      <c r="Y37" s="65">
        <v>99.328053755699543</v>
      </c>
      <c r="Z37" s="66">
        <v>0.67194624430045613</v>
      </c>
      <c r="AA37" s="65">
        <v>98.989086731763351</v>
      </c>
      <c r="AB37" s="66">
        <v>1.0109132682366457</v>
      </c>
    </row>
    <row r="38" spans="1:28" s="24" customFormat="1" ht="15" customHeight="1" x14ac:dyDescent="0.2">
      <c r="A38" s="26"/>
      <c r="B38" s="28" t="s">
        <v>11</v>
      </c>
      <c r="C38" s="29">
        <v>90.256264755721446</v>
      </c>
      <c r="D38" s="30">
        <v>9.7437352442787102</v>
      </c>
      <c r="E38" s="29">
        <v>77.299993876952527</v>
      </c>
      <c r="F38" s="30">
        <v>22.700006123047466</v>
      </c>
      <c r="G38" s="29">
        <v>83.887949025403302</v>
      </c>
      <c r="H38" s="30">
        <v>16.112050974596702</v>
      </c>
      <c r="I38" s="29">
        <v>98.959501651617515</v>
      </c>
      <c r="J38" s="30">
        <v>1.0404983483824559</v>
      </c>
      <c r="K38" s="29">
        <v>91.769923507362293</v>
      </c>
      <c r="L38" s="30">
        <v>8.2300764926376946</v>
      </c>
      <c r="M38" s="29">
        <v>98.413489629583196</v>
      </c>
      <c r="N38" s="30">
        <v>1.5865103704168302</v>
      </c>
      <c r="O38" s="29">
        <v>90.035451534138687</v>
      </c>
      <c r="P38" s="30">
        <v>9.9645484658613412</v>
      </c>
      <c r="Q38" s="29">
        <v>62.559632855436831</v>
      </c>
      <c r="R38" s="30">
        <v>37.440367144563169</v>
      </c>
      <c r="S38" s="29">
        <v>90.448485375611909</v>
      </c>
      <c r="T38" s="30">
        <v>9.5515146243880586</v>
      </c>
      <c r="U38" s="29">
        <v>92.105740715094143</v>
      </c>
      <c r="V38" s="30">
        <v>7.8942592849058499</v>
      </c>
      <c r="W38" s="29">
        <v>97.185398529522331</v>
      </c>
      <c r="X38" s="30">
        <v>2.8146014704776601</v>
      </c>
      <c r="Y38" s="29">
        <v>98.669070387208009</v>
      </c>
      <c r="Z38" s="30">
        <v>1.3309296127919734</v>
      </c>
      <c r="AA38" s="29">
        <v>97.28142076502732</v>
      </c>
      <c r="AB38" s="30">
        <v>2.7185792349726774</v>
      </c>
    </row>
    <row r="39" spans="1:28" s="24" customFormat="1" ht="15" customHeight="1" x14ac:dyDescent="0.2">
      <c r="A39" s="26"/>
      <c r="B39" s="64" t="s">
        <v>12</v>
      </c>
      <c r="C39" s="65">
        <v>87.858773345321922</v>
      </c>
      <c r="D39" s="66">
        <v>12.141226654678164</v>
      </c>
      <c r="E39" s="65">
        <v>70.127208664015299</v>
      </c>
      <c r="F39" s="66">
        <v>29.872791335984694</v>
      </c>
      <c r="G39" s="65">
        <v>85.323910619908617</v>
      </c>
      <c r="H39" s="66">
        <v>14.676089380091343</v>
      </c>
      <c r="I39" s="65">
        <v>97.807599977958688</v>
      </c>
      <c r="J39" s="66">
        <v>2.1924000220413586</v>
      </c>
      <c r="K39" s="65">
        <v>91.438102592739199</v>
      </c>
      <c r="L39" s="66">
        <v>8.5618974072607994</v>
      </c>
      <c r="M39" s="65">
        <v>97.645751557404267</v>
      </c>
      <c r="N39" s="66">
        <v>2.3542484425957384</v>
      </c>
      <c r="O39" s="65">
        <v>85.818929046295182</v>
      </c>
      <c r="P39" s="66">
        <v>14.181070953704822</v>
      </c>
      <c r="Q39" s="65">
        <v>88.419912576651257</v>
      </c>
      <c r="R39" s="66">
        <v>11.580087423348735</v>
      </c>
      <c r="S39" s="65">
        <v>88.594686606566327</v>
      </c>
      <c r="T39" s="66">
        <v>11.405313393433632</v>
      </c>
      <c r="U39" s="65">
        <v>91.680108832960812</v>
      </c>
      <c r="V39" s="66">
        <v>8.3198911670391595</v>
      </c>
      <c r="W39" s="65">
        <v>97.014958067869898</v>
      </c>
      <c r="X39" s="66">
        <v>2.9850419321301049</v>
      </c>
      <c r="Y39" s="65">
        <v>98.631048697395656</v>
      </c>
      <c r="Z39" s="66">
        <v>1.3689513026043769</v>
      </c>
      <c r="AA39" s="65">
        <v>96.707885016862051</v>
      </c>
      <c r="AB39" s="66">
        <v>3.2921149831379477</v>
      </c>
    </row>
    <row r="40" spans="1:28" s="24" customFormat="1" ht="15" customHeight="1" x14ac:dyDescent="0.2">
      <c r="A40" s="26"/>
      <c r="B40" s="28" t="s">
        <v>13</v>
      </c>
      <c r="C40" s="29">
        <v>87.633971525441723</v>
      </c>
      <c r="D40" s="30">
        <v>12.366028474558265</v>
      </c>
      <c r="E40" s="29">
        <v>69.295259385078324</v>
      </c>
      <c r="F40" s="30">
        <v>30.70474061492169</v>
      </c>
      <c r="G40" s="29">
        <v>82.436275245210226</v>
      </c>
      <c r="H40" s="30">
        <v>17.563724754789753</v>
      </c>
      <c r="I40" s="29">
        <v>98.028175707691929</v>
      </c>
      <c r="J40" s="30">
        <v>1.9718242923080522</v>
      </c>
      <c r="K40" s="29">
        <v>92.018781057479799</v>
      </c>
      <c r="L40" s="30">
        <v>7.9812189425201634</v>
      </c>
      <c r="M40" s="29">
        <v>97.109690361348498</v>
      </c>
      <c r="N40" s="30">
        <v>2.8903096386515092</v>
      </c>
      <c r="O40" s="29">
        <v>85.753252179865399</v>
      </c>
      <c r="P40" s="30">
        <v>14.246747820134717</v>
      </c>
      <c r="Q40" s="29">
        <v>88.25783929595859</v>
      </c>
      <c r="R40" s="30">
        <v>11.742160704041403</v>
      </c>
      <c r="S40" s="29">
        <v>90.130123378378741</v>
      </c>
      <c r="T40" s="30">
        <v>9.8698766216212626</v>
      </c>
      <c r="U40" s="29">
        <v>91.517539472069927</v>
      </c>
      <c r="V40" s="30">
        <v>8.4824605279300904</v>
      </c>
      <c r="W40" s="29">
        <v>98.294777677089598</v>
      </c>
      <c r="X40" s="30">
        <v>1.7052223229104091</v>
      </c>
      <c r="Y40" s="29">
        <v>97.925286608787872</v>
      </c>
      <c r="Z40" s="30">
        <v>2.0747133912121458</v>
      </c>
      <c r="AA40" s="29">
        <v>95.74068018312623</v>
      </c>
      <c r="AB40" s="30">
        <v>4.2593198168737736</v>
      </c>
    </row>
    <row r="41" spans="1:28" s="24" customFormat="1" ht="15" customHeight="1" x14ac:dyDescent="0.2">
      <c r="A41" s="358" t="s">
        <v>124</v>
      </c>
      <c r="B41" s="64" t="s">
        <v>54</v>
      </c>
      <c r="C41" s="65">
        <v>88.094866459527381</v>
      </c>
      <c r="D41" s="66">
        <v>11.905133540472526</v>
      </c>
      <c r="E41" s="65">
        <v>68.301573473681941</v>
      </c>
      <c r="F41" s="66">
        <v>31.698426526318034</v>
      </c>
      <c r="G41" s="65">
        <v>83.365690820349272</v>
      </c>
      <c r="H41" s="66">
        <v>16.634309179650739</v>
      </c>
      <c r="I41" s="65">
        <v>98.033671294535196</v>
      </c>
      <c r="J41" s="66">
        <v>1.9663287054648502</v>
      </c>
      <c r="K41" s="65">
        <v>92.048891053825955</v>
      </c>
      <c r="L41" s="66">
        <v>7.9511089461740205</v>
      </c>
      <c r="M41" s="65">
        <v>96.351415989699277</v>
      </c>
      <c r="N41" s="66">
        <v>3.6485840103007372</v>
      </c>
      <c r="O41" s="65">
        <v>85.104672618763118</v>
      </c>
      <c r="P41" s="66">
        <v>14.895327381236928</v>
      </c>
      <c r="Q41" s="65">
        <v>84.981645291760458</v>
      </c>
      <c r="R41" s="66">
        <v>15.018354708239537</v>
      </c>
      <c r="S41" s="65">
        <v>90.007546345913752</v>
      </c>
      <c r="T41" s="66">
        <v>9.9924536540862459</v>
      </c>
      <c r="U41" s="65">
        <v>91.959220186642781</v>
      </c>
      <c r="V41" s="66">
        <v>8.0407798133571884</v>
      </c>
      <c r="W41" s="65">
        <v>98.145689370972022</v>
      </c>
      <c r="X41" s="66">
        <v>1.8543106290279836</v>
      </c>
      <c r="Y41" s="65">
        <v>99.27710374631144</v>
      </c>
      <c r="Z41" s="66">
        <v>0.72289625368855148</v>
      </c>
      <c r="AA41" s="65">
        <v>93.402692778457777</v>
      </c>
      <c r="AB41" s="66">
        <v>6.597307221542227</v>
      </c>
    </row>
    <row r="42" spans="1:28" s="24" customFormat="1" ht="15" customHeight="1" x14ac:dyDescent="0.2">
      <c r="A42" s="368"/>
      <c r="B42" s="28" t="s">
        <v>48</v>
      </c>
      <c r="C42" s="29">
        <v>87.791023820046348</v>
      </c>
      <c r="D42" s="30">
        <v>12.208976179953716</v>
      </c>
      <c r="E42" s="29">
        <v>70.02915556361188</v>
      </c>
      <c r="F42" s="30">
        <v>29.970844436388116</v>
      </c>
      <c r="G42" s="29">
        <v>83.924230054691577</v>
      </c>
      <c r="H42" s="30">
        <v>16.075769945308426</v>
      </c>
      <c r="I42" s="29">
        <v>97.520353055802971</v>
      </c>
      <c r="J42" s="30">
        <v>2.4796469441970355</v>
      </c>
      <c r="K42" s="29">
        <v>91.705830701283034</v>
      </c>
      <c r="L42" s="30">
        <v>8.2941692987169517</v>
      </c>
      <c r="M42" s="29">
        <v>96.73602353031707</v>
      </c>
      <c r="N42" s="30">
        <v>3.2639764696829139</v>
      </c>
      <c r="O42" s="29">
        <v>85.968242236842229</v>
      </c>
      <c r="P42" s="30">
        <v>14.031757763157749</v>
      </c>
      <c r="Q42" s="29">
        <v>87.50625291662891</v>
      </c>
      <c r="R42" s="30">
        <v>12.493747083371105</v>
      </c>
      <c r="S42" s="29">
        <v>89.923927342849879</v>
      </c>
      <c r="T42" s="30">
        <v>10.076072657150087</v>
      </c>
      <c r="U42" s="29">
        <v>91.42509937535489</v>
      </c>
      <c r="V42" s="30">
        <v>8.574900624645089</v>
      </c>
      <c r="W42" s="29">
        <v>98.078517949385883</v>
      </c>
      <c r="X42" s="30">
        <v>1.9214820506140859</v>
      </c>
      <c r="Y42" s="29">
        <v>98.806271768350598</v>
      </c>
      <c r="Z42" s="30">
        <v>1.1937282316493969</v>
      </c>
      <c r="AA42" s="29">
        <v>97.096101395796566</v>
      </c>
      <c r="AB42" s="30">
        <v>2.9038986042034334</v>
      </c>
    </row>
    <row r="43" spans="1:28" s="24" customFormat="1" ht="15" customHeight="1" x14ac:dyDescent="0.2">
      <c r="A43" s="368"/>
      <c r="B43" s="64" t="s">
        <v>49</v>
      </c>
      <c r="C43" s="65">
        <v>86.767601464685029</v>
      </c>
      <c r="D43" s="66">
        <v>13.232398535314951</v>
      </c>
      <c r="E43" s="65">
        <v>66.549085666911338</v>
      </c>
      <c r="F43" s="66">
        <v>33.450914333088683</v>
      </c>
      <c r="G43" s="65">
        <v>81.157445519261714</v>
      </c>
      <c r="H43" s="66">
        <v>18.842554480738251</v>
      </c>
      <c r="I43" s="65">
        <v>98.39672797083594</v>
      </c>
      <c r="J43" s="66">
        <v>1.6032720291640605</v>
      </c>
      <c r="K43" s="65">
        <v>91.070526873000787</v>
      </c>
      <c r="L43" s="66">
        <v>8.9294731269991701</v>
      </c>
      <c r="M43" s="65">
        <v>97.049133156846352</v>
      </c>
      <c r="N43" s="66">
        <v>2.9508668431536247</v>
      </c>
      <c r="O43" s="65">
        <v>82.148129181471845</v>
      </c>
      <c r="P43" s="66">
        <v>17.851870818528148</v>
      </c>
      <c r="Q43" s="65">
        <v>87.672346922709139</v>
      </c>
      <c r="R43" s="66">
        <v>12.327653077290872</v>
      </c>
      <c r="S43" s="65">
        <v>90.98462021559348</v>
      </c>
      <c r="T43" s="66">
        <v>9.0153797844065391</v>
      </c>
      <c r="U43" s="65">
        <v>92.409676716726821</v>
      </c>
      <c r="V43" s="66">
        <v>7.5903232832731886</v>
      </c>
      <c r="W43" s="65">
        <v>97.394033254555296</v>
      </c>
      <c r="X43" s="66">
        <v>2.6059667454446904</v>
      </c>
      <c r="Y43" s="65">
        <v>99.045181776294982</v>
      </c>
      <c r="Z43" s="66">
        <v>0.95481822370502778</v>
      </c>
      <c r="AA43" s="65">
        <v>97.633787315999456</v>
      </c>
      <c r="AB43" s="66">
        <v>2.36621268400055</v>
      </c>
    </row>
    <row r="44" spans="1:28" s="24" customFormat="1" ht="15" customHeight="1" x14ac:dyDescent="0.2">
      <c r="A44" s="368"/>
      <c r="B44" s="28" t="s">
        <v>14</v>
      </c>
      <c r="C44" s="29">
        <v>84.541433270043342</v>
      </c>
      <c r="D44" s="30">
        <v>15.45856672995658</v>
      </c>
      <c r="E44" s="29">
        <v>62.436149698465904</v>
      </c>
      <c r="F44" s="30">
        <v>37.563850301534067</v>
      </c>
      <c r="G44" s="29">
        <v>77.642592690604573</v>
      </c>
      <c r="H44" s="30">
        <v>22.357407309395445</v>
      </c>
      <c r="I44" s="29">
        <v>97.516651305741092</v>
      </c>
      <c r="J44" s="30">
        <v>2.4833486942589391</v>
      </c>
      <c r="K44" s="29">
        <v>91.093044228557787</v>
      </c>
      <c r="L44" s="30">
        <v>8.9069557714421581</v>
      </c>
      <c r="M44" s="29">
        <v>96.470711482788403</v>
      </c>
      <c r="N44" s="30">
        <v>3.529288517211624</v>
      </c>
      <c r="O44" s="29">
        <v>81.60414983465391</v>
      </c>
      <c r="P44" s="30">
        <v>18.395850165346079</v>
      </c>
      <c r="Q44" s="29">
        <v>88.036891241723609</v>
      </c>
      <c r="R44" s="30">
        <v>11.963108758276398</v>
      </c>
      <c r="S44" s="29">
        <v>87.315643113457114</v>
      </c>
      <c r="T44" s="30">
        <v>12.684356886542872</v>
      </c>
      <c r="U44" s="29">
        <v>91.009898647246729</v>
      </c>
      <c r="V44" s="30">
        <v>8.9901013527533191</v>
      </c>
      <c r="W44" s="29">
        <v>96.780313272347001</v>
      </c>
      <c r="X44" s="30">
        <v>3.2196867276530003</v>
      </c>
      <c r="Y44" s="29">
        <v>97.854177731808903</v>
      </c>
      <c r="Z44" s="30">
        <v>2.1458222681910937</v>
      </c>
      <c r="AA44" s="29">
        <v>94.19731610337972</v>
      </c>
      <c r="AB44" s="30">
        <v>5.8026838966202785</v>
      </c>
    </row>
    <row r="45" spans="1:28" s="24" customFormat="1" ht="15" customHeight="1" x14ac:dyDescent="0.2">
      <c r="A45" s="368"/>
      <c r="B45" s="64" t="s">
        <v>15</v>
      </c>
      <c r="C45" s="65">
        <v>85.274972734579691</v>
      </c>
      <c r="D45" s="66">
        <v>14.725027265420291</v>
      </c>
      <c r="E45" s="65">
        <v>68.167162637537416</v>
      </c>
      <c r="F45" s="66">
        <v>31.83283736246258</v>
      </c>
      <c r="G45" s="65">
        <v>77.880579253404861</v>
      </c>
      <c r="H45" s="66">
        <v>22.119420746595093</v>
      </c>
      <c r="I45" s="65">
        <v>97.915745404491773</v>
      </c>
      <c r="J45" s="66">
        <v>2.0842545955082161</v>
      </c>
      <c r="K45" s="65">
        <v>92.090789802033328</v>
      </c>
      <c r="L45" s="66">
        <v>7.909210197966682</v>
      </c>
      <c r="M45" s="65">
        <v>94.258557897948776</v>
      </c>
      <c r="N45" s="66">
        <v>5.7414421020512014</v>
      </c>
      <c r="O45" s="65">
        <v>84.251369776279432</v>
      </c>
      <c r="P45" s="66">
        <v>15.748630223720598</v>
      </c>
      <c r="Q45" s="65">
        <v>82.732066586286635</v>
      </c>
      <c r="R45" s="66">
        <v>17.267933413713401</v>
      </c>
      <c r="S45" s="65">
        <v>89.141765585674307</v>
      </c>
      <c r="T45" s="66">
        <v>10.858234414325668</v>
      </c>
      <c r="U45" s="65">
        <v>90.101641457488441</v>
      </c>
      <c r="V45" s="66">
        <v>9.8983585425115574</v>
      </c>
      <c r="W45" s="65">
        <v>97.317789951256756</v>
      </c>
      <c r="X45" s="66">
        <v>2.682210048743241</v>
      </c>
      <c r="Y45" s="65">
        <v>98.033233726025998</v>
      </c>
      <c r="Z45" s="66">
        <v>1.9667662739739837</v>
      </c>
      <c r="AA45" s="65">
        <v>86.965613382899633</v>
      </c>
      <c r="AB45" s="66">
        <v>13.034386617100372</v>
      </c>
    </row>
    <row r="46" spans="1:28" s="24" customFormat="1" ht="15" customHeight="1" x14ac:dyDescent="0.2">
      <c r="A46" s="368"/>
      <c r="B46" s="28" t="s">
        <v>16</v>
      </c>
      <c r="C46" s="29">
        <v>86.378804990964227</v>
      </c>
      <c r="D46" s="30">
        <v>13.621195009035828</v>
      </c>
      <c r="E46" s="29">
        <v>68.171510373239542</v>
      </c>
      <c r="F46" s="30">
        <v>31.828489626760497</v>
      </c>
      <c r="G46" s="29">
        <v>82.518547704395942</v>
      </c>
      <c r="H46" s="30">
        <v>17.481452295604083</v>
      </c>
      <c r="I46" s="29">
        <v>98.119157490878735</v>
      </c>
      <c r="J46" s="30">
        <v>1.880842509121297</v>
      </c>
      <c r="K46" s="29">
        <v>90.390175129588897</v>
      </c>
      <c r="L46" s="30">
        <v>9.6098248704110851</v>
      </c>
      <c r="M46" s="29">
        <v>95.758167969532977</v>
      </c>
      <c r="N46" s="30">
        <v>4.2418320304670267</v>
      </c>
      <c r="O46" s="29">
        <v>83.797926233426367</v>
      </c>
      <c r="P46" s="30">
        <v>16.20207376657363</v>
      </c>
      <c r="Q46" s="29">
        <v>81.367242284984187</v>
      </c>
      <c r="R46" s="30">
        <v>18.632757715015778</v>
      </c>
      <c r="S46" s="29">
        <v>88.354209362945738</v>
      </c>
      <c r="T46" s="30">
        <v>11.645790637054281</v>
      </c>
      <c r="U46" s="29">
        <v>90.631182773226314</v>
      </c>
      <c r="V46" s="30">
        <v>9.3688172267736736</v>
      </c>
      <c r="W46" s="29">
        <v>97.331173563102325</v>
      </c>
      <c r="X46" s="30">
        <v>2.6688264368976817</v>
      </c>
      <c r="Y46" s="29">
        <v>98.467950868227788</v>
      </c>
      <c r="Z46" s="30">
        <v>1.5320491317722122</v>
      </c>
      <c r="AA46" s="29">
        <v>90.203527815468107</v>
      </c>
      <c r="AB46" s="30">
        <v>9.7964721845318863</v>
      </c>
    </row>
    <row r="47" spans="1:28" s="24" customFormat="1" ht="15" customHeight="1" x14ac:dyDescent="0.2">
      <c r="A47" s="368"/>
      <c r="B47" s="64" t="s">
        <v>8</v>
      </c>
      <c r="C47" s="65">
        <v>85.45759975927308</v>
      </c>
      <c r="D47" s="66">
        <v>14.542400240726922</v>
      </c>
      <c r="E47" s="65">
        <v>64.497527566879072</v>
      </c>
      <c r="F47" s="66">
        <v>35.502472433120921</v>
      </c>
      <c r="G47" s="65">
        <v>80.860883620733333</v>
      </c>
      <c r="H47" s="66">
        <v>19.139116379266703</v>
      </c>
      <c r="I47" s="65">
        <v>98.307008561417476</v>
      </c>
      <c r="J47" s="66">
        <v>1.6929914385825677</v>
      </c>
      <c r="K47" s="65">
        <v>91.096631855579645</v>
      </c>
      <c r="L47" s="66">
        <v>8.9033681444203534</v>
      </c>
      <c r="M47" s="65">
        <v>94.483779511062878</v>
      </c>
      <c r="N47" s="66">
        <v>5.5162204889370949</v>
      </c>
      <c r="O47" s="65">
        <v>81.052175385984185</v>
      </c>
      <c r="P47" s="66">
        <v>18.947824614015804</v>
      </c>
      <c r="Q47" s="65">
        <v>86.335766805462569</v>
      </c>
      <c r="R47" s="66">
        <v>13.664233194537449</v>
      </c>
      <c r="S47" s="65">
        <v>87.865247148458394</v>
      </c>
      <c r="T47" s="66">
        <v>12.134752851541586</v>
      </c>
      <c r="U47" s="65">
        <v>89.140803556621023</v>
      </c>
      <c r="V47" s="66">
        <v>10.859196443378995</v>
      </c>
      <c r="W47" s="65">
        <v>97.625305538773631</v>
      </c>
      <c r="X47" s="66">
        <v>2.3746944612263676</v>
      </c>
      <c r="Y47" s="65">
        <v>97.968473286458249</v>
      </c>
      <c r="Z47" s="66">
        <v>2.0315267135417581</v>
      </c>
      <c r="AA47" s="65">
        <v>91.207134782062553</v>
      </c>
      <c r="AB47" s="66">
        <v>8.7928652179374449</v>
      </c>
    </row>
    <row r="48" spans="1:28" s="24" customFormat="1" ht="15" customHeight="1" x14ac:dyDescent="0.2">
      <c r="A48" s="368"/>
      <c r="B48" s="28" t="s">
        <v>9</v>
      </c>
      <c r="C48" s="29">
        <v>82.984674872860936</v>
      </c>
      <c r="D48" s="30">
        <v>17.015325127139121</v>
      </c>
      <c r="E48" s="29">
        <v>63.696204216329932</v>
      </c>
      <c r="F48" s="30">
        <v>36.303795783670026</v>
      </c>
      <c r="G48" s="29">
        <v>75.081081569206589</v>
      </c>
      <c r="H48" s="30">
        <v>24.918918430793468</v>
      </c>
      <c r="I48" s="29">
        <v>97.728689418332664</v>
      </c>
      <c r="J48" s="30">
        <v>2.2713105816673367</v>
      </c>
      <c r="K48" s="29">
        <v>88.900493040004463</v>
      </c>
      <c r="L48" s="30">
        <v>11.099506959995594</v>
      </c>
      <c r="M48" s="29">
        <v>95.025917135182169</v>
      </c>
      <c r="N48" s="30">
        <v>4.9740828648178086</v>
      </c>
      <c r="O48" s="29">
        <v>77.659604793335092</v>
      </c>
      <c r="P48" s="30">
        <v>22.340395206664883</v>
      </c>
      <c r="Q48" s="29">
        <v>87.728648801267425</v>
      </c>
      <c r="R48" s="30">
        <v>12.271351198732589</v>
      </c>
      <c r="S48" s="29">
        <v>86.991414023587097</v>
      </c>
      <c r="T48" s="30">
        <v>13.00858597641289</v>
      </c>
      <c r="U48" s="29">
        <v>88.927704546290641</v>
      </c>
      <c r="V48" s="30">
        <v>11.072295453709383</v>
      </c>
      <c r="W48" s="29">
        <v>97.794771410968792</v>
      </c>
      <c r="X48" s="30">
        <v>2.2052285890311931</v>
      </c>
      <c r="Y48" s="29">
        <v>97.852633190056508</v>
      </c>
      <c r="Z48" s="30">
        <v>2.1473668099434979</v>
      </c>
      <c r="AA48" s="29">
        <v>90.45599151643691</v>
      </c>
      <c r="AB48" s="30">
        <v>9.5440084835630969</v>
      </c>
    </row>
    <row r="49" spans="1:28" s="24" customFormat="1" ht="15" customHeight="1" x14ac:dyDescent="0.2">
      <c r="A49" s="368"/>
      <c r="B49" s="64" t="s">
        <v>10</v>
      </c>
      <c r="C49" s="65">
        <v>82.944177670613868</v>
      </c>
      <c r="D49" s="66">
        <v>17.055822329386046</v>
      </c>
      <c r="E49" s="65">
        <v>66.172782399608067</v>
      </c>
      <c r="F49" s="66">
        <v>33.82721760039194</v>
      </c>
      <c r="G49" s="65">
        <v>75.029357809129493</v>
      </c>
      <c r="H49" s="66">
        <v>24.970642190870578</v>
      </c>
      <c r="I49" s="65">
        <v>97.783487727085628</v>
      </c>
      <c r="J49" s="66">
        <v>2.2165122729143749</v>
      </c>
      <c r="K49" s="65">
        <v>89.263374758879948</v>
      </c>
      <c r="L49" s="66">
        <v>10.736625241120109</v>
      </c>
      <c r="M49" s="65">
        <v>94.940715357655691</v>
      </c>
      <c r="N49" s="66">
        <v>5.0592846423443216</v>
      </c>
      <c r="O49" s="65">
        <v>76.207084017197374</v>
      </c>
      <c r="P49" s="66">
        <v>23.792915982802633</v>
      </c>
      <c r="Q49" s="65">
        <v>88.645458666721908</v>
      </c>
      <c r="R49" s="66">
        <v>11.354541333278107</v>
      </c>
      <c r="S49" s="65">
        <v>87.621058263027393</v>
      </c>
      <c r="T49" s="66">
        <v>12.3789417369726</v>
      </c>
      <c r="U49" s="65">
        <v>87.304235978238808</v>
      </c>
      <c r="V49" s="66">
        <v>12.695764021761205</v>
      </c>
      <c r="W49" s="65">
        <v>97.054519253146182</v>
      </c>
      <c r="X49" s="66">
        <v>2.9454807468537973</v>
      </c>
      <c r="Y49" s="65">
        <v>98.218220730837317</v>
      </c>
      <c r="Z49" s="66">
        <v>1.7817792691626817</v>
      </c>
      <c r="AA49" s="65">
        <v>96.996486782238094</v>
      </c>
      <c r="AB49" s="66">
        <v>3.0035132177619075</v>
      </c>
    </row>
    <row r="50" spans="1:28" s="24" customFormat="1" ht="15" customHeight="1" x14ac:dyDescent="0.2">
      <c r="A50" s="367"/>
      <c r="B50" s="398" t="s">
        <v>11</v>
      </c>
      <c r="C50" s="399">
        <v>82.808651164586408</v>
      </c>
      <c r="D50" s="400">
        <v>17.19134883541377</v>
      </c>
      <c r="E50" s="399">
        <v>62.296656994048838</v>
      </c>
      <c r="F50" s="400">
        <v>37.703343005951155</v>
      </c>
      <c r="G50" s="399">
        <v>76.922245394405877</v>
      </c>
      <c r="H50" s="400">
        <v>23.077754605594052</v>
      </c>
      <c r="I50" s="399">
        <v>97.607615086475789</v>
      </c>
      <c r="J50" s="400">
        <v>2.3923849135241753</v>
      </c>
      <c r="K50" s="399">
        <v>89.732951498326713</v>
      </c>
      <c r="L50" s="400">
        <v>10.26704850167326</v>
      </c>
      <c r="M50" s="399">
        <v>95.948287892126132</v>
      </c>
      <c r="N50" s="400">
        <v>4.0517121078738523</v>
      </c>
      <c r="O50" s="399">
        <v>75.53420507138172</v>
      </c>
      <c r="P50" s="400">
        <v>24.465794928618244</v>
      </c>
      <c r="Q50" s="399">
        <v>83.750570342205322</v>
      </c>
      <c r="R50" s="400">
        <v>16.249429657794678</v>
      </c>
      <c r="S50" s="399">
        <v>89.169118119874568</v>
      </c>
      <c r="T50" s="400">
        <v>10.830881880125439</v>
      </c>
      <c r="U50" s="399">
        <v>88.352684648015739</v>
      </c>
      <c r="V50" s="400">
        <v>11.647315351984245</v>
      </c>
      <c r="W50" s="399">
        <v>97.72250722427728</v>
      </c>
      <c r="X50" s="400">
        <v>2.2774927757227124</v>
      </c>
      <c r="Y50" s="399">
        <v>97.975405875971958</v>
      </c>
      <c r="Z50" s="400">
        <v>2.0245941240280403</v>
      </c>
      <c r="AA50" s="399">
        <v>93.732107116617257</v>
      </c>
      <c r="AB50" s="400">
        <v>6.2678928833827365</v>
      </c>
    </row>
    <row r="51" spans="1:28" s="24" customFormat="1" x14ac:dyDescent="0.2">
      <c r="B51" s="20"/>
      <c r="C51" s="32"/>
      <c r="D51" s="32"/>
    </row>
    <row r="52" spans="1:28" s="24" customFormat="1" x14ac:dyDescent="0.2">
      <c r="A52" s="33"/>
      <c r="B52" s="34"/>
      <c r="C52" s="35"/>
      <c r="D52" s="380"/>
      <c r="E52" s="380"/>
      <c r="F52" s="379"/>
      <c r="G52" s="379"/>
      <c r="H52" s="379"/>
      <c r="I52" s="379"/>
      <c r="J52" s="379"/>
      <c r="K52" s="379"/>
      <c r="L52" s="379"/>
      <c r="M52" s="379"/>
      <c r="N52" s="379"/>
      <c r="O52" s="379"/>
      <c r="P52" s="379"/>
      <c r="Q52" s="379"/>
      <c r="R52" s="379"/>
      <c r="S52" s="379"/>
      <c r="T52" s="379"/>
      <c r="U52" s="379"/>
      <c r="V52" s="379"/>
      <c r="W52" s="379"/>
      <c r="X52" s="379"/>
      <c r="Y52" s="379"/>
      <c r="Z52" s="379"/>
      <c r="AA52" s="379"/>
      <c r="AB52" s="381"/>
    </row>
    <row r="53" spans="1:28" s="39" customFormat="1" ht="16.5" x14ac:dyDescent="0.3">
      <c r="A53" s="25"/>
      <c r="B53" s="109" t="s">
        <v>84</v>
      </c>
      <c r="C53" s="393"/>
      <c r="D53" s="394"/>
      <c r="E53" s="394"/>
      <c r="F53" s="395"/>
      <c r="G53" s="395"/>
      <c r="H53" s="395"/>
      <c r="I53" s="395"/>
      <c r="J53" s="395"/>
      <c r="K53" s="395"/>
      <c r="L53" s="395"/>
      <c r="M53" s="395"/>
      <c r="N53" s="395"/>
      <c r="O53" s="395"/>
      <c r="P53" s="41"/>
      <c r="Q53" s="41"/>
      <c r="R53" s="41"/>
      <c r="S53" s="41"/>
      <c r="T53" s="41"/>
      <c r="U53" s="41"/>
      <c r="V53" s="41"/>
      <c r="W53" s="41"/>
      <c r="X53" s="41"/>
      <c r="Y53" s="41"/>
      <c r="Z53" s="41"/>
      <c r="AA53" s="41"/>
      <c r="AB53" s="382"/>
    </row>
    <row r="54" spans="1:28" ht="16.5" x14ac:dyDescent="0.3">
      <c r="A54" s="40"/>
      <c r="B54" s="395" t="s">
        <v>17</v>
      </c>
      <c r="C54" s="396"/>
      <c r="D54" s="394"/>
      <c r="E54" s="394"/>
      <c r="F54" s="394"/>
      <c r="G54" s="394"/>
      <c r="H54" s="394"/>
      <c r="I54" s="394"/>
      <c r="J54" s="394"/>
      <c r="K54" s="394"/>
      <c r="L54" s="394"/>
      <c r="M54" s="394"/>
      <c r="N54" s="394"/>
      <c r="O54" s="394"/>
      <c r="AB54" s="383"/>
    </row>
    <row r="55" spans="1:28" ht="16.5" x14ac:dyDescent="0.3">
      <c r="A55" s="40"/>
      <c r="B55" s="438" t="s">
        <v>172</v>
      </c>
      <c r="C55" s="438"/>
      <c r="D55" s="438"/>
      <c r="E55" s="438"/>
      <c r="F55" s="438"/>
      <c r="G55" s="438"/>
      <c r="H55" s="438"/>
      <c r="I55" s="438"/>
      <c r="J55" s="438"/>
      <c r="K55" s="438"/>
      <c r="L55" s="438"/>
      <c r="M55" s="438"/>
      <c r="N55" s="438"/>
      <c r="O55" s="438"/>
      <c r="AB55" s="383"/>
    </row>
    <row r="56" spans="1:28" s="46" customFormat="1" ht="15" customHeight="1" x14ac:dyDescent="0.3">
      <c r="A56" s="16"/>
      <c r="B56" s="144" t="str">
        <f>'1.1 V.A Ing.real'!B45</f>
        <v>Actualizado el 15 de diciembre de 2021</v>
      </c>
      <c r="C56" s="397"/>
      <c r="D56" s="394"/>
      <c r="E56" s="394"/>
      <c r="F56" s="140"/>
      <c r="G56" s="140"/>
      <c r="H56" s="140"/>
      <c r="I56" s="140"/>
      <c r="J56" s="140"/>
      <c r="K56" s="140"/>
      <c r="L56" s="140"/>
      <c r="M56" s="140"/>
      <c r="N56" s="140"/>
      <c r="O56" s="140"/>
      <c r="AB56" s="384"/>
    </row>
    <row r="57" spans="1:28" x14ac:dyDescent="0.2">
      <c r="A57" s="47"/>
      <c r="B57" s="48"/>
      <c r="C57" s="49"/>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6"/>
    </row>
  </sheetData>
  <mergeCells count="19">
    <mergeCell ref="S15:T15"/>
    <mergeCell ref="U15:V15"/>
    <mergeCell ref="W15:X15"/>
    <mergeCell ref="Y15:Z15"/>
    <mergeCell ref="AA15:AB15"/>
    <mergeCell ref="B55:O55"/>
    <mergeCell ref="A7:F8"/>
    <mergeCell ref="O15:P15"/>
    <mergeCell ref="Q15:R15"/>
    <mergeCell ref="B9:D9"/>
    <mergeCell ref="A15:A16"/>
    <mergeCell ref="B15:B16"/>
    <mergeCell ref="C15:D15"/>
    <mergeCell ref="E15:F15"/>
    <mergeCell ref="E9:F9"/>
    <mergeCell ref="G15:H15"/>
    <mergeCell ref="I15:J15"/>
    <mergeCell ref="K15:L15"/>
    <mergeCell ref="M15:N15"/>
  </mergeCells>
  <hyperlinks>
    <hyperlink ref="G3" location="Contenido!A1" display="Inicio" xr:uid="{00000000-0004-0000-1300-000000000000}"/>
  </hyperlinks>
  <printOptions horizontalCentered="1" verticalCentered="1"/>
  <pageMargins left="0.39370078740157483" right="0.39370078740157483" top="0.39370078740157483" bottom="0.19685039370078741" header="0" footer="0"/>
  <pageSetup scale="25"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CB59"/>
  <sheetViews>
    <sheetView showGridLines="0" zoomScale="80" zoomScaleNormal="80" zoomScaleSheetLayoutView="90" workbookViewId="0">
      <selection activeCell="A7" sqref="A7:H8"/>
    </sheetView>
  </sheetViews>
  <sheetFormatPr baseColWidth="10" defaultColWidth="11.42578125" defaultRowHeight="16.5" x14ac:dyDescent="0.3"/>
  <cols>
    <col min="1" max="1" width="10.42578125" style="100" customWidth="1"/>
    <col min="2" max="2" width="19.85546875" style="128" bestFit="1" customWidth="1"/>
    <col min="3" max="3" width="16.42578125" style="128" customWidth="1"/>
    <col min="4" max="4" width="15" style="128" customWidth="1"/>
    <col min="5" max="5" width="15.140625" style="128" customWidth="1"/>
    <col min="6" max="6" width="8.85546875" style="128" customWidth="1"/>
    <col min="7" max="7" width="16.85546875" style="128" customWidth="1"/>
    <col min="8" max="8" width="16.140625" style="128" customWidth="1"/>
    <col min="9" max="9" width="15.85546875" style="128" customWidth="1"/>
    <col min="10" max="10" width="16.140625" style="128" customWidth="1"/>
    <col min="11" max="11" width="15.42578125" style="128" customWidth="1"/>
    <col min="12" max="12" width="13.7109375" style="100" customWidth="1"/>
    <col min="13" max="13" width="16" style="100" customWidth="1"/>
    <col min="14" max="14" width="18.7109375" style="100" customWidth="1"/>
    <col min="15" max="15" width="10" style="100" customWidth="1"/>
    <col min="16" max="16" width="16.140625" style="100" customWidth="1"/>
    <col min="17" max="17" width="14.7109375" style="100" customWidth="1"/>
    <col min="18" max="18" width="18.7109375" style="100" customWidth="1"/>
    <col min="19" max="22" width="14.7109375" style="100" customWidth="1"/>
    <col min="23" max="23" width="19" style="100" customWidth="1"/>
    <col min="24" max="24" width="14.7109375" style="100" customWidth="1"/>
    <col min="25" max="25" width="16.42578125" style="100" customWidth="1"/>
    <col min="26" max="26" width="14.7109375" style="100" customWidth="1"/>
    <col min="27" max="27" width="19.85546875" style="100" customWidth="1"/>
    <col min="28" max="31" width="14.7109375" style="100" customWidth="1"/>
    <col min="32" max="32" width="19" style="100" customWidth="1"/>
    <col min="33" max="33" width="14.7109375" style="100" customWidth="1"/>
    <col min="34" max="34" width="17.140625" style="100" customWidth="1"/>
    <col min="35" max="35" width="14.7109375" style="100" customWidth="1"/>
    <col min="36" max="36" width="20.85546875" style="100" customWidth="1"/>
    <col min="37" max="40" width="14.7109375" style="100" customWidth="1"/>
    <col min="41" max="41" width="19" style="100" customWidth="1"/>
    <col min="42" max="42" width="14.7109375" style="100" customWidth="1"/>
    <col min="43" max="43" width="19.7109375" style="100" customWidth="1"/>
    <col min="44" max="44" width="14.7109375" style="100" customWidth="1"/>
    <col min="45" max="45" width="19.7109375" style="100" customWidth="1"/>
    <col min="46" max="49" width="14.7109375" style="100" customWidth="1"/>
    <col min="50" max="50" width="17" style="100" customWidth="1"/>
    <col min="51" max="51" width="14.7109375" style="100" customWidth="1"/>
    <col min="52" max="52" width="19.42578125" style="100" customWidth="1"/>
    <col min="53" max="53" width="14.7109375" style="100" customWidth="1"/>
    <col min="54" max="54" width="20.42578125" style="100" customWidth="1"/>
    <col min="55" max="58" width="14.7109375" style="100" customWidth="1"/>
    <col min="59" max="59" width="18.85546875" style="100" customWidth="1"/>
    <col min="60" max="60" width="11.42578125" style="100"/>
    <col min="61" max="68" width="16" style="100" customWidth="1"/>
    <col min="69" max="69" width="11.42578125" style="100" customWidth="1"/>
    <col min="70" max="70" width="15.28515625" style="100" customWidth="1"/>
    <col min="71" max="71" width="14.7109375" style="100" customWidth="1"/>
    <col min="72" max="72" width="11.42578125" style="100"/>
    <col min="73" max="73" width="15.140625" style="100" customWidth="1"/>
    <col min="74" max="74" width="15.42578125" style="100" customWidth="1"/>
    <col min="75" max="75" width="11.42578125" style="100"/>
    <col min="76" max="76" width="14.7109375" style="100" customWidth="1"/>
    <col min="77" max="77" width="15.42578125" style="100" customWidth="1"/>
    <col min="78" max="78" width="11.42578125" style="100"/>
    <col min="79" max="80" width="15.28515625" style="100" customWidth="1"/>
    <col min="81" max="16384" width="11.42578125" style="100"/>
  </cols>
  <sheetData>
    <row r="1" spans="1:80" s="83" customFormat="1" ht="12" customHeight="1" x14ac:dyDescent="0.3">
      <c r="A1" s="80"/>
      <c r="B1" s="81"/>
      <c r="C1" s="81"/>
      <c r="D1" s="81"/>
      <c r="E1" s="81"/>
      <c r="F1" s="81"/>
      <c r="G1" s="81"/>
      <c r="H1" s="81"/>
      <c r="I1" s="81"/>
      <c r="J1" s="81"/>
      <c r="K1" s="81"/>
      <c r="L1" s="81"/>
      <c r="M1" s="81"/>
      <c r="N1" s="81"/>
      <c r="O1" s="85"/>
    </row>
    <row r="2" spans="1:80" s="87" customFormat="1" x14ac:dyDescent="0.3">
      <c r="A2" s="84"/>
      <c r="B2" s="85"/>
      <c r="C2" s="85"/>
      <c r="D2" s="85"/>
      <c r="E2" s="85"/>
      <c r="F2" s="85"/>
      <c r="G2" s="85"/>
      <c r="H2" s="85"/>
      <c r="I2" s="85"/>
      <c r="J2" s="85"/>
      <c r="K2" s="85"/>
      <c r="L2" s="85"/>
      <c r="M2" s="85"/>
      <c r="N2" s="85"/>
      <c r="O2" s="85"/>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row>
    <row r="3" spans="1:80" s="87" customFormat="1" x14ac:dyDescent="0.3">
      <c r="A3" s="84"/>
      <c r="B3" s="85"/>
      <c r="C3" s="85"/>
      <c r="D3" s="85"/>
      <c r="E3" s="85"/>
      <c r="F3" s="85"/>
      <c r="G3" s="85"/>
      <c r="H3" s="85"/>
      <c r="I3" s="85"/>
      <c r="J3" s="85"/>
      <c r="K3" s="224" t="s">
        <v>0</v>
      </c>
      <c r="L3" s="85"/>
      <c r="M3" s="85"/>
      <c r="N3" s="85"/>
      <c r="O3" s="85"/>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row>
    <row r="4" spans="1:80" s="87" customFormat="1" x14ac:dyDescent="0.3">
      <c r="A4" s="84"/>
      <c r="B4" s="85"/>
      <c r="C4" s="85"/>
      <c r="D4" s="85"/>
      <c r="E4" s="85"/>
      <c r="F4" s="85"/>
      <c r="G4" s="85"/>
      <c r="H4" s="85"/>
      <c r="I4" s="224"/>
      <c r="J4" s="85"/>
      <c r="K4" s="85"/>
      <c r="L4" s="85"/>
      <c r="M4" s="85"/>
      <c r="N4" s="85"/>
      <c r="O4" s="85"/>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c r="BH4" s="130"/>
    </row>
    <row r="5" spans="1:80" s="87" customFormat="1" x14ac:dyDescent="0.3">
      <c r="A5" s="84"/>
      <c r="B5" s="85"/>
      <c r="C5" s="85"/>
      <c r="D5" s="85"/>
      <c r="E5" s="85"/>
      <c r="F5" s="85"/>
      <c r="G5" s="85"/>
      <c r="H5" s="85"/>
      <c r="I5" s="85"/>
      <c r="J5" s="85"/>
      <c r="K5" s="85"/>
      <c r="L5" s="85"/>
      <c r="M5" s="85"/>
      <c r="N5" s="85"/>
      <c r="O5" s="85"/>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row>
    <row r="6" spans="1:80" s="87" customFormat="1" x14ac:dyDescent="0.3">
      <c r="A6" s="84"/>
      <c r="B6" s="85"/>
      <c r="C6" s="85"/>
      <c r="D6" s="85"/>
      <c r="E6" s="85"/>
      <c r="F6" s="85"/>
      <c r="G6" s="85"/>
      <c r="H6" s="85"/>
      <c r="I6" s="85"/>
      <c r="J6" s="85"/>
      <c r="K6" s="85"/>
      <c r="L6" s="85"/>
      <c r="M6" s="85"/>
      <c r="N6" s="85"/>
      <c r="O6" s="85"/>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row>
    <row r="7" spans="1:80" s="87" customFormat="1" ht="15" customHeight="1" x14ac:dyDescent="0.3">
      <c r="A7" s="421" t="s">
        <v>4</v>
      </c>
      <c r="B7" s="421"/>
      <c r="C7" s="421"/>
      <c r="D7" s="421"/>
      <c r="E7" s="421"/>
      <c r="F7" s="421"/>
      <c r="G7" s="421"/>
      <c r="H7" s="421"/>
      <c r="I7" s="197"/>
      <c r="J7" s="197"/>
      <c r="K7" s="197"/>
      <c r="L7" s="197"/>
      <c r="M7" s="197"/>
      <c r="N7" s="197"/>
      <c r="O7" s="197"/>
      <c r="P7" s="197"/>
      <c r="Q7" s="197"/>
      <c r="R7" s="129"/>
      <c r="S7" s="129"/>
      <c r="T7" s="129"/>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30"/>
      <c r="BG7" s="130"/>
      <c r="BH7" s="130"/>
    </row>
    <row r="8" spans="1:80" s="87" customFormat="1" ht="15" customHeight="1" x14ac:dyDescent="0.3">
      <c r="A8" s="421"/>
      <c r="B8" s="421"/>
      <c r="C8" s="421"/>
      <c r="D8" s="421"/>
      <c r="E8" s="421"/>
      <c r="F8" s="421"/>
      <c r="G8" s="421"/>
      <c r="H8" s="421"/>
      <c r="I8" s="197"/>
      <c r="J8" s="197"/>
      <c r="K8" s="197"/>
      <c r="L8" s="197"/>
      <c r="M8" s="197"/>
      <c r="N8" s="197"/>
      <c r="O8" s="197"/>
      <c r="P8" s="197"/>
      <c r="Q8" s="197"/>
      <c r="R8" s="129"/>
      <c r="S8" s="129"/>
      <c r="T8" s="129"/>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30"/>
      <c r="BG8" s="130"/>
      <c r="BH8" s="130"/>
    </row>
    <row r="9" spans="1:80" s="89" customFormat="1" ht="15" customHeight="1" x14ac:dyDescent="0.3">
      <c r="A9" s="215"/>
      <c r="B9" s="216"/>
      <c r="C9" s="216"/>
      <c r="D9" s="216"/>
      <c r="E9" s="216"/>
      <c r="F9" s="216"/>
      <c r="G9" s="216"/>
      <c r="H9" s="216"/>
      <c r="I9" s="129"/>
      <c r="J9" s="129"/>
      <c r="K9" s="129"/>
      <c r="L9" s="129"/>
      <c r="M9" s="129"/>
      <c r="N9" s="129"/>
      <c r="O9" s="129"/>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row>
    <row r="10" spans="1:80" s="83" customFormat="1" ht="18" customHeight="1" x14ac:dyDescent="0.3">
      <c r="A10" s="90" t="s">
        <v>146</v>
      </c>
      <c r="B10" s="164"/>
      <c r="C10" s="164"/>
      <c r="D10" s="164"/>
      <c r="E10" s="164"/>
      <c r="F10" s="164"/>
      <c r="G10" s="164"/>
      <c r="H10" s="164"/>
      <c r="I10" s="137"/>
      <c r="J10" s="137"/>
      <c r="K10" s="137"/>
      <c r="L10" s="137"/>
      <c r="M10" s="137"/>
      <c r="N10" s="137"/>
      <c r="O10" s="137"/>
      <c r="P10" s="137"/>
      <c r="Q10" s="137"/>
      <c r="R10" s="226"/>
      <c r="S10" s="226"/>
      <c r="T10" s="226"/>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row>
    <row r="11" spans="1:80" s="83" customFormat="1" ht="18" customHeight="1" x14ac:dyDescent="0.3">
      <c r="A11" s="90" t="s">
        <v>79</v>
      </c>
      <c r="B11" s="164"/>
      <c r="C11" s="164"/>
      <c r="D11" s="164"/>
      <c r="E11" s="164"/>
      <c r="F11" s="164"/>
      <c r="G11" s="164"/>
      <c r="H11" s="164"/>
      <c r="I11" s="137"/>
      <c r="J11" s="137"/>
      <c r="K11" s="137"/>
      <c r="L11" s="137"/>
      <c r="M11" s="137"/>
      <c r="N11" s="137"/>
      <c r="O11" s="137"/>
      <c r="P11" s="226"/>
      <c r="Q11" s="226"/>
      <c r="R11" s="226"/>
      <c r="S11" s="226"/>
      <c r="T11" s="226"/>
      <c r="U11" s="137"/>
      <c r="V11" s="137"/>
      <c r="W11" s="137"/>
      <c r="X11" s="137"/>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row>
    <row r="12" spans="1:80" s="83" customFormat="1" ht="18" customHeight="1" x14ac:dyDescent="0.3">
      <c r="A12" s="90" t="str">
        <f>'5.1 Porc Ocupación.escala.hab'!A12</f>
        <v>Enero 2019 - octubre 2021</v>
      </c>
      <c r="B12" s="91"/>
      <c r="C12" s="91"/>
      <c r="D12" s="91"/>
      <c r="E12" s="91"/>
      <c r="F12" s="91"/>
      <c r="G12" s="91"/>
      <c r="H12" s="91"/>
      <c r="I12" s="226"/>
      <c r="J12" s="226"/>
      <c r="K12" s="226"/>
      <c r="L12" s="226"/>
      <c r="M12" s="226"/>
      <c r="N12" s="226"/>
      <c r="O12" s="226"/>
      <c r="P12" s="226"/>
      <c r="Q12" s="226"/>
      <c r="R12" s="226"/>
      <c r="S12" s="226"/>
      <c r="T12" s="226"/>
      <c r="U12" s="137"/>
      <c r="V12" s="137"/>
      <c r="W12" s="137"/>
      <c r="X12" s="137"/>
      <c r="Y12" s="137"/>
      <c r="Z12" s="137"/>
      <c r="AA12" s="137"/>
      <c r="AB12" s="137"/>
      <c r="AC12" s="137"/>
      <c r="AD12" s="137"/>
      <c r="AE12" s="137"/>
      <c r="AF12" s="137"/>
      <c r="AG12" s="137"/>
      <c r="AH12" s="137"/>
      <c r="AI12" s="137"/>
      <c r="AJ12" s="137"/>
      <c r="AK12" s="137"/>
      <c r="AL12" s="137"/>
      <c r="AM12" s="137"/>
      <c r="AN12" s="137"/>
      <c r="AO12" s="137"/>
      <c r="AP12" s="137"/>
      <c r="AQ12" s="137"/>
      <c r="AR12" s="137"/>
      <c r="AS12" s="137"/>
      <c r="AT12" s="137"/>
      <c r="AU12" s="137"/>
      <c r="AV12" s="137"/>
      <c r="AW12" s="137"/>
      <c r="AX12" s="137"/>
      <c r="AY12" s="137"/>
      <c r="AZ12" s="137"/>
      <c r="BA12" s="137"/>
      <c r="BB12" s="137"/>
      <c r="BC12" s="137"/>
      <c r="BD12" s="137"/>
      <c r="BE12" s="137"/>
    </row>
    <row r="13" spans="1:80" s="83" customFormat="1" ht="18" customHeight="1" x14ac:dyDescent="0.3">
      <c r="A13" s="90" t="s">
        <v>109</v>
      </c>
      <c r="B13" s="219"/>
      <c r="C13" s="219"/>
      <c r="D13" s="219"/>
      <c r="E13" s="219"/>
      <c r="F13" s="219"/>
      <c r="G13" s="220"/>
      <c r="H13" s="220"/>
      <c r="I13" s="242"/>
      <c r="J13" s="242"/>
      <c r="K13" s="242"/>
      <c r="L13" s="93"/>
      <c r="M13" s="93"/>
      <c r="N13" s="93"/>
      <c r="O13" s="93"/>
    </row>
    <row r="14" spans="1:80" s="95" customFormat="1" ht="18.75" customHeight="1" x14ac:dyDescent="0.3">
      <c r="A14" s="427" t="s">
        <v>25</v>
      </c>
      <c r="B14" s="446" t="s">
        <v>26</v>
      </c>
      <c r="C14" s="444" t="s">
        <v>59</v>
      </c>
      <c r="D14" s="440"/>
      <c r="E14" s="440"/>
      <c r="F14" s="440"/>
      <c r="G14" s="440"/>
      <c r="H14" s="440"/>
      <c r="I14" s="444" t="s">
        <v>97</v>
      </c>
      <c r="J14" s="440"/>
      <c r="K14" s="440"/>
      <c r="L14" s="440"/>
      <c r="M14" s="440"/>
      <c r="N14" s="440"/>
      <c r="O14" s="444" t="s">
        <v>98</v>
      </c>
      <c r="P14" s="440"/>
      <c r="Q14" s="440"/>
      <c r="R14" s="440"/>
      <c r="S14" s="440"/>
      <c r="T14" s="440"/>
      <c r="U14" s="444" t="s">
        <v>99</v>
      </c>
      <c r="V14" s="440"/>
      <c r="W14" s="440"/>
      <c r="X14" s="440"/>
      <c r="Y14" s="440"/>
      <c r="Z14" s="440"/>
      <c r="AA14" s="444" t="s">
        <v>100</v>
      </c>
      <c r="AB14" s="440"/>
      <c r="AC14" s="440"/>
      <c r="AD14" s="440"/>
      <c r="AE14" s="440"/>
      <c r="AF14" s="440"/>
      <c r="AG14" s="444" t="s">
        <v>101</v>
      </c>
      <c r="AH14" s="440"/>
      <c r="AI14" s="440"/>
      <c r="AJ14" s="440"/>
      <c r="AK14" s="440"/>
      <c r="AL14" s="440"/>
      <c r="AM14" s="444" t="s">
        <v>102</v>
      </c>
      <c r="AN14" s="440"/>
      <c r="AO14" s="440"/>
      <c r="AP14" s="440"/>
      <c r="AQ14" s="440"/>
      <c r="AR14" s="440"/>
      <c r="AS14" s="444" t="s">
        <v>111</v>
      </c>
      <c r="AT14" s="440"/>
      <c r="AU14" s="440"/>
      <c r="AV14" s="440"/>
      <c r="AW14" s="440"/>
      <c r="AX14" s="440"/>
      <c r="AY14" s="444" t="s">
        <v>103</v>
      </c>
      <c r="AZ14" s="440"/>
      <c r="BA14" s="440"/>
      <c r="BB14" s="440"/>
      <c r="BC14" s="440"/>
      <c r="BD14" s="440"/>
      <c r="BE14" s="444" t="s">
        <v>104</v>
      </c>
      <c r="BF14" s="440"/>
      <c r="BG14" s="440"/>
      <c r="BH14" s="440"/>
      <c r="BI14" s="440"/>
      <c r="BJ14" s="440"/>
      <c r="BK14" s="444" t="s">
        <v>105</v>
      </c>
      <c r="BL14" s="440"/>
      <c r="BM14" s="440"/>
      <c r="BN14" s="440"/>
      <c r="BO14" s="440"/>
      <c r="BP14" s="440"/>
      <c r="BQ14" s="444" t="s">
        <v>106</v>
      </c>
      <c r="BR14" s="440"/>
      <c r="BS14" s="440"/>
      <c r="BT14" s="440"/>
      <c r="BU14" s="440"/>
      <c r="BV14" s="440"/>
      <c r="BW14" s="444" t="s">
        <v>107</v>
      </c>
      <c r="BX14" s="440"/>
      <c r="BY14" s="440"/>
      <c r="BZ14" s="440"/>
      <c r="CA14" s="440"/>
      <c r="CB14" s="443"/>
    </row>
    <row r="15" spans="1:80" s="95" customFormat="1" ht="26.25" customHeight="1" x14ac:dyDescent="0.3">
      <c r="A15" s="428"/>
      <c r="B15" s="447"/>
      <c r="C15" s="444" t="s">
        <v>90</v>
      </c>
      <c r="D15" s="440"/>
      <c r="E15" s="440"/>
      <c r="F15" s="440"/>
      <c r="G15" s="440"/>
      <c r="H15" s="440"/>
      <c r="I15" s="444" t="s">
        <v>90</v>
      </c>
      <c r="J15" s="440"/>
      <c r="K15" s="440"/>
      <c r="L15" s="440"/>
      <c r="M15" s="440"/>
      <c r="N15" s="440"/>
      <c r="O15" s="444" t="s">
        <v>90</v>
      </c>
      <c r="P15" s="440"/>
      <c r="Q15" s="440"/>
      <c r="R15" s="440"/>
      <c r="S15" s="440"/>
      <c r="T15" s="440"/>
      <c r="U15" s="444" t="s">
        <v>90</v>
      </c>
      <c r="V15" s="440"/>
      <c r="W15" s="440"/>
      <c r="X15" s="440"/>
      <c r="Y15" s="440"/>
      <c r="Z15" s="440"/>
      <c r="AA15" s="444" t="s">
        <v>90</v>
      </c>
      <c r="AB15" s="440"/>
      <c r="AC15" s="440"/>
      <c r="AD15" s="440"/>
      <c r="AE15" s="440"/>
      <c r="AF15" s="440"/>
      <c r="AG15" s="444" t="s">
        <v>90</v>
      </c>
      <c r="AH15" s="440"/>
      <c r="AI15" s="440"/>
      <c r="AJ15" s="440"/>
      <c r="AK15" s="440"/>
      <c r="AL15" s="440"/>
      <c r="AM15" s="444" t="s">
        <v>90</v>
      </c>
      <c r="AN15" s="440"/>
      <c r="AO15" s="440"/>
      <c r="AP15" s="440"/>
      <c r="AQ15" s="440"/>
      <c r="AR15" s="440"/>
      <c r="AS15" s="444" t="s">
        <v>90</v>
      </c>
      <c r="AT15" s="440"/>
      <c r="AU15" s="440"/>
      <c r="AV15" s="440"/>
      <c r="AW15" s="440"/>
      <c r="AX15" s="440"/>
      <c r="AY15" s="444" t="s">
        <v>90</v>
      </c>
      <c r="AZ15" s="440"/>
      <c r="BA15" s="440"/>
      <c r="BB15" s="440"/>
      <c r="BC15" s="440"/>
      <c r="BD15" s="440"/>
      <c r="BE15" s="444" t="s">
        <v>90</v>
      </c>
      <c r="BF15" s="440"/>
      <c r="BG15" s="440"/>
      <c r="BH15" s="440"/>
      <c r="BI15" s="440"/>
      <c r="BJ15" s="440"/>
      <c r="BK15" s="444" t="s">
        <v>90</v>
      </c>
      <c r="BL15" s="440"/>
      <c r="BM15" s="440"/>
      <c r="BN15" s="440"/>
      <c r="BO15" s="440"/>
      <c r="BP15" s="440"/>
      <c r="BQ15" s="444" t="s">
        <v>90</v>
      </c>
      <c r="BR15" s="440"/>
      <c r="BS15" s="440"/>
      <c r="BT15" s="440"/>
      <c r="BU15" s="440"/>
      <c r="BV15" s="440"/>
      <c r="BW15" s="444" t="s">
        <v>90</v>
      </c>
      <c r="BX15" s="440"/>
      <c r="BY15" s="440"/>
      <c r="BZ15" s="440"/>
      <c r="CA15" s="440"/>
      <c r="CB15" s="443"/>
    </row>
    <row r="16" spans="1:80" s="95" customFormat="1" ht="22.5" customHeight="1" x14ac:dyDescent="0.3">
      <c r="A16" s="428"/>
      <c r="B16" s="447"/>
      <c r="C16" s="445" t="s">
        <v>91</v>
      </c>
      <c r="D16" s="425"/>
      <c r="E16" s="426"/>
      <c r="F16" s="425" t="s">
        <v>92</v>
      </c>
      <c r="G16" s="425"/>
      <c r="H16" s="425"/>
      <c r="I16" s="445" t="s">
        <v>91</v>
      </c>
      <c r="J16" s="425"/>
      <c r="K16" s="426"/>
      <c r="L16" s="425" t="s">
        <v>92</v>
      </c>
      <c r="M16" s="425"/>
      <c r="N16" s="425"/>
      <c r="O16" s="445" t="s">
        <v>91</v>
      </c>
      <c r="P16" s="425"/>
      <c r="Q16" s="426"/>
      <c r="R16" s="425" t="s">
        <v>92</v>
      </c>
      <c r="S16" s="425"/>
      <c r="T16" s="425"/>
      <c r="U16" s="445" t="s">
        <v>91</v>
      </c>
      <c r="V16" s="425"/>
      <c r="W16" s="426"/>
      <c r="X16" s="425" t="s">
        <v>92</v>
      </c>
      <c r="Y16" s="425"/>
      <c r="Z16" s="425"/>
      <c r="AA16" s="445" t="s">
        <v>91</v>
      </c>
      <c r="AB16" s="425"/>
      <c r="AC16" s="426"/>
      <c r="AD16" s="425" t="s">
        <v>92</v>
      </c>
      <c r="AE16" s="425"/>
      <c r="AF16" s="425"/>
      <c r="AG16" s="445" t="s">
        <v>91</v>
      </c>
      <c r="AH16" s="425"/>
      <c r="AI16" s="426"/>
      <c r="AJ16" s="425" t="s">
        <v>92</v>
      </c>
      <c r="AK16" s="425"/>
      <c r="AL16" s="425"/>
      <c r="AM16" s="445" t="s">
        <v>91</v>
      </c>
      <c r="AN16" s="425"/>
      <c r="AO16" s="426"/>
      <c r="AP16" s="425" t="s">
        <v>92</v>
      </c>
      <c r="AQ16" s="425"/>
      <c r="AR16" s="425"/>
      <c r="AS16" s="445" t="s">
        <v>91</v>
      </c>
      <c r="AT16" s="425"/>
      <c r="AU16" s="426"/>
      <c r="AV16" s="425" t="s">
        <v>92</v>
      </c>
      <c r="AW16" s="425"/>
      <c r="AX16" s="425"/>
      <c r="AY16" s="445" t="s">
        <v>91</v>
      </c>
      <c r="AZ16" s="425"/>
      <c r="BA16" s="426"/>
      <c r="BB16" s="425" t="s">
        <v>92</v>
      </c>
      <c r="BC16" s="425"/>
      <c r="BD16" s="425"/>
      <c r="BE16" s="445" t="s">
        <v>91</v>
      </c>
      <c r="BF16" s="425"/>
      <c r="BG16" s="426"/>
      <c r="BH16" s="425" t="s">
        <v>92</v>
      </c>
      <c r="BI16" s="425"/>
      <c r="BJ16" s="425"/>
      <c r="BK16" s="445" t="s">
        <v>91</v>
      </c>
      <c r="BL16" s="425"/>
      <c r="BM16" s="426"/>
      <c r="BN16" s="425" t="s">
        <v>92</v>
      </c>
      <c r="BO16" s="425"/>
      <c r="BP16" s="425"/>
      <c r="BQ16" s="445" t="s">
        <v>91</v>
      </c>
      <c r="BR16" s="425"/>
      <c r="BS16" s="426"/>
      <c r="BT16" s="425" t="s">
        <v>92</v>
      </c>
      <c r="BU16" s="425"/>
      <c r="BV16" s="425"/>
      <c r="BW16" s="445" t="s">
        <v>91</v>
      </c>
      <c r="BX16" s="425"/>
      <c r="BY16" s="426"/>
      <c r="BZ16" s="425" t="s">
        <v>92</v>
      </c>
      <c r="CA16" s="425"/>
      <c r="CB16" s="426"/>
    </row>
    <row r="17" spans="1:80" ht="45" customHeight="1" x14ac:dyDescent="0.3">
      <c r="A17" s="428"/>
      <c r="B17" s="447"/>
      <c r="C17" s="297" t="s">
        <v>93</v>
      </c>
      <c r="D17" s="298" t="s">
        <v>94</v>
      </c>
      <c r="E17" s="299" t="s">
        <v>95</v>
      </c>
      <c r="F17" s="213" t="s">
        <v>93</v>
      </c>
      <c r="G17" s="213" t="s">
        <v>94</v>
      </c>
      <c r="H17" s="213" t="s">
        <v>95</v>
      </c>
      <c r="I17" s="278" t="s">
        <v>93</v>
      </c>
      <c r="J17" s="213" t="s">
        <v>94</v>
      </c>
      <c r="K17" s="214" t="s">
        <v>95</v>
      </c>
      <c r="L17" s="213" t="s">
        <v>93</v>
      </c>
      <c r="M17" s="213" t="s">
        <v>94</v>
      </c>
      <c r="N17" s="213" t="s">
        <v>95</v>
      </c>
      <c r="O17" s="278" t="s">
        <v>93</v>
      </c>
      <c r="P17" s="213" t="s">
        <v>94</v>
      </c>
      <c r="Q17" s="214" t="s">
        <v>95</v>
      </c>
      <c r="R17" s="213" t="s">
        <v>93</v>
      </c>
      <c r="S17" s="213" t="s">
        <v>94</v>
      </c>
      <c r="T17" s="213" t="s">
        <v>95</v>
      </c>
      <c r="U17" s="278" t="s">
        <v>93</v>
      </c>
      <c r="V17" s="213" t="s">
        <v>94</v>
      </c>
      <c r="W17" s="214" t="s">
        <v>95</v>
      </c>
      <c r="X17" s="213" t="s">
        <v>93</v>
      </c>
      <c r="Y17" s="213" t="s">
        <v>94</v>
      </c>
      <c r="Z17" s="213" t="s">
        <v>95</v>
      </c>
      <c r="AA17" s="278" t="s">
        <v>93</v>
      </c>
      <c r="AB17" s="213" t="s">
        <v>94</v>
      </c>
      <c r="AC17" s="214" t="s">
        <v>95</v>
      </c>
      <c r="AD17" s="213" t="s">
        <v>93</v>
      </c>
      <c r="AE17" s="213" t="s">
        <v>94</v>
      </c>
      <c r="AF17" s="213" t="s">
        <v>95</v>
      </c>
      <c r="AG17" s="278" t="s">
        <v>93</v>
      </c>
      <c r="AH17" s="213" t="s">
        <v>94</v>
      </c>
      <c r="AI17" s="214" t="s">
        <v>95</v>
      </c>
      <c r="AJ17" s="213" t="s">
        <v>93</v>
      </c>
      <c r="AK17" s="213" t="s">
        <v>94</v>
      </c>
      <c r="AL17" s="213" t="s">
        <v>95</v>
      </c>
      <c r="AM17" s="278" t="s">
        <v>93</v>
      </c>
      <c r="AN17" s="213" t="s">
        <v>94</v>
      </c>
      <c r="AO17" s="214" t="s">
        <v>95</v>
      </c>
      <c r="AP17" s="213" t="s">
        <v>93</v>
      </c>
      <c r="AQ17" s="213" t="s">
        <v>94</v>
      </c>
      <c r="AR17" s="213" t="s">
        <v>95</v>
      </c>
      <c r="AS17" s="278" t="s">
        <v>110</v>
      </c>
      <c r="AT17" s="213" t="s">
        <v>94</v>
      </c>
      <c r="AU17" s="214" t="s">
        <v>95</v>
      </c>
      <c r="AV17" s="213" t="s">
        <v>93</v>
      </c>
      <c r="AW17" s="213" t="s">
        <v>94</v>
      </c>
      <c r="AX17" s="213" t="s">
        <v>95</v>
      </c>
      <c r="AY17" s="278" t="s">
        <v>93</v>
      </c>
      <c r="AZ17" s="213" t="s">
        <v>94</v>
      </c>
      <c r="BA17" s="214" t="s">
        <v>95</v>
      </c>
      <c r="BB17" s="213" t="s">
        <v>93</v>
      </c>
      <c r="BC17" s="213" t="s">
        <v>94</v>
      </c>
      <c r="BD17" s="213" t="s">
        <v>95</v>
      </c>
      <c r="BE17" s="278" t="s">
        <v>93</v>
      </c>
      <c r="BF17" s="213" t="s">
        <v>94</v>
      </c>
      <c r="BG17" s="214" t="s">
        <v>95</v>
      </c>
      <c r="BH17" s="213" t="s">
        <v>93</v>
      </c>
      <c r="BI17" s="213" t="s">
        <v>94</v>
      </c>
      <c r="BJ17" s="213" t="s">
        <v>95</v>
      </c>
      <c r="BK17" s="278" t="s">
        <v>93</v>
      </c>
      <c r="BL17" s="213" t="s">
        <v>94</v>
      </c>
      <c r="BM17" s="214" t="s">
        <v>95</v>
      </c>
      <c r="BN17" s="213" t="s">
        <v>93</v>
      </c>
      <c r="BO17" s="213" t="s">
        <v>94</v>
      </c>
      <c r="BP17" s="213" t="s">
        <v>95</v>
      </c>
      <c r="BQ17" s="278" t="s">
        <v>93</v>
      </c>
      <c r="BR17" s="213" t="s">
        <v>94</v>
      </c>
      <c r="BS17" s="214" t="s">
        <v>95</v>
      </c>
      <c r="BT17" s="213" t="s">
        <v>93</v>
      </c>
      <c r="BU17" s="213" t="s">
        <v>94</v>
      </c>
      <c r="BV17" s="213" t="s">
        <v>95</v>
      </c>
      <c r="BW17" s="278" t="s">
        <v>93</v>
      </c>
      <c r="BX17" s="213" t="s">
        <v>94</v>
      </c>
      <c r="BY17" s="214" t="s">
        <v>95</v>
      </c>
      <c r="BZ17" s="213" t="s">
        <v>93</v>
      </c>
      <c r="CA17" s="213" t="s">
        <v>94</v>
      </c>
      <c r="CB17" s="214" t="s">
        <v>95</v>
      </c>
    </row>
    <row r="18" spans="1:80" s="109" customFormat="1" ht="15.75" customHeight="1" x14ac:dyDescent="0.3">
      <c r="A18" s="292" t="s">
        <v>51</v>
      </c>
      <c r="B18" s="293" t="s">
        <v>47</v>
      </c>
      <c r="C18" s="285">
        <v>101.93002422921316</v>
      </c>
      <c r="D18" s="285"/>
      <c r="E18" s="300"/>
      <c r="F18" s="271">
        <v>107.03745361425996</v>
      </c>
      <c r="G18" s="285"/>
      <c r="H18" s="300"/>
      <c r="I18" s="271">
        <v>96.932883614697516</v>
      </c>
      <c r="J18" s="285"/>
      <c r="K18" s="300"/>
      <c r="L18" s="271">
        <v>97.759881285469774</v>
      </c>
      <c r="M18" s="285"/>
      <c r="N18" s="300"/>
      <c r="O18" s="271">
        <v>111.40044116771273</v>
      </c>
      <c r="P18" s="285"/>
      <c r="Q18" s="300"/>
      <c r="R18" s="271">
        <v>116.71751076587856</v>
      </c>
      <c r="S18" s="285"/>
      <c r="T18" s="300"/>
      <c r="U18" s="271">
        <v>102.02297984260349</v>
      </c>
      <c r="V18" s="285"/>
      <c r="W18" s="300"/>
      <c r="X18" s="271">
        <v>105.62271639905671</v>
      </c>
      <c r="Y18" s="285"/>
      <c r="Z18" s="300"/>
      <c r="AA18" s="271">
        <v>102.86044275765367</v>
      </c>
      <c r="AB18" s="285"/>
      <c r="AC18" s="300"/>
      <c r="AD18" s="271">
        <v>106.20743195773595</v>
      </c>
      <c r="AE18" s="285"/>
      <c r="AF18" s="300"/>
      <c r="AG18" s="271">
        <v>106.07702124735347</v>
      </c>
      <c r="AH18" s="285"/>
      <c r="AI18" s="300"/>
      <c r="AJ18" s="271">
        <v>106.09675613364122</v>
      </c>
      <c r="AK18" s="285"/>
      <c r="AL18" s="300"/>
      <c r="AM18" s="271">
        <v>102.05911321144583</v>
      </c>
      <c r="AN18" s="285"/>
      <c r="AO18" s="300"/>
      <c r="AP18" s="271">
        <v>105.04165138988728</v>
      </c>
      <c r="AQ18" s="285"/>
      <c r="AR18" s="300"/>
      <c r="AS18" s="271">
        <v>113.86909607906861</v>
      </c>
      <c r="AT18" s="285"/>
      <c r="AU18" s="300"/>
      <c r="AV18" s="271">
        <v>114.74463554895486</v>
      </c>
      <c r="AW18" s="285"/>
      <c r="AX18" s="300"/>
      <c r="AY18" s="271">
        <v>99.523400707614499</v>
      </c>
      <c r="AZ18" s="285"/>
      <c r="BA18" s="300"/>
      <c r="BB18" s="271">
        <v>99.53450623494092</v>
      </c>
      <c r="BC18" s="285"/>
      <c r="BD18" s="300"/>
      <c r="BE18" s="271">
        <v>101.57249890742477</v>
      </c>
      <c r="BF18" s="285"/>
      <c r="BG18" s="300"/>
      <c r="BH18" s="271">
        <v>103.66929398509099</v>
      </c>
      <c r="BI18" s="285"/>
      <c r="BJ18" s="300"/>
      <c r="BK18" s="271">
        <v>104.60850040157558</v>
      </c>
      <c r="BL18" s="285"/>
      <c r="BM18" s="300"/>
      <c r="BN18" s="271">
        <v>108.21456869676686</v>
      </c>
      <c r="BO18" s="285"/>
      <c r="BP18" s="300"/>
      <c r="BQ18" s="271">
        <v>102.49153291530506</v>
      </c>
      <c r="BR18" s="285"/>
      <c r="BS18" s="300"/>
      <c r="BT18" s="271">
        <v>105.32018853216695</v>
      </c>
      <c r="BU18" s="285"/>
      <c r="BV18" s="300"/>
      <c r="BW18" s="271">
        <v>118.87166505669823</v>
      </c>
      <c r="BX18" s="285"/>
      <c r="BY18" s="300"/>
      <c r="BZ18" s="271">
        <v>112.15334910689324</v>
      </c>
      <c r="CA18" s="285"/>
      <c r="CB18" s="300"/>
    </row>
    <row r="19" spans="1:80" ht="15.75" customHeight="1" x14ac:dyDescent="0.3">
      <c r="A19" s="152"/>
      <c r="B19" s="294" t="s">
        <v>48</v>
      </c>
      <c r="C19" s="105">
        <v>99.200988307117782</v>
      </c>
      <c r="D19" s="105">
        <v>-2.68</v>
      </c>
      <c r="E19" s="106"/>
      <c r="F19" s="103">
        <v>99.108209302094565</v>
      </c>
      <c r="G19" s="105">
        <v>-7.41</v>
      </c>
      <c r="H19" s="106"/>
      <c r="I19" s="103">
        <v>101.20511519662378</v>
      </c>
      <c r="J19" s="105">
        <v>4.41</v>
      </c>
      <c r="K19" s="106"/>
      <c r="L19" s="103">
        <v>101.02745561310871</v>
      </c>
      <c r="M19" s="105">
        <v>3.34</v>
      </c>
      <c r="N19" s="106"/>
      <c r="O19" s="103">
        <v>99.141742123545257</v>
      </c>
      <c r="P19" s="105">
        <v>-11</v>
      </c>
      <c r="Q19" s="106"/>
      <c r="R19" s="103">
        <v>99.601230199858549</v>
      </c>
      <c r="S19" s="105">
        <v>-14.66</v>
      </c>
      <c r="T19" s="106"/>
      <c r="U19" s="103">
        <v>99.62049083066205</v>
      </c>
      <c r="V19" s="105">
        <v>-2.35</v>
      </c>
      <c r="W19" s="106"/>
      <c r="X19" s="103">
        <v>95.620524695932133</v>
      </c>
      <c r="Y19" s="105">
        <v>-9.4700000000000006</v>
      </c>
      <c r="Z19" s="106"/>
      <c r="AA19" s="103">
        <v>97.132924147938269</v>
      </c>
      <c r="AB19" s="105">
        <v>-5.57</v>
      </c>
      <c r="AC19" s="106"/>
      <c r="AD19" s="103">
        <v>97.303498629060243</v>
      </c>
      <c r="AE19" s="105">
        <v>-8.3800000000000008</v>
      </c>
      <c r="AF19" s="106"/>
      <c r="AG19" s="103">
        <v>94.341216534067584</v>
      </c>
      <c r="AH19" s="105">
        <v>-11.06</v>
      </c>
      <c r="AI19" s="106"/>
      <c r="AJ19" s="103">
        <v>93.336997575003195</v>
      </c>
      <c r="AK19" s="105">
        <v>-12.03</v>
      </c>
      <c r="AL19" s="106"/>
      <c r="AM19" s="103">
        <v>96.163493797893125</v>
      </c>
      <c r="AN19" s="105">
        <v>-5.78</v>
      </c>
      <c r="AO19" s="106"/>
      <c r="AP19" s="103">
        <v>98.669384883349181</v>
      </c>
      <c r="AQ19" s="105">
        <v>-6.07</v>
      </c>
      <c r="AR19" s="106"/>
      <c r="AS19" s="103">
        <v>104.1936234631283</v>
      </c>
      <c r="AT19" s="105">
        <v>-8.5</v>
      </c>
      <c r="AU19" s="106"/>
      <c r="AV19" s="103">
        <v>101.20726405092218</v>
      </c>
      <c r="AW19" s="105">
        <v>-11.8</v>
      </c>
      <c r="AX19" s="106"/>
      <c r="AY19" s="103">
        <v>98.657850405815239</v>
      </c>
      <c r="AZ19" s="105">
        <v>-0.87</v>
      </c>
      <c r="BA19" s="106"/>
      <c r="BB19" s="103">
        <v>99.232270704514534</v>
      </c>
      <c r="BC19" s="105">
        <v>-0.3</v>
      </c>
      <c r="BD19" s="106"/>
      <c r="BE19" s="103">
        <v>100.24824189934185</v>
      </c>
      <c r="BF19" s="105">
        <v>-1.3</v>
      </c>
      <c r="BG19" s="106"/>
      <c r="BH19" s="103">
        <v>101.20630748415959</v>
      </c>
      <c r="BI19" s="105">
        <v>-2.38</v>
      </c>
      <c r="BJ19" s="106"/>
      <c r="BK19" s="103">
        <v>100.76527142400458</v>
      </c>
      <c r="BL19" s="105">
        <v>-3.67</v>
      </c>
      <c r="BM19" s="106"/>
      <c r="BN19" s="103">
        <v>99.350716708695302</v>
      </c>
      <c r="BO19" s="105">
        <v>-8.19</v>
      </c>
      <c r="BP19" s="106"/>
      <c r="BQ19" s="103">
        <v>100.63842100594795</v>
      </c>
      <c r="BR19" s="105">
        <v>-1.81</v>
      </c>
      <c r="BS19" s="106"/>
      <c r="BT19" s="103">
        <v>95.799352067308632</v>
      </c>
      <c r="BU19" s="105">
        <v>-9.0399999999999991</v>
      </c>
      <c r="BV19" s="106"/>
      <c r="BW19" s="103">
        <v>105.70883938476574</v>
      </c>
      <c r="BX19" s="105">
        <v>-11.07</v>
      </c>
      <c r="BY19" s="106"/>
      <c r="BZ19" s="103">
        <v>102.75993623821242</v>
      </c>
      <c r="CA19" s="105">
        <v>-8.3800000000000008</v>
      </c>
      <c r="CB19" s="106"/>
    </row>
    <row r="20" spans="1:80" s="109" customFormat="1" ht="15.75" customHeight="1" x14ac:dyDescent="0.3">
      <c r="A20" s="152"/>
      <c r="B20" s="295" t="s">
        <v>49</v>
      </c>
      <c r="C20" s="131">
        <v>99.648342267887017</v>
      </c>
      <c r="D20" s="131">
        <v>0.45</v>
      </c>
      <c r="E20" s="191"/>
      <c r="F20" s="97">
        <v>100.69976176218501</v>
      </c>
      <c r="G20" s="131">
        <v>1.61</v>
      </c>
      <c r="H20" s="191"/>
      <c r="I20" s="97">
        <v>100.37693778113012</v>
      </c>
      <c r="J20" s="131">
        <v>-0.82</v>
      </c>
      <c r="K20" s="191"/>
      <c r="L20" s="97">
        <v>102.07215217794581</v>
      </c>
      <c r="M20" s="131">
        <v>1.03</v>
      </c>
      <c r="N20" s="191"/>
      <c r="O20" s="97">
        <v>97.422266347314519</v>
      </c>
      <c r="P20" s="131">
        <v>-1.73</v>
      </c>
      <c r="Q20" s="191"/>
      <c r="R20" s="97">
        <v>98.80327368112259</v>
      </c>
      <c r="S20" s="131">
        <v>-0.8</v>
      </c>
      <c r="T20" s="191"/>
      <c r="U20" s="97">
        <v>98.167737905667366</v>
      </c>
      <c r="V20" s="131">
        <v>-1.46</v>
      </c>
      <c r="W20" s="191"/>
      <c r="X20" s="97">
        <v>98.466094978458557</v>
      </c>
      <c r="Y20" s="131">
        <v>2.98</v>
      </c>
      <c r="Z20" s="191"/>
      <c r="AA20" s="97">
        <v>109.31622992318719</v>
      </c>
      <c r="AB20" s="131">
        <v>12.54</v>
      </c>
      <c r="AC20" s="191"/>
      <c r="AD20" s="97">
        <v>110.21025705069756</v>
      </c>
      <c r="AE20" s="131">
        <v>13.26</v>
      </c>
      <c r="AF20" s="191"/>
      <c r="AG20" s="97">
        <v>97.822856693454355</v>
      </c>
      <c r="AH20" s="131">
        <v>3.69</v>
      </c>
      <c r="AI20" s="191"/>
      <c r="AJ20" s="97">
        <v>95.724290315526389</v>
      </c>
      <c r="AK20" s="131">
        <v>2.56</v>
      </c>
      <c r="AL20" s="191"/>
      <c r="AM20" s="97">
        <v>96.849922792330432</v>
      </c>
      <c r="AN20" s="131">
        <v>0.71</v>
      </c>
      <c r="AO20" s="191"/>
      <c r="AP20" s="97">
        <v>99.557265832884283</v>
      </c>
      <c r="AQ20" s="131">
        <v>0.9</v>
      </c>
      <c r="AR20" s="191"/>
      <c r="AS20" s="97">
        <v>104.04070457096026</v>
      </c>
      <c r="AT20" s="131">
        <v>-0.15</v>
      </c>
      <c r="AU20" s="191"/>
      <c r="AV20" s="97">
        <v>101.11207944113411</v>
      </c>
      <c r="AW20" s="131">
        <v>-0.09</v>
      </c>
      <c r="AX20" s="191"/>
      <c r="AY20" s="97">
        <v>99.038279159389219</v>
      </c>
      <c r="AZ20" s="131">
        <v>0.39</v>
      </c>
      <c r="BA20" s="191"/>
      <c r="BB20" s="97">
        <v>98.909280976305809</v>
      </c>
      <c r="BC20" s="131">
        <v>-0.33</v>
      </c>
      <c r="BD20" s="191"/>
      <c r="BE20" s="97">
        <v>97.051283467513599</v>
      </c>
      <c r="BF20" s="131">
        <v>-3.19</v>
      </c>
      <c r="BG20" s="191"/>
      <c r="BH20" s="97">
        <v>98.609347972139034</v>
      </c>
      <c r="BI20" s="131">
        <v>-2.57</v>
      </c>
      <c r="BJ20" s="191"/>
      <c r="BK20" s="97">
        <v>101.43956128194316</v>
      </c>
      <c r="BL20" s="131">
        <v>0.67</v>
      </c>
      <c r="BM20" s="191"/>
      <c r="BN20" s="97">
        <v>100.59846012322336</v>
      </c>
      <c r="BO20" s="131">
        <v>1.26</v>
      </c>
      <c r="BP20" s="191"/>
      <c r="BQ20" s="97">
        <v>96.222673127767536</v>
      </c>
      <c r="BR20" s="131">
        <v>-4.3899999999999997</v>
      </c>
      <c r="BS20" s="191"/>
      <c r="BT20" s="97">
        <v>97.016806356226994</v>
      </c>
      <c r="BU20" s="131">
        <v>1.27</v>
      </c>
      <c r="BV20" s="191"/>
      <c r="BW20" s="97">
        <v>94.341347490208207</v>
      </c>
      <c r="BX20" s="131">
        <v>-10.75</v>
      </c>
      <c r="BY20" s="191"/>
      <c r="BZ20" s="97">
        <v>100.4024837955409</v>
      </c>
      <c r="CA20" s="131">
        <v>-2.29</v>
      </c>
      <c r="CB20" s="191"/>
    </row>
    <row r="21" spans="1:80" ht="15.75" customHeight="1" x14ac:dyDescent="0.3">
      <c r="A21" s="173"/>
      <c r="B21" s="296" t="s">
        <v>14</v>
      </c>
      <c r="C21" s="193">
        <v>99.336328376326733</v>
      </c>
      <c r="D21" s="193">
        <v>-0.31</v>
      </c>
      <c r="E21" s="194"/>
      <c r="F21" s="192">
        <v>100.10071474870365</v>
      </c>
      <c r="G21" s="193">
        <v>-0.59</v>
      </c>
      <c r="H21" s="194"/>
      <c r="I21" s="192">
        <v>99.280009599323833</v>
      </c>
      <c r="J21" s="193">
        <v>-1.0900000000000001</v>
      </c>
      <c r="K21" s="194"/>
      <c r="L21" s="192">
        <v>101.59612341462834</v>
      </c>
      <c r="M21" s="193">
        <v>-0.47</v>
      </c>
      <c r="N21" s="194"/>
      <c r="O21" s="192">
        <v>97.378588221992274</v>
      </c>
      <c r="P21" s="193">
        <v>-0.04</v>
      </c>
      <c r="Q21" s="194"/>
      <c r="R21" s="192">
        <v>99.053081417289846</v>
      </c>
      <c r="S21" s="193">
        <v>0.25</v>
      </c>
      <c r="T21" s="194"/>
      <c r="U21" s="192">
        <v>102.23827982606912</v>
      </c>
      <c r="V21" s="193">
        <v>4.1500000000000004</v>
      </c>
      <c r="W21" s="194"/>
      <c r="X21" s="192">
        <v>104.62500391504096</v>
      </c>
      <c r="Y21" s="193">
        <v>6.25</v>
      </c>
      <c r="Z21" s="194"/>
      <c r="AA21" s="192">
        <v>101.3380198159269</v>
      </c>
      <c r="AB21" s="193">
        <v>-7.3</v>
      </c>
      <c r="AC21" s="194"/>
      <c r="AD21" s="192">
        <v>103.78802452895516</v>
      </c>
      <c r="AE21" s="193">
        <v>-5.83</v>
      </c>
      <c r="AF21" s="194"/>
      <c r="AG21" s="192">
        <v>105.96362532018722</v>
      </c>
      <c r="AH21" s="193">
        <v>8.32</v>
      </c>
      <c r="AI21" s="194"/>
      <c r="AJ21" s="192">
        <v>101.45044817783244</v>
      </c>
      <c r="AK21" s="193">
        <v>5.98</v>
      </c>
      <c r="AL21" s="194"/>
      <c r="AM21" s="192">
        <v>98.451017492184107</v>
      </c>
      <c r="AN21" s="193">
        <v>1.65</v>
      </c>
      <c r="AO21" s="194"/>
      <c r="AP21" s="192">
        <v>99.771104688493182</v>
      </c>
      <c r="AQ21" s="193">
        <v>0.21</v>
      </c>
      <c r="AR21" s="194"/>
      <c r="AS21" s="192">
        <v>99.197394540844513</v>
      </c>
      <c r="AT21" s="193">
        <v>-4.66</v>
      </c>
      <c r="AU21" s="194"/>
      <c r="AV21" s="192">
        <v>95.515013135168189</v>
      </c>
      <c r="AW21" s="193">
        <v>-5.54</v>
      </c>
      <c r="AX21" s="194"/>
      <c r="AY21" s="192">
        <v>99.170803795609089</v>
      </c>
      <c r="AZ21" s="193">
        <v>0.13</v>
      </c>
      <c r="BA21" s="194"/>
      <c r="BB21" s="192">
        <v>98.231646760482676</v>
      </c>
      <c r="BC21" s="193">
        <v>-0.69</v>
      </c>
      <c r="BD21" s="194"/>
      <c r="BE21" s="192">
        <v>99.645063856515378</v>
      </c>
      <c r="BF21" s="193">
        <v>2.67</v>
      </c>
      <c r="BG21" s="194"/>
      <c r="BH21" s="192">
        <v>101.45671581679152</v>
      </c>
      <c r="BI21" s="193">
        <v>2.89</v>
      </c>
      <c r="BJ21" s="194"/>
      <c r="BK21" s="192">
        <v>103.04919255788975</v>
      </c>
      <c r="BL21" s="193">
        <v>1.59</v>
      </c>
      <c r="BM21" s="194"/>
      <c r="BN21" s="192">
        <v>104.11655566749438</v>
      </c>
      <c r="BO21" s="193">
        <v>3.5</v>
      </c>
      <c r="BP21" s="194"/>
      <c r="BQ21" s="192">
        <v>98.104123010278101</v>
      </c>
      <c r="BR21" s="193">
        <v>1.96</v>
      </c>
      <c r="BS21" s="194"/>
      <c r="BT21" s="192">
        <v>100.44514626971758</v>
      </c>
      <c r="BU21" s="193">
        <v>3.53</v>
      </c>
      <c r="BV21" s="194"/>
      <c r="BW21" s="192">
        <v>97.180041142070095</v>
      </c>
      <c r="BX21" s="193">
        <v>3.01</v>
      </c>
      <c r="BY21" s="194"/>
      <c r="BZ21" s="192">
        <v>94.486272286707731</v>
      </c>
      <c r="CA21" s="193">
        <v>-5.89</v>
      </c>
      <c r="CB21" s="194"/>
    </row>
    <row r="22" spans="1:80" s="109" customFormat="1" ht="15.75" customHeight="1" x14ac:dyDescent="0.3">
      <c r="A22" s="152"/>
      <c r="B22" s="295" t="s">
        <v>15</v>
      </c>
      <c r="C22" s="131">
        <v>97.935359847692453</v>
      </c>
      <c r="D22" s="131">
        <v>-1.41</v>
      </c>
      <c r="E22" s="191"/>
      <c r="F22" s="97">
        <v>95.981887468553253</v>
      </c>
      <c r="G22" s="131">
        <v>-4.1100000000000003</v>
      </c>
      <c r="H22" s="191"/>
      <c r="I22" s="97">
        <v>101.60901632966963</v>
      </c>
      <c r="J22" s="131">
        <v>2.35</v>
      </c>
      <c r="K22" s="191"/>
      <c r="L22" s="97">
        <v>103.30928195256487</v>
      </c>
      <c r="M22" s="131">
        <v>1.69</v>
      </c>
      <c r="N22" s="191"/>
      <c r="O22" s="97">
        <v>93.57344534830969</v>
      </c>
      <c r="P22" s="131">
        <v>-3.91</v>
      </c>
      <c r="Q22" s="191"/>
      <c r="R22" s="97">
        <v>93.638611445660445</v>
      </c>
      <c r="S22" s="131">
        <v>-5.47</v>
      </c>
      <c r="T22" s="191"/>
      <c r="U22" s="97">
        <v>97.036744973397887</v>
      </c>
      <c r="V22" s="131">
        <v>-5.09</v>
      </c>
      <c r="W22" s="191"/>
      <c r="X22" s="97">
        <v>95.481008277768666</v>
      </c>
      <c r="Y22" s="131">
        <v>-8.74</v>
      </c>
      <c r="Z22" s="191"/>
      <c r="AA22" s="97">
        <v>93.637287457677374</v>
      </c>
      <c r="AB22" s="131">
        <v>-7.6</v>
      </c>
      <c r="AC22" s="191"/>
      <c r="AD22" s="97">
        <v>95.037469015809222</v>
      </c>
      <c r="AE22" s="131">
        <v>-8.43</v>
      </c>
      <c r="AF22" s="191"/>
      <c r="AG22" s="97">
        <v>98.268465689574384</v>
      </c>
      <c r="AH22" s="131">
        <v>-7.26</v>
      </c>
      <c r="AI22" s="191"/>
      <c r="AJ22" s="97">
        <v>95.574764150882245</v>
      </c>
      <c r="AK22" s="131">
        <v>-5.79</v>
      </c>
      <c r="AL22" s="191"/>
      <c r="AM22" s="97">
        <v>97.986074804340333</v>
      </c>
      <c r="AN22" s="131">
        <v>-0.47</v>
      </c>
      <c r="AO22" s="191"/>
      <c r="AP22" s="97">
        <v>96.493777870466104</v>
      </c>
      <c r="AQ22" s="131">
        <v>-3.28</v>
      </c>
      <c r="AR22" s="191"/>
      <c r="AS22" s="97">
        <v>94.949286013594175</v>
      </c>
      <c r="AT22" s="131">
        <v>-4.28</v>
      </c>
      <c r="AU22" s="191"/>
      <c r="AV22" s="97">
        <v>88.335322618700147</v>
      </c>
      <c r="AW22" s="131">
        <v>-7.52</v>
      </c>
      <c r="AX22" s="191"/>
      <c r="AY22" s="97">
        <v>98.847159865750029</v>
      </c>
      <c r="AZ22" s="131">
        <v>-0.33</v>
      </c>
      <c r="BA22" s="191"/>
      <c r="BB22" s="97">
        <v>99.274219381239604</v>
      </c>
      <c r="BC22" s="131">
        <v>1.06</v>
      </c>
      <c r="BD22" s="191"/>
      <c r="BE22" s="97">
        <v>96.460014164669161</v>
      </c>
      <c r="BF22" s="131">
        <v>-3.2</v>
      </c>
      <c r="BG22" s="191"/>
      <c r="BH22" s="97">
        <v>96.175516743995729</v>
      </c>
      <c r="BI22" s="131">
        <v>-5.21</v>
      </c>
      <c r="BJ22" s="191"/>
      <c r="BK22" s="97">
        <v>99.313886821835396</v>
      </c>
      <c r="BL22" s="131">
        <v>-3.62</v>
      </c>
      <c r="BM22" s="191"/>
      <c r="BN22" s="97">
        <v>99.454275175773247</v>
      </c>
      <c r="BO22" s="131">
        <v>-4.4800000000000004</v>
      </c>
      <c r="BP22" s="191"/>
      <c r="BQ22" s="97">
        <v>94.046729312524491</v>
      </c>
      <c r="BR22" s="131">
        <v>-4.1399999999999997</v>
      </c>
      <c r="BS22" s="191"/>
      <c r="BT22" s="97">
        <v>92.325179359062517</v>
      </c>
      <c r="BU22" s="131">
        <v>-8.08</v>
      </c>
      <c r="BV22" s="191"/>
      <c r="BW22" s="97">
        <v>93.609285477499611</v>
      </c>
      <c r="BX22" s="131">
        <v>-3.67</v>
      </c>
      <c r="BY22" s="191"/>
      <c r="BZ22" s="97">
        <v>91.022588431329183</v>
      </c>
      <c r="CA22" s="131">
        <v>-3.67</v>
      </c>
      <c r="CB22" s="191"/>
    </row>
    <row r="23" spans="1:80" ht="15.75" customHeight="1" x14ac:dyDescent="0.3">
      <c r="A23" s="173"/>
      <c r="B23" s="296" t="s">
        <v>16</v>
      </c>
      <c r="C23" s="193">
        <v>99.369798280503659</v>
      </c>
      <c r="D23" s="193">
        <v>1.46</v>
      </c>
      <c r="E23" s="194"/>
      <c r="F23" s="192">
        <v>99.466074761963071</v>
      </c>
      <c r="G23" s="193">
        <v>3.63</v>
      </c>
      <c r="H23" s="194"/>
      <c r="I23" s="192">
        <v>99.94727207821758</v>
      </c>
      <c r="J23" s="193">
        <v>-1.64</v>
      </c>
      <c r="K23" s="194"/>
      <c r="L23" s="192">
        <v>100.45999988371119</v>
      </c>
      <c r="M23" s="193">
        <v>-2.76</v>
      </c>
      <c r="N23" s="194"/>
      <c r="O23" s="192">
        <v>95.913235206525016</v>
      </c>
      <c r="P23" s="193">
        <v>2.5</v>
      </c>
      <c r="Q23" s="194"/>
      <c r="R23" s="192">
        <v>95.608534059482537</v>
      </c>
      <c r="S23" s="193">
        <v>2.1</v>
      </c>
      <c r="T23" s="194"/>
      <c r="U23" s="192">
        <v>102.00444813532259</v>
      </c>
      <c r="V23" s="193">
        <v>5.12</v>
      </c>
      <c r="W23" s="194"/>
      <c r="X23" s="192">
        <v>107.36241551981061</v>
      </c>
      <c r="Y23" s="193">
        <v>12.44</v>
      </c>
      <c r="Z23" s="194"/>
      <c r="AA23" s="192">
        <v>99.45302197748785</v>
      </c>
      <c r="AB23" s="193">
        <v>6.21</v>
      </c>
      <c r="AC23" s="194"/>
      <c r="AD23" s="192">
        <v>98.433950046099881</v>
      </c>
      <c r="AE23" s="193">
        <v>3.57</v>
      </c>
      <c r="AF23" s="194"/>
      <c r="AG23" s="192">
        <v>101.18950074409582</v>
      </c>
      <c r="AH23" s="193">
        <v>2.97</v>
      </c>
      <c r="AI23" s="194"/>
      <c r="AJ23" s="192">
        <v>104.47635710876908</v>
      </c>
      <c r="AK23" s="193">
        <v>9.31</v>
      </c>
      <c r="AL23" s="194"/>
      <c r="AM23" s="192">
        <v>100.31151150962532</v>
      </c>
      <c r="AN23" s="193">
        <v>2.37</v>
      </c>
      <c r="AO23" s="194"/>
      <c r="AP23" s="192">
        <v>98.888140107629809</v>
      </c>
      <c r="AQ23" s="193">
        <v>2.48</v>
      </c>
      <c r="AR23" s="194"/>
      <c r="AS23" s="192">
        <v>101.26351839883137</v>
      </c>
      <c r="AT23" s="193">
        <v>6.65</v>
      </c>
      <c r="AU23" s="194"/>
      <c r="AV23" s="192">
        <v>102.83427488149826</v>
      </c>
      <c r="AW23" s="193">
        <v>16.41</v>
      </c>
      <c r="AX23" s="194"/>
      <c r="AY23" s="192">
        <v>100.10744510928365</v>
      </c>
      <c r="AZ23" s="193">
        <v>1.27</v>
      </c>
      <c r="BA23" s="194"/>
      <c r="BB23" s="192">
        <v>100.88418735139039</v>
      </c>
      <c r="BC23" s="193">
        <v>1.62</v>
      </c>
      <c r="BD23" s="194"/>
      <c r="BE23" s="192">
        <v>98.702006534652682</v>
      </c>
      <c r="BF23" s="193">
        <v>2.3199999999999998</v>
      </c>
      <c r="BG23" s="194"/>
      <c r="BH23" s="192">
        <v>96.738651832945436</v>
      </c>
      <c r="BI23" s="193">
        <v>0.59</v>
      </c>
      <c r="BJ23" s="194"/>
      <c r="BK23" s="192">
        <v>99.425064211299741</v>
      </c>
      <c r="BL23" s="193">
        <v>0.11</v>
      </c>
      <c r="BM23" s="194"/>
      <c r="BN23" s="192">
        <v>101.74984991247571</v>
      </c>
      <c r="BO23" s="193">
        <v>2.31</v>
      </c>
      <c r="BP23" s="194"/>
      <c r="BQ23" s="192">
        <v>98.079906293641784</v>
      </c>
      <c r="BR23" s="193">
        <v>4.29</v>
      </c>
      <c r="BS23" s="194"/>
      <c r="BT23" s="192">
        <v>99.079229068118181</v>
      </c>
      <c r="BU23" s="193">
        <v>7.32</v>
      </c>
      <c r="BV23" s="194"/>
      <c r="BW23" s="192">
        <v>95.548541758501685</v>
      </c>
      <c r="BX23" s="193">
        <v>2.0699999999999998</v>
      </c>
      <c r="BY23" s="194"/>
      <c r="BZ23" s="192">
        <v>97.679148951454508</v>
      </c>
      <c r="CA23" s="193">
        <v>7.31</v>
      </c>
      <c r="CB23" s="194"/>
    </row>
    <row r="24" spans="1:80" s="109" customFormat="1" ht="15.75" customHeight="1" x14ac:dyDescent="0.3">
      <c r="A24" s="152"/>
      <c r="B24" s="295" t="s">
        <v>8</v>
      </c>
      <c r="C24" s="131">
        <v>99.641853734156399</v>
      </c>
      <c r="D24" s="131">
        <v>0.27</v>
      </c>
      <c r="E24" s="191"/>
      <c r="F24" s="97">
        <v>99.248595238195477</v>
      </c>
      <c r="G24" s="131">
        <v>-0.22</v>
      </c>
      <c r="H24" s="191"/>
      <c r="I24" s="97">
        <v>99.525102587615606</v>
      </c>
      <c r="J24" s="131">
        <v>-0.42</v>
      </c>
      <c r="K24" s="191"/>
      <c r="L24" s="97">
        <v>99.508094912444164</v>
      </c>
      <c r="M24" s="131">
        <v>-0.95</v>
      </c>
      <c r="N24" s="191"/>
      <c r="O24" s="97">
        <v>97.795448166836039</v>
      </c>
      <c r="P24" s="131">
        <v>1.96</v>
      </c>
      <c r="Q24" s="191"/>
      <c r="R24" s="97">
        <v>97.219898365558706</v>
      </c>
      <c r="S24" s="131">
        <v>1.69</v>
      </c>
      <c r="T24" s="191"/>
      <c r="U24" s="97">
        <v>99.524487161178641</v>
      </c>
      <c r="V24" s="131">
        <v>-2.4300000000000002</v>
      </c>
      <c r="W24" s="191"/>
      <c r="X24" s="97">
        <v>102.68137925189474</v>
      </c>
      <c r="Y24" s="131">
        <v>-4.3600000000000003</v>
      </c>
      <c r="Z24" s="191"/>
      <c r="AA24" s="97">
        <v>96.652893238264895</v>
      </c>
      <c r="AB24" s="131">
        <v>-2.82</v>
      </c>
      <c r="AC24" s="191"/>
      <c r="AD24" s="97">
        <v>97.797535943744947</v>
      </c>
      <c r="AE24" s="131">
        <v>-0.65</v>
      </c>
      <c r="AF24" s="191"/>
      <c r="AG24" s="97">
        <v>101.04630981394823</v>
      </c>
      <c r="AH24" s="131">
        <v>-0.14000000000000001</v>
      </c>
      <c r="AI24" s="191"/>
      <c r="AJ24" s="97">
        <v>100.91409511417848</v>
      </c>
      <c r="AK24" s="131">
        <v>-3.41</v>
      </c>
      <c r="AL24" s="191"/>
      <c r="AM24" s="97">
        <v>102.40489176685846</v>
      </c>
      <c r="AN24" s="131">
        <v>2.09</v>
      </c>
      <c r="AO24" s="191"/>
      <c r="AP24" s="97">
        <v>101.21081411095079</v>
      </c>
      <c r="AQ24" s="131">
        <v>2.35</v>
      </c>
      <c r="AR24" s="191"/>
      <c r="AS24" s="97">
        <v>99.705314895072391</v>
      </c>
      <c r="AT24" s="131">
        <v>-1.54</v>
      </c>
      <c r="AU24" s="191"/>
      <c r="AV24" s="97">
        <v>99.613761259969138</v>
      </c>
      <c r="AW24" s="131">
        <v>-3.13</v>
      </c>
      <c r="AX24" s="191"/>
      <c r="AY24" s="97">
        <v>102.03634575765021</v>
      </c>
      <c r="AZ24" s="131">
        <v>1.93</v>
      </c>
      <c r="BA24" s="191"/>
      <c r="BB24" s="97">
        <v>99.261985298126916</v>
      </c>
      <c r="BC24" s="131">
        <v>-1.61</v>
      </c>
      <c r="BD24" s="191"/>
      <c r="BE24" s="97">
        <v>100.6869980425116</v>
      </c>
      <c r="BF24" s="131">
        <v>2.0099999999999998</v>
      </c>
      <c r="BG24" s="191"/>
      <c r="BH24" s="97">
        <v>102.38943080801693</v>
      </c>
      <c r="BI24" s="131">
        <v>5.84</v>
      </c>
      <c r="BJ24" s="191"/>
      <c r="BK24" s="97">
        <v>95.233727827481388</v>
      </c>
      <c r="BL24" s="131">
        <v>-4.22</v>
      </c>
      <c r="BM24" s="191"/>
      <c r="BN24" s="97">
        <v>98.056442130999557</v>
      </c>
      <c r="BO24" s="131">
        <v>-3.63</v>
      </c>
      <c r="BP24" s="191"/>
      <c r="BQ24" s="97">
        <v>96.944825838627082</v>
      </c>
      <c r="BR24" s="131">
        <v>-1.1599999999999999</v>
      </c>
      <c r="BS24" s="191"/>
      <c r="BT24" s="97">
        <v>100.03640841643777</v>
      </c>
      <c r="BU24" s="131">
        <v>0.97</v>
      </c>
      <c r="BV24" s="191"/>
      <c r="BW24" s="97">
        <v>100.01330747253687</v>
      </c>
      <c r="BX24" s="131">
        <v>4.67</v>
      </c>
      <c r="BY24" s="191"/>
      <c r="BZ24" s="97">
        <v>96.962499876220932</v>
      </c>
      <c r="CA24" s="131">
        <v>-0.73</v>
      </c>
      <c r="CB24" s="191"/>
    </row>
    <row r="25" spans="1:80" ht="15.75" customHeight="1" x14ac:dyDescent="0.3">
      <c r="A25" s="173"/>
      <c r="B25" s="296" t="s">
        <v>9</v>
      </c>
      <c r="C25" s="193">
        <v>100.33690904331809</v>
      </c>
      <c r="D25" s="193">
        <v>0.7</v>
      </c>
      <c r="E25" s="194"/>
      <c r="F25" s="192">
        <v>98.399667852506653</v>
      </c>
      <c r="G25" s="193">
        <v>-0.86</v>
      </c>
      <c r="H25" s="194"/>
      <c r="I25" s="192">
        <v>101.23388178751233</v>
      </c>
      <c r="J25" s="193">
        <v>1.72</v>
      </c>
      <c r="K25" s="194"/>
      <c r="L25" s="192">
        <v>97.643277734792264</v>
      </c>
      <c r="M25" s="193">
        <v>-1.87</v>
      </c>
      <c r="N25" s="194"/>
      <c r="O25" s="192">
        <v>99.400990643323155</v>
      </c>
      <c r="P25" s="193">
        <v>1.64</v>
      </c>
      <c r="Q25" s="194"/>
      <c r="R25" s="192">
        <v>98.584026712056755</v>
      </c>
      <c r="S25" s="193">
        <v>1.4</v>
      </c>
      <c r="T25" s="194"/>
      <c r="U25" s="192">
        <v>97.118585695066173</v>
      </c>
      <c r="V25" s="193">
        <v>-2.42</v>
      </c>
      <c r="W25" s="194"/>
      <c r="X25" s="192">
        <v>95.449144759496818</v>
      </c>
      <c r="Y25" s="193">
        <v>-7.04</v>
      </c>
      <c r="Z25" s="194"/>
      <c r="AA25" s="192">
        <v>97.159617614243714</v>
      </c>
      <c r="AB25" s="193">
        <v>0.52</v>
      </c>
      <c r="AC25" s="194"/>
      <c r="AD25" s="192">
        <v>98.607894633955098</v>
      </c>
      <c r="AE25" s="193">
        <v>0.83</v>
      </c>
      <c r="AF25" s="194"/>
      <c r="AG25" s="192">
        <v>98.556598940686882</v>
      </c>
      <c r="AH25" s="193">
        <v>-2.46</v>
      </c>
      <c r="AI25" s="194"/>
      <c r="AJ25" s="192">
        <v>98.730468133861876</v>
      </c>
      <c r="AK25" s="193">
        <v>-2.16</v>
      </c>
      <c r="AL25" s="194"/>
      <c r="AM25" s="192">
        <v>103.68894951846276</v>
      </c>
      <c r="AN25" s="193">
        <v>1.25</v>
      </c>
      <c r="AO25" s="194"/>
      <c r="AP25" s="192">
        <v>101.25375956572371</v>
      </c>
      <c r="AQ25" s="193">
        <v>0.04</v>
      </c>
      <c r="AR25" s="194"/>
      <c r="AS25" s="192">
        <v>94.63634304200005</v>
      </c>
      <c r="AT25" s="193">
        <v>-5.08</v>
      </c>
      <c r="AU25" s="194"/>
      <c r="AV25" s="192">
        <v>96.062812523925828</v>
      </c>
      <c r="AW25" s="193">
        <v>-3.56</v>
      </c>
      <c r="AX25" s="194"/>
      <c r="AY25" s="192">
        <v>99.75759803698638</v>
      </c>
      <c r="AZ25" s="193">
        <v>-2.23</v>
      </c>
      <c r="BA25" s="194"/>
      <c r="BB25" s="192">
        <v>99.300392671384472</v>
      </c>
      <c r="BC25" s="193">
        <v>0.04</v>
      </c>
      <c r="BD25" s="194"/>
      <c r="BE25" s="192">
        <v>101.19756589165863</v>
      </c>
      <c r="BF25" s="193">
        <v>0.51</v>
      </c>
      <c r="BG25" s="194"/>
      <c r="BH25" s="192">
        <v>99.662783158533756</v>
      </c>
      <c r="BI25" s="193">
        <v>-2.66</v>
      </c>
      <c r="BJ25" s="194"/>
      <c r="BK25" s="192">
        <v>94.262696263246667</v>
      </c>
      <c r="BL25" s="193">
        <v>-1.02</v>
      </c>
      <c r="BM25" s="194"/>
      <c r="BN25" s="192">
        <v>95.136886705282635</v>
      </c>
      <c r="BO25" s="193">
        <v>-2.98</v>
      </c>
      <c r="BP25" s="194"/>
      <c r="BQ25" s="192">
        <v>100.45640337436636</v>
      </c>
      <c r="BR25" s="193">
        <v>3.62</v>
      </c>
      <c r="BS25" s="194"/>
      <c r="BT25" s="192">
        <v>100.13723508954584</v>
      </c>
      <c r="BU25" s="193">
        <v>0.1</v>
      </c>
      <c r="BV25" s="194"/>
      <c r="BW25" s="192">
        <v>99.057892435557932</v>
      </c>
      <c r="BX25" s="193">
        <v>-0.96</v>
      </c>
      <c r="BY25" s="194"/>
      <c r="BZ25" s="192">
        <v>101.6556491453035</v>
      </c>
      <c r="CA25" s="193">
        <v>4.84</v>
      </c>
      <c r="CB25" s="194"/>
    </row>
    <row r="26" spans="1:80" s="109" customFormat="1" ht="15.75" customHeight="1" x14ac:dyDescent="0.3">
      <c r="A26" s="152"/>
      <c r="B26" s="295" t="s">
        <v>10</v>
      </c>
      <c r="C26" s="131">
        <v>98.409328192391172</v>
      </c>
      <c r="D26" s="131">
        <v>-1.92</v>
      </c>
      <c r="E26" s="191"/>
      <c r="F26" s="97">
        <v>97.264637727997865</v>
      </c>
      <c r="G26" s="131">
        <v>-1.1499999999999999</v>
      </c>
      <c r="H26" s="191"/>
      <c r="I26" s="97">
        <v>99.715151732077857</v>
      </c>
      <c r="J26" s="131">
        <v>-1.5</v>
      </c>
      <c r="K26" s="191"/>
      <c r="L26" s="97">
        <v>99.976667575464077</v>
      </c>
      <c r="M26" s="131">
        <v>2.39</v>
      </c>
      <c r="N26" s="191"/>
      <c r="O26" s="97">
        <v>95.4555468976951</v>
      </c>
      <c r="P26" s="131">
        <v>-3.97</v>
      </c>
      <c r="Q26" s="191"/>
      <c r="R26" s="97">
        <v>95.131247439046206</v>
      </c>
      <c r="S26" s="131">
        <v>-3.5</v>
      </c>
      <c r="T26" s="191"/>
      <c r="U26" s="97">
        <v>94.496932667236308</v>
      </c>
      <c r="V26" s="131">
        <v>-2.7</v>
      </c>
      <c r="W26" s="191"/>
      <c r="X26" s="97">
        <v>90.689442282439458</v>
      </c>
      <c r="Y26" s="131">
        <v>-4.99</v>
      </c>
      <c r="Z26" s="191"/>
      <c r="AA26" s="97">
        <v>98.837921273949974</v>
      </c>
      <c r="AB26" s="131">
        <v>1.73</v>
      </c>
      <c r="AC26" s="191"/>
      <c r="AD26" s="97">
        <v>97.79892149661525</v>
      </c>
      <c r="AE26" s="131">
        <v>-0.82</v>
      </c>
      <c r="AF26" s="191"/>
      <c r="AG26" s="97">
        <v>92.142694630135139</v>
      </c>
      <c r="AH26" s="131">
        <v>-6.51</v>
      </c>
      <c r="AI26" s="191"/>
      <c r="AJ26" s="97">
        <v>91.944985390627309</v>
      </c>
      <c r="AK26" s="131">
        <v>-6.87</v>
      </c>
      <c r="AL26" s="191"/>
      <c r="AM26" s="97">
        <v>99.46971567883331</v>
      </c>
      <c r="AN26" s="131">
        <v>-4.07</v>
      </c>
      <c r="AO26" s="191"/>
      <c r="AP26" s="97">
        <v>99.187404723244171</v>
      </c>
      <c r="AQ26" s="131">
        <v>-2.04</v>
      </c>
      <c r="AR26" s="191"/>
      <c r="AS26" s="97">
        <v>95.842404032977853</v>
      </c>
      <c r="AT26" s="131">
        <v>1.27</v>
      </c>
      <c r="AU26" s="191"/>
      <c r="AV26" s="97">
        <v>96.560081090947293</v>
      </c>
      <c r="AW26" s="131">
        <v>0.52</v>
      </c>
      <c r="AX26" s="191"/>
      <c r="AY26" s="97">
        <v>98.773210081408678</v>
      </c>
      <c r="AZ26" s="131">
        <v>-0.99</v>
      </c>
      <c r="BA26" s="191"/>
      <c r="BB26" s="97">
        <v>100.43796710534461</v>
      </c>
      <c r="BC26" s="131">
        <v>1.1499999999999999</v>
      </c>
      <c r="BD26" s="191"/>
      <c r="BE26" s="97">
        <v>101.08495313889101</v>
      </c>
      <c r="BF26" s="131">
        <v>-0.11</v>
      </c>
      <c r="BG26" s="191"/>
      <c r="BH26" s="97">
        <v>101.06079306955334</v>
      </c>
      <c r="BI26" s="131">
        <v>1.4</v>
      </c>
      <c r="BJ26" s="191"/>
      <c r="BK26" s="97">
        <v>95.952978637963099</v>
      </c>
      <c r="BL26" s="131">
        <v>1.79</v>
      </c>
      <c r="BM26" s="191"/>
      <c r="BN26" s="97">
        <v>92.373343907910083</v>
      </c>
      <c r="BO26" s="131">
        <v>-2.9</v>
      </c>
      <c r="BP26" s="191"/>
      <c r="BQ26" s="97">
        <v>99.971966725158296</v>
      </c>
      <c r="BR26" s="131">
        <v>-0.48</v>
      </c>
      <c r="BS26" s="191"/>
      <c r="BT26" s="97">
        <v>99.346806549316227</v>
      </c>
      <c r="BU26" s="131">
        <v>-0.79</v>
      </c>
      <c r="BV26" s="191"/>
      <c r="BW26" s="97">
        <v>102.50080848436343</v>
      </c>
      <c r="BX26" s="131">
        <v>3.48</v>
      </c>
      <c r="BY26" s="191"/>
      <c r="BZ26" s="97">
        <v>97.892626129325109</v>
      </c>
      <c r="CA26" s="131">
        <v>-3.7</v>
      </c>
      <c r="CB26" s="191"/>
    </row>
    <row r="27" spans="1:80" ht="15.75" customHeight="1" x14ac:dyDescent="0.3">
      <c r="A27" s="173"/>
      <c r="B27" s="296" t="s">
        <v>11</v>
      </c>
      <c r="C27" s="193">
        <v>99.893146358130068</v>
      </c>
      <c r="D27" s="193">
        <v>1.51</v>
      </c>
      <c r="E27" s="194"/>
      <c r="F27" s="192">
        <v>97.421375511128232</v>
      </c>
      <c r="G27" s="193">
        <v>0.16</v>
      </c>
      <c r="H27" s="194"/>
      <c r="I27" s="192">
        <v>101.64267496942337</v>
      </c>
      <c r="J27" s="193">
        <v>1.93</v>
      </c>
      <c r="K27" s="194"/>
      <c r="L27" s="192">
        <v>99.720449857188669</v>
      </c>
      <c r="M27" s="193">
        <v>-0.26</v>
      </c>
      <c r="N27" s="194"/>
      <c r="O27" s="192">
        <v>97.261860455936159</v>
      </c>
      <c r="P27" s="193">
        <v>1.89</v>
      </c>
      <c r="Q27" s="194"/>
      <c r="R27" s="192">
        <v>94.564581817990671</v>
      </c>
      <c r="S27" s="193">
        <v>-0.6</v>
      </c>
      <c r="T27" s="194"/>
      <c r="U27" s="192">
        <v>97.430028451441814</v>
      </c>
      <c r="V27" s="193">
        <v>3.1</v>
      </c>
      <c r="W27" s="194"/>
      <c r="X27" s="192">
        <v>98.069405261378833</v>
      </c>
      <c r="Y27" s="193">
        <v>8.14</v>
      </c>
      <c r="Z27" s="194"/>
      <c r="AA27" s="192">
        <v>99.435709090955299</v>
      </c>
      <c r="AB27" s="193">
        <v>0.6</v>
      </c>
      <c r="AC27" s="194"/>
      <c r="AD27" s="192">
        <v>95.643666282719948</v>
      </c>
      <c r="AE27" s="193">
        <v>-2.2000000000000002</v>
      </c>
      <c r="AF27" s="194"/>
      <c r="AG27" s="192">
        <v>99.394978207272885</v>
      </c>
      <c r="AH27" s="193">
        <v>7.87</v>
      </c>
      <c r="AI27" s="194"/>
      <c r="AJ27" s="192">
        <v>105.14295698621127</v>
      </c>
      <c r="AK27" s="193">
        <v>14.35</v>
      </c>
      <c r="AL27" s="194"/>
      <c r="AM27" s="192">
        <v>99.736683074301851</v>
      </c>
      <c r="AN27" s="193">
        <v>0.27</v>
      </c>
      <c r="AO27" s="194"/>
      <c r="AP27" s="192">
        <v>95.775091263765447</v>
      </c>
      <c r="AQ27" s="193">
        <v>-3.44</v>
      </c>
      <c r="AR27" s="194"/>
      <c r="AS27" s="192">
        <v>96.67263798609082</v>
      </c>
      <c r="AT27" s="193">
        <v>0.87</v>
      </c>
      <c r="AU27" s="194"/>
      <c r="AV27" s="192">
        <v>96.932088940545611</v>
      </c>
      <c r="AW27" s="193">
        <v>0.39</v>
      </c>
      <c r="AX27" s="194"/>
      <c r="AY27" s="192">
        <v>98.714152283256908</v>
      </c>
      <c r="AZ27" s="193">
        <v>-0.06</v>
      </c>
      <c r="BA27" s="194"/>
      <c r="BB27" s="192">
        <v>98.063175173568268</v>
      </c>
      <c r="BC27" s="193">
        <v>-2.36</v>
      </c>
      <c r="BD27" s="194"/>
      <c r="BE27" s="192">
        <v>99.801480451487464</v>
      </c>
      <c r="BF27" s="193">
        <v>-1.27</v>
      </c>
      <c r="BG27" s="194"/>
      <c r="BH27" s="192">
        <v>99.711776333200802</v>
      </c>
      <c r="BI27" s="193">
        <v>-1.33</v>
      </c>
      <c r="BJ27" s="194"/>
      <c r="BK27" s="192">
        <v>100.79615961055501</v>
      </c>
      <c r="BL27" s="193">
        <v>5.05</v>
      </c>
      <c r="BM27" s="194"/>
      <c r="BN27" s="192">
        <v>98.213669459236314</v>
      </c>
      <c r="BO27" s="193">
        <v>6.32</v>
      </c>
      <c r="BP27" s="194"/>
      <c r="BQ27" s="192">
        <v>103.50832324954125</v>
      </c>
      <c r="BR27" s="193">
        <v>3.54</v>
      </c>
      <c r="BS27" s="194"/>
      <c r="BT27" s="192">
        <v>102.7385260968104</v>
      </c>
      <c r="BU27" s="193">
        <v>3.41</v>
      </c>
      <c r="BV27" s="194"/>
      <c r="BW27" s="192">
        <v>97.882340328780032</v>
      </c>
      <c r="BX27" s="193">
        <v>-4.51</v>
      </c>
      <c r="BY27" s="194"/>
      <c r="BZ27" s="192">
        <v>99.71816626006968</v>
      </c>
      <c r="CA27" s="193">
        <v>1.86</v>
      </c>
      <c r="CB27" s="194"/>
    </row>
    <row r="28" spans="1:80" s="109" customFormat="1" ht="15.75" customHeight="1" x14ac:dyDescent="0.3">
      <c r="A28" s="152"/>
      <c r="B28" s="295" t="s">
        <v>12</v>
      </c>
      <c r="C28" s="131">
        <v>100.35384584056779</v>
      </c>
      <c r="D28" s="131">
        <v>0.46</v>
      </c>
      <c r="E28" s="191"/>
      <c r="F28" s="97">
        <v>98.265406638227915</v>
      </c>
      <c r="G28" s="131">
        <v>0.87</v>
      </c>
      <c r="H28" s="191"/>
      <c r="I28" s="97">
        <v>100.93563648059718</v>
      </c>
      <c r="J28" s="131">
        <v>-0.7</v>
      </c>
      <c r="K28" s="191"/>
      <c r="L28" s="97">
        <v>100.43307478175936</v>
      </c>
      <c r="M28" s="131">
        <v>0.71</v>
      </c>
      <c r="N28" s="191"/>
      <c r="O28" s="97">
        <v>100.08241563645977</v>
      </c>
      <c r="P28" s="131">
        <v>2.9</v>
      </c>
      <c r="Q28" s="191"/>
      <c r="R28" s="97">
        <v>96.525638054848557</v>
      </c>
      <c r="S28" s="131">
        <v>2.0699999999999998</v>
      </c>
      <c r="T28" s="191"/>
      <c r="U28" s="97">
        <v>102.29809185146783</v>
      </c>
      <c r="V28" s="131">
        <v>5</v>
      </c>
      <c r="W28" s="191"/>
      <c r="X28" s="97">
        <v>98.260104832619987</v>
      </c>
      <c r="Y28" s="131">
        <v>0.19</v>
      </c>
      <c r="Z28" s="191"/>
      <c r="AA28" s="97">
        <v>101.18885960822716</v>
      </c>
      <c r="AB28" s="131">
        <v>1.76</v>
      </c>
      <c r="AC28" s="191"/>
      <c r="AD28" s="97">
        <v>95.870074834389129</v>
      </c>
      <c r="AE28" s="131">
        <v>0.24</v>
      </c>
      <c r="AF28" s="191"/>
      <c r="AG28" s="97">
        <v>100.64892390439037</v>
      </c>
      <c r="AH28" s="131">
        <v>1.26</v>
      </c>
      <c r="AI28" s="191"/>
      <c r="AJ28" s="97">
        <v>97.10861009471725</v>
      </c>
      <c r="AK28" s="131">
        <v>-7.64</v>
      </c>
      <c r="AL28" s="191"/>
      <c r="AM28" s="97">
        <v>98.31447443959884</v>
      </c>
      <c r="AN28" s="131">
        <v>-1.43</v>
      </c>
      <c r="AO28" s="191"/>
      <c r="AP28" s="97">
        <v>98.838134800106943</v>
      </c>
      <c r="AQ28" s="131">
        <v>3.2</v>
      </c>
      <c r="AR28" s="191"/>
      <c r="AS28" s="97">
        <v>94.802491404265837</v>
      </c>
      <c r="AT28" s="131">
        <v>-1.93</v>
      </c>
      <c r="AU28" s="191"/>
      <c r="AV28" s="97">
        <v>96.902109296531478</v>
      </c>
      <c r="AW28" s="131">
        <v>-0.03</v>
      </c>
      <c r="AX28" s="191"/>
      <c r="AY28" s="97">
        <v>100.29252002580016</v>
      </c>
      <c r="AZ28" s="131">
        <v>1.6</v>
      </c>
      <c r="BA28" s="191"/>
      <c r="BB28" s="97">
        <v>98.817466176643322</v>
      </c>
      <c r="BC28" s="131">
        <v>0.77</v>
      </c>
      <c r="BD28" s="191"/>
      <c r="BE28" s="97">
        <v>100.26341735268932</v>
      </c>
      <c r="BF28" s="131">
        <v>0.46</v>
      </c>
      <c r="BG28" s="191"/>
      <c r="BH28" s="97">
        <v>99.933342153795365</v>
      </c>
      <c r="BI28" s="131">
        <v>0.22</v>
      </c>
      <c r="BJ28" s="191"/>
      <c r="BK28" s="97">
        <v>99.517240203373419</v>
      </c>
      <c r="BL28" s="131">
        <v>-1.27</v>
      </c>
      <c r="BM28" s="191"/>
      <c r="BN28" s="97">
        <v>96.635211255991038</v>
      </c>
      <c r="BO28" s="131">
        <v>-1.61</v>
      </c>
      <c r="BP28" s="191"/>
      <c r="BQ28" s="97">
        <v>103.87236798304387</v>
      </c>
      <c r="BR28" s="131">
        <v>0.35</v>
      </c>
      <c r="BS28" s="191"/>
      <c r="BT28" s="97">
        <v>101.56853905588325</v>
      </c>
      <c r="BU28" s="131">
        <v>-1.1399999999999999</v>
      </c>
      <c r="BV28" s="191"/>
      <c r="BW28" s="97">
        <v>96.250850500619862</v>
      </c>
      <c r="BX28" s="131">
        <v>-1.67</v>
      </c>
      <c r="BY28" s="191"/>
      <c r="BZ28" s="97">
        <v>101.24222931037909</v>
      </c>
      <c r="CA28" s="131">
        <v>1.53</v>
      </c>
      <c r="CB28" s="191"/>
    </row>
    <row r="29" spans="1:80" ht="15.75" customHeight="1" x14ac:dyDescent="0.3">
      <c r="A29" s="173"/>
      <c r="B29" s="296" t="s">
        <v>13</v>
      </c>
      <c r="C29" s="193">
        <v>103.94407552269571</v>
      </c>
      <c r="D29" s="193">
        <v>3.58</v>
      </c>
      <c r="E29" s="194"/>
      <c r="F29" s="192">
        <v>107.00621537418442</v>
      </c>
      <c r="G29" s="193">
        <v>8.9</v>
      </c>
      <c r="H29" s="194"/>
      <c r="I29" s="192">
        <v>97.596317843111109</v>
      </c>
      <c r="J29" s="193">
        <v>-3.31</v>
      </c>
      <c r="K29" s="194"/>
      <c r="L29" s="192">
        <v>96.493540810922909</v>
      </c>
      <c r="M29" s="193">
        <v>-3.92</v>
      </c>
      <c r="N29" s="194"/>
      <c r="O29" s="192">
        <v>115.17401978435041</v>
      </c>
      <c r="P29" s="193">
        <v>15.08</v>
      </c>
      <c r="Q29" s="194"/>
      <c r="R29" s="192">
        <v>114.55236604120668</v>
      </c>
      <c r="S29" s="193">
        <v>18.68</v>
      </c>
      <c r="T29" s="194"/>
      <c r="U29" s="192">
        <v>108.04119265988675</v>
      </c>
      <c r="V29" s="193">
        <v>5.61</v>
      </c>
      <c r="W29" s="194"/>
      <c r="X29" s="192">
        <v>107.67275982610256</v>
      </c>
      <c r="Y29" s="193">
        <v>9.58</v>
      </c>
      <c r="Z29" s="194"/>
      <c r="AA29" s="192">
        <v>102.98707309448771</v>
      </c>
      <c r="AB29" s="193">
        <v>1.78</v>
      </c>
      <c r="AC29" s="194"/>
      <c r="AD29" s="192">
        <v>103.30127558021775</v>
      </c>
      <c r="AE29" s="193">
        <v>7.75</v>
      </c>
      <c r="AF29" s="194"/>
      <c r="AG29" s="192">
        <v>104.54780827483374</v>
      </c>
      <c r="AH29" s="193">
        <v>3.87</v>
      </c>
      <c r="AI29" s="194"/>
      <c r="AJ29" s="192">
        <v>109.49927081874924</v>
      </c>
      <c r="AK29" s="193">
        <v>12.76</v>
      </c>
      <c r="AL29" s="194"/>
      <c r="AM29" s="192">
        <v>104.5641519141256</v>
      </c>
      <c r="AN29" s="193">
        <v>6.36</v>
      </c>
      <c r="AO29" s="194"/>
      <c r="AP29" s="192">
        <v>105.31347076349931</v>
      </c>
      <c r="AQ29" s="193">
        <v>6.55</v>
      </c>
      <c r="AR29" s="194"/>
      <c r="AS29" s="192">
        <v>100.82718557316575</v>
      </c>
      <c r="AT29" s="193">
        <v>6.35</v>
      </c>
      <c r="AU29" s="194"/>
      <c r="AV29" s="192">
        <v>110.18055721170279</v>
      </c>
      <c r="AW29" s="193">
        <v>13.7</v>
      </c>
      <c r="AX29" s="194"/>
      <c r="AY29" s="192">
        <v>105.08123477143604</v>
      </c>
      <c r="AZ29" s="193">
        <v>4.7699999999999996</v>
      </c>
      <c r="BA29" s="194"/>
      <c r="BB29" s="192">
        <v>108.0529021660584</v>
      </c>
      <c r="BC29" s="193">
        <v>9.35</v>
      </c>
      <c r="BD29" s="194"/>
      <c r="BE29" s="192">
        <v>103.28647629264447</v>
      </c>
      <c r="BF29" s="193">
        <v>3.02</v>
      </c>
      <c r="BG29" s="194"/>
      <c r="BH29" s="192">
        <v>99.386040641777413</v>
      </c>
      <c r="BI29" s="193">
        <v>-0.55000000000000004</v>
      </c>
      <c r="BJ29" s="194"/>
      <c r="BK29" s="192">
        <v>105.63572075883233</v>
      </c>
      <c r="BL29" s="193">
        <v>6.15</v>
      </c>
      <c r="BM29" s="194"/>
      <c r="BN29" s="192">
        <v>106.10002025615164</v>
      </c>
      <c r="BO29" s="193">
        <v>9.7899999999999991</v>
      </c>
      <c r="BP29" s="194"/>
      <c r="BQ29" s="192">
        <v>105.66272716379821</v>
      </c>
      <c r="BR29" s="193">
        <v>1.72</v>
      </c>
      <c r="BS29" s="194"/>
      <c r="BT29" s="192">
        <v>106.18658313940558</v>
      </c>
      <c r="BU29" s="193">
        <v>4.55</v>
      </c>
      <c r="BV29" s="194"/>
      <c r="BW29" s="192">
        <v>99.03508046839832</v>
      </c>
      <c r="BX29" s="193">
        <v>2.89</v>
      </c>
      <c r="BY29" s="194"/>
      <c r="BZ29" s="192">
        <v>104.02505046856363</v>
      </c>
      <c r="CA29" s="193">
        <v>2.75</v>
      </c>
      <c r="CB29" s="194"/>
    </row>
    <row r="30" spans="1:80" s="109" customFormat="1" ht="15.75" customHeight="1" x14ac:dyDescent="0.3">
      <c r="A30" s="147" t="s">
        <v>52</v>
      </c>
      <c r="B30" s="295" t="s">
        <v>54</v>
      </c>
      <c r="C30" s="131">
        <v>105.71712290894403</v>
      </c>
      <c r="D30" s="131">
        <v>1.71</v>
      </c>
      <c r="E30" s="191">
        <v>3.72</v>
      </c>
      <c r="F30" s="97">
        <v>110.36919258692488</v>
      </c>
      <c r="G30" s="131">
        <v>3.14</v>
      </c>
      <c r="H30" s="191">
        <v>3.11</v>
      </c>
      <c r="I30" s="97">
        <v>98.510190401486284</v>
      </c>
      <c r="J30" s="131">
        <v>0.94</v>
      </c>
      <c r="K30" s="191">
        <v>1.63</v>
      </c>
      <c r="L30" s="97">
        <v>95.845206248231094</v>
      </c>
      <c r="M30" s="131">
        <v>-0.67</v>
      </c>
      <c r="N30" s="191">
        <v>-1.96</v>
      </c>
      <c r="O30" s="97">
        <v>119.90875768037034</v>
      </c>
      <c r="P30" s="131">
        <v>4.1100000000000003</v>
      </c>
      <c r="Q30" s="191">
        <v>7.64</v>
      </c>
      <c r="R30" s="97">
        <v>121.03615221484473</v>
      </c>
      <c r="S30" s="131">
        <v>5.66</v>
      </c>
      <c r="T30" s="191">
        <v>3.7</v>
      </c>
      <c r="U30" s="97">
        <v>105.57937875772909</v>
      </c>
      <c r="V30" s="131">
        <v>-2.2799999999999998</v>
      </c>
      <c r="W30" s="191">
        <v>3.49</v>
      </c>
      <c r="X30" s="97">
        <v>111.1130972183374</v>
      </c>
      <c r="Y30" s="131">
        <v>3.2</v>
      </c>
      <c r="Z30" s="191">
        <v>5.2</v>
      </c>
      <c r="AA30" s="97">
        <v>108.47047104520384</v>
      </c>
      <c r="AB30" s="131">
        <v>5.32</v>
      </c>
      <c r="AC30" s="191">
        <v>5.45</v>
      </c>
      <c r="AD30" s="97">
        <v>108.03512229641288</v>
      </c>
      <c r="AE30" s="131">
        <v>4.58</v>
      </c>
      <c r="AF30" s="191">
        <v>1.72</v>
      </c>
      <c r="AG30" s="97">
        <v>111.94170402492132</v>
      </c>
      <c r="AH30" s="131">
        <v>7.07</v>
      </c>
      <c r="AI30" s="191">
        <v>5.53</v>
      </c>
      <c r="AJ30" s="97">
        <v>119.90218260530601</v>
      </c>
      <c r="AK30" s="131">
        <v>9.5</v>
      </c>
      <c r="AL30" s="191">
        <v>13.01</v>
      </c>
      <c r="AM30" s="97">
        <v>103.05674911922604</v>
      </c>
      <c r="AN30" s="131">
        <v>-1.44</v>
      </c>
      <c r="AO30" s="191">
        <v>0.98</v>
      </c>
      <c r="AP30" s="97">
        <v>105.12981242911054</v>
      </c>
      <c r="AQ30" s="131">
        <v>-0.17</v>
      </c>
      <c r="AR30" s="191">
        <v>0.08</v>
      </c>
      <c r="AS30" s="97">
        <v>111.12430575521736</v>
      </c>
      <c r="AT30" s="131">
        <v>10.210000000000001</v>
      </c>
      <c r="AU30" s="191">
        <v>-2.41</v>
      </c>
      <c r="AV30" s="97">
        <v>115.91794790158943</v>
      </c>
      <c r="AW30" s="131">
        <v>5.21</v>
      </c>
      <c r="AX30" s="191">
        <v>1.02</v>
      </c>
      <c r="AY30" s="97">
        <v>104.8561189337897</v>
      </c>
      <c r="AZ30" s="131">
        <v>-0.21</v>
      </c>
      <c r="BA30" s="191">
        <v>5.36</v>
      </c>
      <c r="BB30" s="97">
        <v>105.27060294554001</v>
      </c>
      <c r="BC30" s="131">
        <v>-2.57</v>
      </c>
      <c r="BD30" s="191">
        <v>5.76</v>
      </c>
      <c r="BE30" s="97">
        <v>100.32038473443062</v>
      </c>
      <c r="BF30" s="131">
        <v>-2.87</v>
      </c>
      <c r="BG30" s="191">
        <v>-1.23</v>
      </c>
      <c r="BH30" s="97">
        <v>103.66417210064579</v>
      </c>
      <c r="BI30" s="131">
        <v>4.3</v>
      </c>
      <c r="BJ30" s="191">
        <v>0</v>
      </c>
      <c r="BK30" s="97">
        <v>106.28148142196574</v>
      </c>
      <c r="BL30" s="131">
        <v>0.61</v>
      </c>
      <c r="BM30" s="191">
        <v>1.6</v>
      </c>
      <c r="BN30" s="97">
        <v>107.82617853060839</v>
      </c>
      <c r="BO30" s="131">
        <v>1.63</v>
      </c>
      <c r="BP30" s="191">
        <v>-0.36</v>
      </c>
      <c r="BQ30" s="97">
        <v>115.18739206710205</v>
      </c>
      <c r="BR30" s="131">
        <v>9.01</v>
      </c>
      <c r="BS30" s="191">
        <v>12.39</v>
      </c>
      <c r="BT30" s="97">
        <v>112.13798272506563</v>
      </c>
      <c r="BU30" s="131">
        <v>5.6</v>
      </c>
      <c r="BV30" s="191">
        <v>6.47</v>
      </c>
      <c r="BW30" s="97">
        <v>99.648646784956668</v>
      </c>
      <c r="BX30" s="131">
        <v>0.62</v>
      </c>
      <c r="BY30" s="191">
        <v>-16.170000000000002</v>
      </c>
      <c r="BZ30" s="97">
        <v>116.8760318581465</v>
      </c>
      <c r="CA30" s="131">
        <v>12.35</v>
      </c>
      <c r="CB30" s="191">
        <v>4.21</v>
      </c>
    </row>
    <row r="31" spans="1:80" ht="15.75" customHeight="1" x14ac:dyDescent="0.3">
      <c r="A31" s="173"/>
      <c r="B31" s="111" t="s">
        <v>56</v>
      </c>
      <c r="C31" s="193">
        <v>104.55525068479432</v>
      </c>
      <c r="D31" s="193">
        <v>-1.1000000000000001</v>
      </c>
      <c r="E31" s="194">
        <v>5.4</v>
      </c>
      <c r="F31" s="192">
        <v>103.46168633632176</v>
      </c>
      <c r="G31" s="193">
        <v>-6.26</v>
      </c>
      <c r="H31" s="194">
        <v>4.3899999999999997</v>
      </c>
      <c r="I31" s="192">
        <v>103.96025363938239</v>
      </c>
      <c r="J31" s="193">
        <v>5.53</v>
      </c>
      <c r="K31" s="194">
        <v>2.72</v>
      </c>
      <c r="L31" s="192">
        <v>100.69825645098885</v>
      </c>
      <c r="M31" s="193">
        <v>5.0599999999999996</v>
      </c>
      <c r="N31" s="194">
        <v>-0.33</v>
      </c>
      <c r="O31" s="192">
        <v>102.53612385105077</v>
      </c>
      <c r="P31" s="193">
        <v>-14.49</v>
      </c>
      <c r="Q31" s="194">
        <v>3.42</v>
      </c>
      <c r="R31" s="192">
        <v>100.47533831423283</v>
      </c>
      <c r="S31" s="193">
        <v>-16.989999999999998</v>
      </c>
      <c r="T31" s="194">
        <v>0.88</v>
      </c>
      <c r="U31" s="192">
        <v>102.78369099007416</v>
      </c>
      <c r="V31" s="193">
        <v>-2.65</v>
      </c>
      <c r="W31" s="194">
        <v>3.18</v>
      </c>
      <c r="X31" s="192">
        <v>104.24771900292784</v>
      </c>
      <c r="Y31" s="193">
        <v>-6.18</v>
      </c>
      <c r="Z31" s="194">
        <v>9.02</v>
      </c>
      <c r="AA31" s="192">
        <v>120.77959733486487</v>
      </c>
      <c r="AB31" s="193">
        <v>11.35</v>
      </c>
      <c r="AC31" s="194">
        <v>24.34</v>
      </c>
      <c r="AD31" s="192">
        <v>111.35160055885325</v>
      </c>
      <c r="AE31" s="193">
        <v>3.07</v>
      </c>
      <c r="AF31" s="194">
        <v>14.44</v>
      </c>
      <c r="AG31" s="192">
        <v>102.35250740803532</v>
      </c>
      <c r="AH31" s="193">
        <v>-8.57</v>
      </c>
      <c r="AI31" s="194">
        <v>8.49</v>
      </c>
      <c r="AJ31" s="192">
        <v>106.08381125840754</v>
      </c>
      <c r="AK31" s="193">
        <v>-11.52</v>
      </c>
      <c r="AL31" s="194">
        <v>13.66</v>
      </c>
      <c r="AM31" s="192">
        <v>99.060089183599615</v>
      </c>
      <c r="AN31" s="193">
        <v>-3.88</v>
      </c>
      <c r="AO31" s="194">
        <v>3.01</v>
      </c>
      <c r="AP31" s="192">
        <v>98.45965888279602</v>
      </c>
      <c r="AQ31" s="193">
        <v>-6.34</v>
      </c>
      <c r="AR31" s="194">
        <v>-0.21</v>
      </c>
      <c r="AS31" s="192">
        <v>97.140182955989417</v>
      </c>
      <c r="AT31" s="193">
        <v>-12.58</v>
      </c>
      <c r="AU31" s="194">
        <v>-6.77</v>
      </c>
      <c r="AV31" s="192">
        <v>103.79856381183741</v>
      </c>
      <c r="AW31" s="193">
        <v>-10.46</v>
      </c>
      <c r="AX31" s="194">
        <v>2.56</v>
      </c>
      <c r="AY31" s="192">
        <v>101.46453742178589</v>
      </c>
      <c r="AZ31" s="193">
        <v>-3.23</v>
      </c>
      <c r="BA31" s="194">
        <v>2.84</v>
      </c>
      <c r="BB31" s="192">
        <v>101.445992938731</v>
      </c>
      <c r="BC31" s="193">
        <v>-3.63</v>
      </c>
      <c r="BD31" s="194">
        <v>2.23</v>
      </c>
      <c r="BE31" s="192">
        <v>101.35312638860205</v>
      </c>
      <c r="BF31" s="193">
        <v>1.03</v>
      </c>
      <c r="BG31" s="194">
        <v>1.1000000000000001</v>
      </c>
      <c r="BH31" s="192">
        <v>102.3664295525403</v>
      </c>
      <c r="BI31" s="193">
        <v>-1.25</v>
      </c>
      <c r="BJ31" s="194">
        <v>1.1499999999999999</v>
      </c>
      <c r="BK31" s="192">
        <v>103.4457028389475</v>
      </c>
      <c r="BL31" s="193">
        <v>-2.67</v>
      </c>
      <c r="BM31" s="194">
        <v>2.66</v>
      </c>
      <c r="BN31" s="192">
        <v>102.44402676466397</v>
      </c>
      <c r="BO31" s="193">
        <v>-4.99</v>
      </c>
      <c r="BP31" s="194">
        <v>3.11</v>
      </c>
      <c r="BQ31" s="192">
        <v>106.97676323517169</v>
      </c>
      <c r="BR31" s="193">
        <v>-7.13</v>
      </c>
      <c r="BS31" s="194">
        <v>6.3</v>
      </c>
      <c r="BT31" s="192">
        <v>105.06910041406043</v>
      </c>
      <c r="BU31" s="193">
        <v>-6.3</v>
      </c>
      <c r="BV31" s="194">
        <v>9.68</v>
      </c>
      <c r="BW31" s="192">
        <v>102.88526244708783</v>
      </c>
      <c r="BX31" s="193">
        <v>3.25</v>
      </c>
      <c r="BY31" s="194">
        <v>-2.67</v>
      </c>
      <c r="BZ31" s="192">
        <v>112.17779209489424</v>
      </c>
      <c r="CA31" s="193">
        <v>-4.0199999999999996</v>
      </c>
      <c r="CB31" s="194">
        <v>9.16</v>
      </c>
    </row>
    <row r="32" spans="1:80" ht="15.75" customHeight="1" x14ac:dyDescent="0.3">
      <c r="A32" s="101"/>
      <c r="B32" s="96" t="s">
        <v>65</v>
      </c>
      <c r="C32" s="131">
        <v>101.46130788377847</v>
      </c>
      <c r="D32" s="131">
        <v>-2.96</v>
      </c>
      <c r="E32" s="191">
        <v>1.82</v>
      </c>
      <c r="F32" s="97">
        <v>99.608698541048994</v>
      </c>
      <c r="G32" s="131">
        <v>-3.72</v>
      </c>
      <c r="H32" s="191">
        <v>-1.08</v>
      </c>
      <c r="I32" s="97">
        <v>101.77169044228481</v>
      </c>
      <c r="J32" s="131">
        <v>-2.11</v>
      </c>
      <c r="K32" s="191">
        <v>1.39</v>
      </c>
      <c r="L32" s="97">
        <v>99.711930161364535</v>
      </c>
      <c r="M32" s="131">
        <v>-0.98</v>
      </c>
      <c r="N32" s="191">
        <v>-2.31</v>
      </c>
      <c r="O32" s="97">
        <v>98.466608419345476</v>
      </c>
      <c r="P32" s="131">
        <v>-3.97</v>
      </c>
      <c r="Q32" s="191">
        <v>1.07</v>
      </c>
      <c r="R32" s="97">
        <v>94.509023779490775</v>
      </c>
      <c r="S32" s="131">
        <v>-5.94</v>
      </c>
      <c r="T32" s="191">
        <v>-4.3499999999999996</v>
      </c>
      <c r="U32" s="97">
        <v>104.09153295040186</v>
      </c>
      <c r="V32" s="131">
        <v>1.27</v>
      </c>
      <c r="W32" s="191">
        <v>6.03</v>
      </c>
      <c r="X32" s="97">
        <v>103.66768322027451</v>
      </c>
      <c r="Y32" s="131">
        <v>-0.56000000000000005</v>
      </c>
      <c r="Z32" s="191">
        <v>5.28</v>
      </c>
      <c r="AA32" s="97">
        <v>104.1407337751488</v>
      </c>
      <c r="AB32" s="131">
        <v>-13.78</v>
      </c>
      <c r="AC32" s="191">
        <v>-4.7300000000000004</v>
      </c>
      <c r="AD32" s="97">
        <v>97.701004351101147</v>
      </c>
      <c r="AE32" s="131">
        <v>-12.26</v>
      </c>
      <c r="AF32" s="191">
        <v>-11.35</v>
      </c>
      <c r="AG32" s="97">
        <v>100.40187932483261</v>
      </c>
      <c r="AH32" s="131">
        <v>-1.91</v>
      </c>
      <c r="AI32" s="191">
        <v>2.64</v>
      </c>
      <c r="AJ32" s="97">
        <v>104.34073206340184</v>
      </c>
      <c r="AK32" s="131">
        <v>-1.64</v>
      </c>
      <c r="AL32" s="191">
        <v>9</v>
      </c>
      <c r="AM32" s="97">
        <v>97.468199468480748</v>
      </c>
      <c r="AN32" s="131">
        <v>-1.61</v>
      </c>
      <c r="AO32" s="191">
        <v>0.64</v>
      </c>
      <c r="AP32" s="97">
        <v>97.071643185194915</v>
      </c>
      <c r="AQ32" s="131">
        <v>-1.41</v>
      </c>
      <c r="AR32" s="191">
        <v>-2.5</v>
      </c>
      <c r="AS32" s="97">
        <v>97.683603464692766</v>
      </c>
      <c r="AT32" s="131">
        <v>0.56000000000000005</v>
      </c>
      <c r="AU32" s="191">
        <v>-6.11</v>
      </c>
      <c r="AV32" s="97">
        <v>103.00459996412148</v>
      </c>
      <c r="AW32" s="131">
        <v>-0.76</v>
      </c>
      <c r="AX32" s="191">
        <v>1.87</v>
      </c>
      <c r="AY32" s="97">
        <v>101.46156785557856</v>
      </c>
      <c r="AZ32" s="131">
        <v>0</v>
      </c>
      <c r="BA32" s="191">
        <v>2.4500000000000002</v>
      </c>
      <c r="BB32" s="97">
        <v>100.50416743307305</v>
      </c>
      <c r="BC32" s="131">
        <v>-0.93</v>
      </c>
      <c r="BD32" s="191">
        <v>1.61</v>
      </c>
      <c r="BE32" s="97">
        <v>102.52017637352225</v>
      </c>
      <c r="BF32" s="131">
        <v>1.1499999999999999</v>
      </c>
      <c r="BG32" s="191">
        <v>5.64</v>
      </c>
      <c r="BH32" s="97">
        <v>102.16692591215923</v>
      </c>
      <c r="BI32" s="131">
        <v>-0.19</v>
      </c>
      <c r="BJ32" s="191">
        <v>3.61</v>
      </c>
      <c r="BK32" s="97">
        <v>101.70789703222958</v>
      </c>
      <c r="BL32" s="131">
        <v>-1.68</v>
      </c>
      <c r="BM32" s="191">
        <v>0.26</v>
      </c>
      <c r="BN32" s="97">
        <v>95.524099712227112</v>
      </c>
      <c r="BO32" s="131">
        <v>-6.75</v>
      </c>
      <c r="BP32" s="191">
        <v>-5.04</v>
      </c>
      <c r="BQ32" s="97">
        <v>100.07523497897084</v>
      </c>
      <c r="BR32" s="131">
        <v>-6.45</v>
      </c>
      <c r="BS32" s="191">
        <v>4</v>
      </c>
      <c r="BT32" s="97">
        <v>99.971716651846137</v>
      </c>
      <c r="BU32" s="131">
        <v>-4.8499999999999996</v>
      </c>
      <c r="BV32" s="191">
        <v>3.05</v>
      </c>
      <c r="BW32" s="97">
        <v>95.374015850888</v>
      </c>
      <c r="BX32" s="131">
        <v>-7.3</v>
      </c>
      <c r="BY32" s="191">
        <v>1.0900000000000001</v>
      </c>
      <c r="BZ32" s="97">
        <v>93.794179608920203</v>
      </c>
      <c r="CA32" s="131">
        <v>-16.39</v>
      </c>
      <c r="CB32" s="191">
        <v>-6.58</v>
      </c>
    </row>
    <row r="33" spans="1:80" ht="15.75" customHeight="1" x14ac:dyDescent="0.3">
      <c r="A33" s="173"/>
      <c r="B33" s="111" t="s">
        <v>66</v>
      </c>
      <c r="C33" s="193">
        <v>87.739577101825759</v>
      </c>
      <c r="D33" s="193">
        <v>-13.52</v>
      </c>
      <c r="E33" s="194">
        <v>-11.67</v>
      </c>
      <c r="F33" s="192">
        <v>86.024341994298382</v>
      </c>
      <c r="G33" s="193">
        <v>-13.64</v>
      </c>
      <c r="H33" s="194">
        <v>-14.06</v>
      </c>
      <c r="I33" s="192">
        <v>88.983424078680898</v>
      </c>
      <c r="J33" s="193">
        <v>-12.57</v>
      </c>
      <c r="K33" s="194">
        <v>-10.37</v>
      </c>
      <c r="L33" s="192">
        <v>88.465179439122977</v>
      </c>
      <c r="M33" s="193">
        <v>-11.28</v>
      </c>
      <c r="N33" s="194">
        <v>-12.92</v>
      </c>
      <c r="O33" s="192">
        <v>74.203118923429429</v>
      </c>
      <c r="P33" s="193">
        <v>-24.64</v>
      </c>
      <c r="Q33" s="194">
        <v>-23.8</v>
      </c>
      <c r="R33" s="192">
        <v>74.768117536288699</v>
      </c>
      <c r="S33" s="193">
        <v>-20.89</v>
      </c>
      <c r="T33" s="194">
        <v>-24.52</v>
      </c>
      <c r="U33" s="192">
        <v>90.641610629014195</v>
      </c>
      <c r="V33" s="193">
        <v>-12.92</v>
      </c>
      <c r="W33" s="194">
        <v>-11.34</v>
      </c>
      <c r="X33" s="192">
        <v>81.486142168564683</v>
      </c>
      <c r="Y33" s="193">
        <v>-21.4</v>
      </c>
      <c r="Z33" s="194">
        <v>-22.12</v>
      </c>
      <c r="AA33" s="192">
        <v>92.01398072555051</v>
      </c>
      <c r="AB33" s="193">
        <v>-11.64</v>
      </c>
      <c r="AC33" s="194">
        <v>-9.1999999999999993</v>
      </c>
      <c r="AD33" s="192">
        <v>76.645738067249056</v>
      </c>
      <c r="AE33" s="193">
        <v>-21.55</v>
      </c>
      <c r="AF33" s="194">
        <v>-26.15</v>
      </c>
      <c r="AG33" s="192">
        <v>93.723852816306689</v>
      </c>
      <c r="AH33" s="193">
        <v>-6.65</v>
      </c>
      <c r="AI33" s="194">
        <v>-11.55</v>
      </c>
      <c r="AJ33" s="192">
        <v>100.52887968695747</v>
      </c>
      <c r="AK33" s="193">
        <v>-3.65</v>
      </c>
      <c r="AL33" s="194">
        <v>-0.91</v>
      </c>
      <c r="AM33" s="192">
        <v>80.415818574275391</v>
      </c>
      <c r="AN33" s="193">
        <v>-17.5</v>
      </c>
      <c r="AO33" s="194">
        <v>-18.32</v>
      </c>
      <c r="AP33" s="192">
        <v>79.514433100287974</v>
      </c>
      <c r="AQ33" s="193">
        <v>-18.09</v>
      </c>
      <c r="AR33" s="194">
        <v>-20.3</v>
      </c>
      <c r="AS33" s="192" t="s">
        <v>108</v>
      </c>
      <c r="AT33" s="193" t="s">
        <v>108</v>
      </c>
      <c r="AU33" s="194" t="s">
        <v>108</v>
      </c>
      <c r="AV33" s="192" t="s">
        <v>108</v>
      </c>
      <c r="AW33" s="193" t="s">
        <v>108</v>
      </c>
      <c r="AX33" s="194" t="s">
        <v>108</v>
      </c>
      <c r="AY33" s="192">
        <v>95.024438610701907</v>
      </c>
      <c r="AZ33" s="193">
        <v>-6.34</v>
      </c>
      <c r="BA33" s="194">
        <v>-4.18</v>
      </c>
      <c r="BB33" s="192">
        <v>95.188671356666902</v>
      </c>
      <c r="BC33" s="193">
        <v>-5.29</v>
      </c>
      <c r="BD33" s="194">
        <v>-3.1</v>
      </c>
      <c r="BE33" s="192">
        <v>94.392055568073076</v>
      </c>
      <c r="BF33" s="193">
        <v>-7.93</v>
      </c>
      <c r="BG33" s="194">
        <v>-5.27</v>
      </c>
      <c r="BH33" s="192">
        <v>95.887460432548366</v>
      </c>
      <c r="BI33" s="193">
        <v>-6.15</v>
      </c>
      <c r="BJ33" s="194">
        <v>-5.49</v>
      </c>
      <c r="BK33" s="192">
        <v>109.02941504942099</v>
      </c>
      <c r="BL33" s="193">
        <v>7.2</v>
      </c>
      <c r="BM33" s="194">
        <v>5.8</v>
      </c>
      <c r="BN33" s="192">
        <v>91.407229557387495</v>
      </c>
      <c r="BO33" s="193">
        <v>-4.3099999999999996</v>
      </c>
      <c r="BP33" s="194">
        <v>-12.21</v>
      </c>
      <c r="BQ33" s="192">
        <v>74.020427367084309</v>
      </c>
      <c r="BR33" s="193">
        <v>-26.04</v>
      </c>
      <c r="BS33" s="194">
        <v>-24.55</v>
      </c>
      <c r="BT33" s="192">
        <v>92.154986894096069</v>
      </c>
      <c r="BU33" s="193">
        <v>-7.82</v>
      </c>
      <c r="BV33" s="194">
        <v>-8.25</v>
      </c>
      <c r="BW33" s="192">
        <v>76.136810618443221</v>
      </c>
      <c r="BX33" s="193">
        <v>-20.170000000000002</v>
      </c>
      <c r="BY33" s="194">
        <v>-21.65</v>
      </c>
      <c r="BZ33" s="192">
        <v>75.576213731784478</v>
      </c>
      <c r="CA33" s="193">
        <v>-19.420000000000002</v>
      </c>
      <c r="CB33" s="194">
        <v>-20.010000000000002</v>
      </c>
    </row>
    <row r="34" spans="1:80" s="109" customFormat="1" ht="15.75" customHeight="1" x14ac:dyDescent="0.3">
      <c r="A34" s="101"/>
      <c r="B34" s="96" t="s">
        <v>15</v>
      </c>
      <c r="C34" s="131">
        <v>87.0868559453518</v>
      </c>
      <c r="D34" s="131">
        <v>-0.74</v>
      </c>
      <c r="E34" s="191">
        <v>-11.08</v>
      </c>
      <c r="F34" s="97">
        <v>84.328745232263245</v>
      </c>
      <c r="G34" s="131">
        <v>-1.97</v>
      </c>
      <c r="H34" s="191">
        <v>-12.14</v>
      </c>
      <c r="I34" s="97">
        <v>90.562820181152532</v>
      </c>
      <c r="J34" s="131">
        <v>1.77</v>
      </c>
      <c r="K34" s="191">
        <v>-10.87</v>
      </c>
      <c r="L34" s="97">
        <v>86.670725645949304</v>
      </c>
      <c r="M34" s="131">
        <v>-2.0299999999999998</v>
      </c>
      <c r="N34" s="191">
        <v>-16.11</v>
      </c>
      <c r="O34" s="97">
        <v>72.501650291133103</v>
      </c>
      <c r="P34" s="131">
        <v>-2.29</v>
      </c>
      <c r="Q34" s="191">
        <v>-22.52</v>
      </c>
      <c r="R34" s="97">
        <v>68.087708089584993</v>
      </c>
      <c r="S34" s="131">
        <v>-8.93</v>
      </c>
      <c r="T34" s="191">
        <v>-27.29</v>
      </c>
      <c r="U34" s="97">
        <v>88.437153630570933</v>
      </c>
      <c r="V34" s="131">
        <v>-2.4300000000000002</v>
      </c>
      <c r="W34" s="191">
        <v>-8.86</v>
      </c>
      <c r="X34" s="97">
        <v>83.075075103982684</v>
      </c>
      <c r="Y34" s="131">
        <v>1.95</v>
      </c>
      <c r="Z34" s="191">
        <v>-12.99</v>
      </c>
      <c r="AA34" s="97">
        <v>89.863844466740588</v>
      </c>
      <c r="AB34" s="131">
        <v>-2.34</v>
      </c>
      <c r="AC34" s="191">
        <v>-4.03</v>
      </c>
      <c r="AD34" s="97">
        <v>81.189028514728605</v>
      </c>
      <c r="AE34" s="131">
        <v>5.93</v>
      </c>
      <c r="AF34" s="191">
        <v>-14.57</v>
      </c>
      <c r="AG34" s="97">
        <v>89.038654852695018</v>
      </c>
      <c r="AH34" s="131">
        <v>-5</v>
      </c>
      <c r="AI34" s="191">
        <v>-9.39</v>
      </c>
      <c r="AJ34" s="97">
        <v>93.737139493694116</v>
      </c>
      <c r="AK34" s="131">
        <v>-6.76</v>
      </c>
      <c r="AL34" s="191">
        <v>-1.92</v>
      </c>
      <c r="AM34" s="97">
        <v>76.56747248570413</v>
      </c>
      <c r="AN34" s="131">
        <v>-4.79</v>
      </c>
      <c r="AO34" s="191">
        <v>-21.86</v>
      </c>
      <c r="AP34" s="97">
        <v>73.778682817207525</v>
      </c>
      <c r="AQ34" s="131">
        <v>-7.21</v>
      </c>
      <c r="AR34" s="191">
        <v>-23.54</v>
      </c>
      <c r="AS34" s="97" t="s">
        <v>108</v>
      </c>
      <c r="AT34" s="131" t="s">
        <v>108</v>
      </c>
      <c r="AU34" s="191" t="s">
        <v>108</v>
      </c>
      <c r="AV34" s="97" t="s">
        <v>108</v>
      </c>
      <c r="AW34" s="131" t="s">
        <v>108</v>
      </c>
      <c r="AX34" s="191" t="s">
        <v>108</v>
      </c>
      <c r="AY34" s="97">
        <v>94.360342879506064</v>
      </c>
      <c r="AZ34" s="131">
        <v>-0.7</v>
      </c>
      <c r="BA34" s="191">
        <v>-4.54</v>
      </c>
      <c r="BB34" s="97">
        <v>93.359192798035693</v>
      </c>
      <c r="BC34" s="131">
        <v>-1.92</v>
      </c>
      <c r="BD34" s="191">
        <v>-5.96</v>
      </c>
      <c r="BE34" s="97">
        <v>92.883018905864304</v>
      </c>
      <c r="BF34" s="131">
        <v>-1.6</v>
      </c>
      <c r="BG34" s="191">
        <v>-3.71</v>
      </c>
      <c r="BH34" s="97">
        <v>96.705685675443149</v>
      </c>
      <c r="BI34" s="131">
        <v>0.85</v>
      </c>
      <c r="BJ34" s="191">
        <v>0.55000000000000004</v>
      </c>
      <c r="BK34" s="97">
        <v>97.337861497013421</v>
      </c>
      <c r="BL34" s="131">
        <v>-10.72</v>
      </c>
      <c r="BM34" s="191">
        <v>-1.99</v>
      </c>
      <c r="BN34" s="97">
        <v>88.532694321692503</v>
      </c>
      <c r="BO34" s="131">
        <v>-3.14</v>
      </c>
      <c r="BP34" s="191">
        <v>-10.98</v>
      </c>
      <c r="BQ34" s="97">
        <v>74.865087224656762</v>
      </c>
      <c r="BR34" s="131">
        <v>1.1399999999999999</v>
      </c>
      <c r="BS34" s="191">
        <v>-20.399999999999999</v>
      </c>
      <c r="BT34" s="97">
        <v>97.684461442931422</v>
      </c>
      <c r="BU34" s="131">
        <v>6</v>
      </c>
      <c r="BV34" s="191">
        <v>5.8</v>
      </c>
      <c r="BW34" s="97">
        <v>79.432945934656331</v>
      </c>
      <c r="BX34" s="131">
        <v>4.33</v>
      </c>
      <c r="BY34" s="191">
        <v>-15.14</v>
      </c>
      <c r="BZ34" s="97">
        <v>75.576213731784478</v>
      </c>
      <c r="CA34" s="131">
        <v>0</v>
      </c>
      <c r="CB34" s="191">
        <v>-16.97</v>
      </c>
    </row>
    <row r="35" spans="1:80" s="109" customFormat="1" ht="15" customHeight="1" x14ac:dyDescent="0.3">
      <c r="A35" s="101"/>
      <c r="B35" s="111" t="s">
        <v>16</v>
      </c>
      <c r="C35" s="193">
        <v>87.129746807698154</v>
      </c>
      <c r="D35" s="193">
        <v>0.05</v>
      </c>
      <c r="E35" s="194">
        <v>-12.32</v>
      </c>
      <c r="F35" s="192">
        <v>84.669945922462432</v>
      </c>
      <c r="G35" s="193">
        <v>0.4</v>
      </c>
      <c r="H35" s="194">
        <v>-14.88</v>
      </c>
      <c r="I35" s="192">
        <v>86.22443112302534</v>
      </c>
      <c r="J35" s="193">
        <v>-4.79</v>
      </c>
      <c r="K35" s="194">
        <v>-13.73</v>
      </c>
      <c r="L35" s="192">
        <v>85.149539669519882</v>
      </c>
      <c r="M35" s="193">
        <v>-1.76</v>
      </c>
      <c r="N35" s="194">
        <v>-15.24</v>
      </c>
      <c r="O35" s="192">
        <v>71.361280524512225</v>
      </c>
      <c r="P35" s="193">
        <v>-1.57</v>
      </c>
      <c r="Q35" s="194">
        <v>-25.6</v>
      </c>
      <c r="R35" s="192">
        <v>67.414885212840375</v>
      </c>
      <c r="S35" s="193">
        <v>-0.99</v>
      </c>
      <c r="T35" s="194">
        <v>-29.49</v>
      </c>
      <c r="U35" s="192">
        <v>91.304334801803861</v>
      </c>
      <c r="V35" s="193">
        <v>3.24</v>
      </c>
      <c r="W35" s="194">
        <v>-10.49</v>
      </c>
      <c r="X35" s="192">
        <v>99.086047865602339</v>
      </c>
      <c r="Y35" s="193">
        <v>19.27</v>
      </c>
      <c r="Z35" s="194">
        <v>-7.71</v>
      </c>
      <c r="AA35" s="192">
        <v>90.029142567669425</v>
      </c>
      <c r="AB35" s="193">
        <v>0.18</v>
      </c>
      <c r="AC35" s="194">
        <v>-9.48</v>
      </c>
      <c r="AD35" s="192">
        <v>82.679089312476918</v>
      </c>
      <c r="AE35" s="193">
        <v>1.84</v>
      </c>
      <c r="AF35" s="194">
        <v>-16.010000000000002</v>
      </c>
      <c r="AG35" s="192">
        <v>103.02214978598165</v>
      </c>
      <c r="AH35" s="193">
        <v>15.7</v>
      </c>
      <c r="AI35" s="194">
        <v>1.81</v>
      </c>
      <c r="AJ35" s="192">
        <v>92.535246287099852</v>
      </c>
      <c r="AK35" s="193">
        <v>-1.28</v>
      </c>
      <c r="AL35" s="194">
        <v>-11.43</v>
      </c>
      <c r="AM35" s="192">
        <v>80.993813766435778</v>
      </c>
      <c r="AN35" s="193">
        <v>5.78</v>
      </c>
      <c r="AO35" s="194">
        <v>-19.260000000000002</v>
      </c>
      <c r="AP35" s="192">
        <v>78.506547722000619</v>
      </c>
      <c r="AQ35" s="193">
        <v>6.41</v>
      </c>
      <c r="AR35" s="194">
        <v>-20.61</v>
      </c>
      <c r="AS35" s="192" t="s">
        <v>108</v>
      </c>
      <c r="AT35" s="193" t="s">
        <v>108</v>
      </c>
      <c r="AU35" s="194" t="s">
        <v>108</v>
      </c>
      <c r="AV35" s="192" t="s">
        <v>108</v>
      </c>
      <c r="AW35" s="193" t="s">
        <v>108</v>
      </c>
      <c r="AX35" s="194" t="s">
        <v>108</v>
      </c>
      <c r="AY35" s="192">
        <v>93.642780227194493</v>
      </c>
      <c r="AZ35" s="193">
        <v>-0.76</v>
      </c>
      <c r="BA35" s="194">
        <v>-6.46</v>
      </c>
      <c r="BB35" s="192">
        <v>95.691508625849934</v>
      </c>
      <c r="BC35" s="193">
        <v>2.5</v>
      </c>
      <c r="BD35" s="194">
        <v>-5.15</v>
      </c>
      <c r="BE35" s="192">
        <v>106.21787483860128</v>
      </c>
      <c r="BF35" s="193">
        <v>14.36</v>
      </c>
      <c r="BG35" s="194">
        <v>7.61</v>
      </c>
      <c r="BH35" s="192">
        <v>101.86116478258511</v>
      </c>
      <c r="BI35" s="193">
        <v>5.33</v>
      </c>
      <c r="BJ35" s="194">
        <v>5.3</v>
      </c>
      <c r="BK35" s="192">
        <v>93.00556395707072</v>
      </c>
      <c r="BL35" s="193">
        <v>-4.45</v>
      </c>
      <c r="BM35" s="194">
        <v>-6.46</v>
      </c>
      <c r="BN35" s="192">
        <v>84.473785476149899</v>
      </c>
      <c r="BO35" s="193">
        <v>-4.58</v>
      </c>
      <c r="BP35" s="194">
        <v>-16.98</v>
      </c>
      <c r="BQ35" s="192">
        <v>71.363003612720576</v>
      </c>
      <c r="BR35" s="193">
        <v>-4.68</v>
      </c>
      <c r="BS35" s="194">
        <v>-27.24</v>
      </c>
      <c r="BT35" s="192">
        <v>83.62974893376979</v>
      </c>
      <c r="BU35" s="193">
        <v>-14.39</v>
      </c>
      <c r="BV35" s="194">
        <v>-15.59</v>
      </c>
      <c r="BW35" s="192">
        <v>71.148025428768932</v>
      </c>
      <c r="BX35" s="193">
        <v>-10.43</v>
      </c>
      <c r="BY35" s="194">
        <v>-25.54</v>
      </c>
      <c r="BZ35" s="192">
        <v>75.576213731784478</v>
      </c>
      <c r="CA35" s="193">
        <v>0</v>
      </c>
      <c r="CB35" s="194">
        <v>-22.63</v>
      </c>
    </row>
    <row r="36" spans="1:80" s="109" customFormat="1" x14ac:dyDescent="0.3">
      <c r="A36" s="101"/>
      <c r="B36" s="96" t="s">
        <v>8</v>
      </c>
      <c r="C36" s="131">
        <v>86.554233130244057</v>
      </c>
      <c r="D36" s="131">
        <v>-0.66</v>
      </c>
      <c r="E36" s="191">
        <v>-13.13</v>
      </c>
      <c r="F36" s="97">
        <v>84.408550066473921</v>
      </c>
      <c r="G36" s="131">
        <v>-0.31</v>
      </c>
      <c r="H36" s="191">
        <v>-14.95</v>
      </c>
      <c r="I36" s="97">
        <v>85.8168061986471</v>
      </c>
      <c r="J36" s="131">
        <v>-0.47</v>
      </c>
      <c r="K36" s="191">
        <v>-13.77</v>
      </c>
      <c r="L36" s="97">
        <v>85.323669945764252</v>
      </c>
      <c r="M36" s="131">
        <v>0.2</v>
      </c>
      <c r="N36" s="191">
        <v>-14.25</v>
      </c>
      <c r="O36" s="97">
        <v>73.834749882816965</v>
      </c>
      <c r="P36" s="131">
        <v>3.47</v>
      </c>
      <c r="Q36" s="191">
        <v>-24.5</v>
      </c>
      <c r="R36" s="97">
        <v>69.564202059791469</v>
      </c>
      <c r="S36" s="131">
        <v>3.19</v>
      </c>
      <c r="T36" s="191">
        <v>-28.45</v>
      </c>
      <c r="U36" s="97">
        <v>93.218011540583205</v>
      </c>
      <c r="V36" s="131">
        <v>2.1</v>
      </c>
      <c r="W36" s="191">
        <v>-6.34</v>
      </c>
      <c r="X36" s="97">
        <v>94.60467762941812</v>
      </c>
      <c r="Y36" s="131">
        <v>-4.5199999999999996</v>
      </c>
      <c r="Z36" s="191">
        <v>-7.87</v>
      </c>
      <c r="AA36" s="97">
        <v>90.794314290861664</v>
      </c>
      <c r="AB36" s="131">
        <v>0.85</v>
      </c>
      <c r="AC36" s="191">
        <v>-6.06</v>
      </c>
      <c r="AD36" s="97">
        <v>82.790183692688061</v>
      </c>
      <c r="AE36" s="131">
        <v>0.13</v>
      </c>
      <c r="AF36" s="191">
        <v>-15.35</v>
      </c>
      <c r="AG36" s="97">
        <v>100.91981466565036</v>
      </c>
      <c r="AH36" s="131">
        <v>-2.04</v>
      </c>
      <c r="AI36" s="191">
        <v>-0.13</v>
      </c>
      <c r="AJ36" s="97">
        <v>95.735875913805501</v>
      </c>
      <c r="AK36" s="131">
        <v>3.46</v>
      </c>
      <c r="AL36" s="191">
        <v>-5.13</v>
      </c>
      <c r="AM36" s="97">
        <v>77.523262097009521</v>
      </c>
      <c r="AN36" s="131">
        <v>-4.28</v>
      </c>
      <c r="AO36" s="191">
        <v>-24.3</v>
      </c>
      <c r="AP36" s="97">
        <v>75.154325265300741</v>
      </c>
      <c r="AQ36" s="131">
        <v>-4.2699999999999996</v>
      </c>
      <c r="AR36" s="191">
        <v>-25.74</v>
      </c>
      <c r="AS36" s="97" t="s">
        <v>108</v>
      </c>
      <c r="AT36" s="131" t="s">
        <v>108</v>
      </c>
      <c r="AU36" s="191" t="s">
        <v>108</v>
      </c>
      <c r="AV36" s="97" t="s">
        <v>108</v>
      </c>
      <c r="AW36" s="131" t="s">
        <v>108</v>
      </c>
      <c r="AX36" s="191" t="s">
        <v>108</v>
      </c>
      <c r="AY36" s="97">
        <v>92.093053741184619</v>
      </c>
      <c r="AZ36" s="131">
        <v>-1.65</v>
      </c>
      <c r="BA36" s="191">
        <v>-9.74</v>
      </c>
      <c r="BB36" s="97">
        <v>95.914529653817937</v>
      </c>
      <c r="BC36" s="131">
        <v>0.23</v>
      </c>
      <c r="BD36" s="191">
        <v>-3.37</v>
      </c>
      <c r="BE36" s="97">
        <v>110.1089066172563</v>
      </c>
      <c r="BF36" s="131">
        <v>3.66</v>
      </c>
      <c r="BG36" s="191">
        <v>9.36</v>
      </c>
      <c r="BH36" s="97">
        <v>104.32885499728579</v>
      </c>
      <c r="BI36" s="131">
        <v>2.42</v>
      </c>
      <c r="BJ36" s="191">
        <v>1.89</v>
      </c>
      <c r="BK36" s="97">
        <v>96.099053612916734</v>
      </c>
      <c r="BL36" s="131">
        <v>3.33</v>
      </c>
      <c r="BM36" s="191">
        <v>0.91</v>
      </c>
      <c r="BN36" s="97">
        <v>91.114935797225783</v>
      </c>
      <c r="BO36" s="131">
        <v>7.86</v>
      </c>
      <c r="BP36" s="191">
        <v>-7.08</v>
      </c>
      <c r="BQ36" s="97">
        <v>70.844512102647812</v>
      </c>
      <c r="BR36" s="131">
        <v>-0.73</v>
      </c>
      <c r="BS36" s="191">
        <v>-26.92</v>
      </c>
      <c r="BT36" s="97">
        <v>83.21737413534278</v>
      </c>
      <c r="BU36" s="131">
        <v>-0.49</v>
      </c>
      <c r="BV36" s="191">
        <v>-16.809999999999999</v>
      </c>
      <c r="BW36" s="97">
        <v>74.922217227882513</v>
      </c>
      <c r="BX36" s="131">
        <v>5.3</v>
      </c>
      <c r="BY36" s="191">
        <v>-25.09</v>
      </c>
      <c r="BZ36" s="97">
        <v>75.576213731784478</v>
      </c>
      <c r="CA36" s="131">
        <v>0</v>
      </c>
      <c r="CB36" s="191">
        <v>-22.06</v>
      </c>
    </row>
    <row r="37" spans="1:80" s="109" customFormat="1" x14ac:dyDescent="0.3">
      <c r="A37" s="101"/>
      <c r="B37" s="111" t="s">
        <v>9</v>
      </c>
      <c r="C37" s="193">
        <v>87.741835221424452</v>
      </c>
      <c r="D37" s="193">
        <v>1.37</v>
      </c>
      <c r="E37" s="194">
        <v>-12.55</v>
      </c>
      <c r="F37" s="192">
        <v>84.068347465998144</v>
      </c>
      <c r="G37" s="193">
        <v>-0.4</v>
      </c>
      <c r="H37" s="194">
        <v>-14.56</v>
      </c>
      <c r="I37" s="192">
        <v>82.154238040147263</v>
      </c>
      <c r="J37" s="193">
        <v>-4.2699999999999996</v>
      </c>
      <c r="K37" s="194">
        <v>-18.850000000000001</v>
      </c>
      <c r="L37" s="192">
        <v>79.70226240832973</v>
      </c>
      <c r="M37" s="193">
        <v>-6.59</v>
      </c>
      <c r="N37" s="194">
        <v>-18.37</v>
      </c>
      <c r="O37" s="192">
        <v>69.177279392272283</v>
      </c>
      <c r="P37" s="193">
        <v>-6.31</v>
      </c>
      <c r="Q37" s="194">
        <v>-30.41</v>
      </c>
      <c r="R37" s="192">
        <v>72.957172071748928</v>
      </c>
      <c r="S37" s="193">
        <v>4.88</v>
      </c>
      <c r="T37" s="194">
        <v>-25.99</v>
      </c>
      <c r="U37" s="192">
        <v>89.285646607658791</v>
      </c>
      <c r="V37" s="193">
        <v>-4.22</v>
      </c>
      <c r="W37" s="194">
        <v>-8.07</v>
      </c>
      <c r="X37" s="192">
        <v>95.543508115142131</v>
      </c>
      <c r="Y37" s="193">
        <v>0.99</v>
      </c>
      <c r="Z37" s="194">
        <v>0.1</v>
      </c>
      <c r="AA37" s="192">
        <v>95.08430489257637</v>
      </c>
      <c r="AB37" s="193">
        <v>4.72</v>
      </c>
      <c r="AC37" s="194">
        <v>-2.14</v>
      </c>
      <c r="AD37" s="192">
        <v>85.830685256829057</v>
      </c>
      <c r="AE37" s="193">
        <v>3.67</v>
      </c>
      <c r="AF37" s="194">
        <v>-12.96</v>
      </c>
      <c r="AG37" s="192">
        <v>101.36041018852382</v>
      </c>
      <c r="AH37" s="193">
        <v>0.44</v>
      </c>
      <c r="AI37" s="194">
        <v>2.84</v>
      </c>
      <c r="AJ37" s="192">
        <v>96.605182865962121</v>
      </c>
      <c r="AK37" s="193">
        <v>0.91</v>
      </c>
      <c r="AL37" s="194">
        <v>-2.15</v>
      </c>
      <c r="AM37" s="192">
        <v>86.45404307646659</v>
      </c>
      <c r="AN37" s="193">
        <v>11.52</v>
      </c>
      <c r="AO37" s="194">
        <v>-16.62</v>
      </c>
      <c r="AP37" s="192">
        <v>78.322439295097226</v>
      </c>
      <c r="AQ37" s="193">
        <v>4.22</v>
      </c>
      <c r="AR37" s="194">
        <v>-22.65</v>
      </c>
      <c r="AS37" s="192" t="s">
        <v>108</v>
      </c>
      <c r="AT37" s="193" t="s">
        <v>108</v>
      </c>
      <c r="AU37" s="194" t="s">
        <v>108</v>
      </c>
      <c r="AV37" s="192" t="s">
        <v>108</v>
      </c>
      <c r="AW37" s="193" t="s">
        <v>108</v>
      </c>
      <c r="AX37" s="194" t="s">
        <v>108</v>
      </c>
      <c r="AY37" s="192">
        <v>97.333105083667078</v>
      </c>
      <c r="AZ37" s="193">
        <v>5.69</v>
      </c>
      <c r="BA37" s="194">
        <v>-2.4300000000000002</v>
      </c>
      <c r="BB37" s="192">
        <v>95.948855535822602</v>
      </c>
      <c r="BC37" s="193">
        <v>0.04</v>
      </c>
      <c r="BD37" s="194">
        <v>-3.38</v>
      </c>
      <c r="BE37" s="192">
        <v>109.5631370378951</v>
      </c>
      <c r="BF37" s="193">
        <v>-0.5</v>
      </c>
      <c r="BG37" s="194">
        <v>8.27</v>
      </c>
      <c r="BH37" s="192">
        <v>106.10036837384908</v>
      </c>
      <c r="BI37" s="193">
        <v>1.7</v>
      </c>
      <c r="BJ37" s="194">
        <v>6.46</v>
      </c>
      <c r="BK37" s="192">
        <v>92.419108454479868</v>
      </c>
      <c r="BL37" s="193">
        <v>-3.83</v>
      </c>
      <c r="BM37" s="194">
        <v>-1.96</v>
      </c>
      <c r="BN37" s="192">
        <v>85.185421356782584</v>
      </c>
      <c r="BO37" s="193">
        <v>-6.51</v>
      </c>
      <c r="BP37" s="194">
        <v>-10.46</v>
      </c>
      <c r="BQ37" s="192">
        <v>73.447853826427661</v>
      </c>
      <c r="BR37" s="193">
        <v>3.67</v>
      </c>
      <c r="BS37" s="194">
        <v>-26.89</v>
      </c>
      <c r="BT37" s="192">
        <v>88.238408824791861</v>
      </c>
      <c r="BU37" s="193">
        <v>6.03</v>
      </c>
      <c r="BV37" s="194">
        <v>-11.88</v>
      </c>
      <c r="BW37" s="192">
        <v>68.662030382753841</v>
      </c>
      <c r="BX37" s="193">
        <v>-8.36</v>
      </c>
      <c r="BY37" s="194">
        <v>-30.68</v>
      </c>
      <c r="BZ37" s="192">
        <v>75.576213731784478</v>
      </c>
      <c r="CA37" s="193">
        <v>0</v>
      </c>
      <c r="CB37" s="194">
        <v>-25.65</v>
      </c>
    </row>
    <row r="38" spans="1:80" s="109" customFormat="1" x14ac:dyDescent="0.3">
      <c r="A38" s="101"/>
      <c r="B38" s="96" t="s">
        <v>10</v>
      </c>
      <c r="C38" s="131">
        <v>90.275741017764545</v>
      </c>
      <c r="D38" s="131">
        <v>2.89</v>
      </c>
      <c r="E38" s="191">
        <v>-8.27</v>
      </c>
      <c r="F38" s="97">
        <v>86.55182165104145</v>
      </c>
      <c r="G38" s="131">
        <v>2.95</v>
      </c>
      <c r="H38" s="191">
        <v>-11.01</v>
      </c>
      <c r="I38" s="97">
        <v>84.513558058335391</v>
      </c>
      <c r="J38" s="131">
        <v>2.87</v>
      </c>
      <c r="K38" s="191">
        <v>-15.25</v>
      </c>
      <c r="L38" s="97">
        <v>83.828831527552623</v>
      </c>
      <c r="M38" s="131">
        <v>5.18</v>
      </c>
      <c r="N38" s="191">
        <v>-16.149999999999999</v>
      </c>
      <c r="O38" s="97">
        <v>80.078284100201969</v>
      </c>
      <c r="P38" s="131">
        <v>15.76</v>
      </c>
      <c r="Q38" s="191">
        <v>-16.11</v>
      </c>
      <c r="R38" s="97">
        <v>73.267849090267191</v>
      </c>
      <c r="S38" s="131">
        <v>0.43</v>
      </c>
      <c r="T38" s="191">
        <v>-22.98</v>
      </c>
      <c r="U38" s="97">
        <v>97.489868704898171</v>
      </c>
      <c r="V38" s="131">
        <v>9.19</v>
      </c>
      <c r="W38" s="191">
        <v>3.17</v>
      </c>
      <c r="X38" s="97">
        <v>102.15567841685318</v>
      </c>
      <c r="Y38" s="131">
        <v>6.92</v>
      </c>
      <c r="Z38" s="191">
        <v>12.64</v>
      </c>
      <c r="AA38" s="97">
        <v>94.651044941434193</v>
      </c>
      <c r="AB38" s="131">
        <v>-0.46</v>
      </c>
      <c r="AC38" s="191">
        <v>-4.24</v>
      </c>
      <c r="AD38" s="97">
        <v>88.947435445048072</v>
      </c>
      <c r="AE38" s="131">
        <v>3.63</v>
      </c>
      <c r="AF38" s="191">
        <v>-9.0500000000000007</v>
      </c>
      <c r="AG38" s="97">
        <v>101.10232757318209</v>
      </c>
      <c r="AH38" s="131">
        <v>-0.25</v>
      </c>
      <c r="AI38" s="191">
        <v>9.7200000000000006</v>
      </c>
      <c r="AJ38" s="97">
        <v>88.066246929079128</v>
      </c>
      <c r="AK38" s="131">
        <v>-8.84</v>
      </c>
      <c r="AL38" s="191">
        <v>-4.22</v>
      </c>
      <c r="AM38" s="97">
        <v>86.943852674101734</v>
      </c>
      <c r="AN38" s="131">
        <v>0.56999999999999995</v>
      </c>
      <c r="AO38" s="191">
        <v>-12.59</v>
      </c>
      <c r="AP38" s="97">
        <v>83.107644599255252</v>
      </c>
      <c r="AQ38" s="131">
        <v>6.11</v>
      </c>
      <c r="AR38" s="191">
        <v>-16.21</v>
      </c>
      <c r="AS38" s="97" t="s">
        <v>108</v>
      </c>
      <c r="AT38" s="131" t="s">
        <v>108</v>
      </c>
      <c r="AU38" s="191" t="s">
        <v>108</v>
      </c>
      <c r="AV38" s="97" t="s">
        <v>108</v>
      </c>
      <c r="AW38" s="131" t="s">
        <v>108</v>
      </c>
      <c r="AX38" s="191" t="s">
        <v>108</v>
      </c>
      <c r="AY38" s="97">
        <v>103.03885487177462</v>
      </c>
      <c r="AZ38" s="131">
        <v>5.86</v>
      </c>
      <c r="BA38" s="191">
        <v>4.32</v>
      </c>
      <c r="BB38" s="97">
        <v>96.003615428225487</v>
      </c>
      <c r="BC38" s="131">
        <v>0.06</v>
      </c>
      <c r="BD38" s="191">
        <v>-4.42</v>
      </c>
      <c r="BE38" s="97">
        <v>106.88120576310236</v>
      </c>
      <c r="BF38" s="131">
        <v>-2.4500000000000002</v>
      </c>
      <c r="BG38" s="191">
        <v>5.73</v>
      </c>
      <c r="BH38" s="97">
        <v>102.28772169268636</v>
      </c>
      <c r="BI38" s="131">
        <v>-3.59</v>
      </c>
      <c r="BJ38" s="191">
        <v>1.21</v>
      </c>
      <c r="BK38" s="97">
        <v>95.541615132084573</v>
      </c>
      <c r="BL38" s="131">
        <v>3.38</v>
      </c>
      <c r="BM38" s="191">
        <v>-0.43</v>
      </c>
      <c r="BN38" s="97">
        <v>88.607054826442692</v>
      </c>
      <c r="BO38" s="131">
        <v>4.0199999999999996</v>
      </c>
      <c r="BP38" s="191">
        <v>-4.08</v>
      </c>
      <c r="BQ38" s="97">
        <v>73.027422428774599</v>
      </c>
      <c r="BR38" s="131">
        <v>-0.56999999999999995</v>
      </c>
      <c r="BS38" s="191">
        <v>-26.95</v>
      </c>
      <c r="BT38" s="97">
        <v>87.356165040459302</v>
      </c>
      <c r="BU38" s="131">
        <v>-1</v>
      </c>
      <c r="BV38" s="191">
        <v>-12.07</v>
      </c>
      <c r="BW38" s="97">
        <v>77.041777710746288</v>
      </c>
      <c r="BX38" s="131">
        <v>12.2</v>
      </c>
      <c r="BY38" s="191">
        <v>-24.84</v>
      </c>
      <c r="BZ38" s="97">
        <v>75.576213731784478</v>
      </c>
      <c r="CA38" s="131">
        <v>0</v>
      </c>
      <c r="CB38" s="191">
        <v>-22.8</v>
      </c>
    </row>
    <row r="39" spans="1:80" s="109" customFormat="1" x14ac:dyDescent="0.3">
      <c r="A39" s="101"/>
      <c r="B39" s="111" t="s">
        <v>11</v>
      </c>
      <c r="C39" s="193">
        <v>90.488637557460791</v>
      </c>
      <c r="D39" s="193">
        <v>0.24</v>
      </c>
      <c r="E39" s="194">
        <v>-9.41</v>
      </c>
      <c r="F39" s="192">
        <v>86.626108609831903</v>
      </c>
      <c r="G39" s="193">
        <v>0.09</v>
      </c>
      <c r="H39" s="194">
        <v>-11.08</v>
      </c>
      <c r="I39" s="192">
        <v>84.702384495627754</v>
      </c>
      <c r="J39" s="193">
        <v>0.22</v>
      </c>
      <c r="K39" s="194">
        <v>-16.670000000000002</v>
      </c>
      <c r="L39" s="192">
        <v>82.270776630911357</v>
      </c>
      <c r="M39" s="193">
        <v>-1.86</v>
      </c>
      <c r="N39" s="194">
        <v>-17.5</v>
      </c>
      <c r="O39" s="192">
        <v>81.08399108226304</v>
      </c>
      <c r="P39" s="193">
        <v>1.26</v>
      </c>
      <c r="Q39" s="194">
        <v>-16.63</v>
      </c>
      <c r="R39" s="192">
        <v>76.514852385420426</v>
      </c>
      <c r="S39" s="193">
        <v>4.43</v>
      </c>
      <c r="T39" s="194">
        <v>-19.09</v>
      </c>
      <c r="U39" s="192">
        <v>99.352874732632799</v>
      </c>
      <c r="V39" s="193">
        <v>1.91</v>
      </c>
      <c r="W39" s="194">
        <v>1.97</v>
      </c>
      <c r="X39" s="192">
        <v>100.94377554452949</v>
      </c>
      <c r="Y39" s="193">
        <v>-1.19</v>
      </c>
      <c r="Z39" s="194">
        <v>2.93</v>
      </c>
      <c r="AA39" s="192">
        <v>94.530686754221207</v>
      </c>
      <c r="AB39" s="193">
        <v>-0.13</v>
      </c>
      <c r="AC39" s="194">
        <v>-4.93</v>
      </c>
      <c r="AD39" s="192">
        <v>92.874652815974983</v>
      </c>
      <c r="AE39" s="193">
        <v>4.42</v>
      </c>
      <c r="AF39" s="194">
        <v>-2.9</v>
      </c>
      <c r="AG39" s="192">
        <v>102.39993455227425</v>
      </c>
      <c r="AH39" s="193">
        <v>1.28</v>
      </c>
      <c r="AI39" s="194">
        <v>3.02</v>
      </c>
      <c r="AJ39" s="192">
        <v>93.944335901130131</v>
      </c>
      <c r="AK39" s="193">
        <v>6.67</v>
      </c>
      <c r="AL39" s="194">
        <v>-10.65</v>
      </c>
      <c r="AM39" s="192">
        <v>84.398471000255242</v>
      </c>
      <c r="AN39" s="193">
        <v>-2.93</v>
      </c>
      <c r="AO39" s="194">
        <v>-15.38</v>
      </c>
      <c r="AP39" s="192">
        <v>83.702172062615162</v>
      </c>
      <c r="AQ39" s="193">
        <v>0.72</v>
      </c>
      <c r="AR39" s="194">
        <v>-12.61</v>
      </c>
      <c r="AS39" s="192" t="s">
        <v>108</v>
      </c>
      <c r="AT39" s="193" t="s">
        <v>108</v>
      </c>
      <c r="AU39" s="194" t="s">
        <v>108</v>
      </c>
      <c r="AV39" s="192" t="s">
        <v>108</v>
      </c>
      <c r="AW39" s="193" t="s">
        <v>108</v>
      </c>
      <c r="AX39" s="194" t="s">
        <v>108</v>
      </c>
      <c r="AY39" s="192">
        <v>101.77949135403806</v>
      </c>
      <c r="AZ39" s="193">
        <v>-1.22</v>
      </c>
      <c r="BA39" s="194">
        <v>3.11</v>
      </c>
      <c r="BB39" s="192">
        <v>97.893690445679056</v>
      </c>
      <c r="BC39" s="193">
        <v>1.97</v>
      </c>
      <c r="BD39" s="194">
        <v>-0.17</v>
      </c>
      <c r="BE39" s="192">
        <v>110.90806915595763</v>
      </c>
      <c r="BF39" s="193">
        <v>3.77</v>
      </c>
      <c r="BG39" s="194">
        <v>11.13</v>
      </c>
      <c r="BH39" s="192">
        <v>102.24460861063469</v>
      </c>
      <c r="BI39" s="193">
        <v>-0.04</v>
      </c>
      <c r="BJ39" s="194">
        <v>2.54</v>
      </c>
      <c r="BK39" s="192">
        <v>98.677997576693372</v>
      </c>
      <c r="BL39" s="193">
        <v>3.28</v>
      </c>
      <c r="BM39" s="194">
        <v>-2.1</v>
      </c>
      <c r="BN39" s="192">
        <v>90.901915255520066</v>
      </c>
      <c r="BO39" s="193">
        <v>2.59</v>
      </c>
      <c r="BP39" s="194">
        <v>-7.44</v>
      </c>
      <c r="BQ39" s="192">
        <v>74.497688758565914</v>
      </c>
      <c r="BR39" s="193">
        <v>2.0099999999999998</v>
      </c>
      <c r="BS39" s="194">
        <v>-28.03</v>
      </c>
      <c r="BT39" s="192">
        <v>85.676661940810774</v>
      </c>
      <c r="BU39" s="193">
        <v>-1.92</v>
      </c>
      <c r="BV39" s="194">
        <v>-16.61</v>
      </c>
      <c r="BW39" s="192">
        <v>78.826581971605819</v>
      </c>
      <c r="BX39" s="193">
        <v>2.3199999999999998</v>
      </c>
      <c r="BY39" s="194">
        <v>-19.47</v>
      </c>
      <c r="BZ39" s="192">
        <v>84.184018092316705</v>
      </c>
      <c r="CA39" s="193">
        <v>11.39</v>
      </c>
      <c r="CB39" s="194">
        <v>-15.58</v>
      </c>
    </row>
    <row r="40" spans="1:80" s="109" customFormat="1" x14ac:dyDescent="0.3">
      <c r="A40" s="101"/>
      <c r="B40" s="96" t="s">
        <v>12</v>
      </c>
      <c r="C40" s="131">
        <v>89.629088959645657</v>
      </c>
      <c r="D40" s="131">
        <v>-0.95</v>
      </c>
      <c r="E40" s="191">
        <v>-10.69</v>
      </c>
      <c r="F40" s="97">
        <v>86.825122046508028</v>
      </c>
      <c r="G40" s="131">
        <v>0.23</v>
      </c>
      <c r="H40" s="191">
        <v>-11.64</v>
      </c>
      <c r="I40" s="97">
        <v>83.898177908697647</v>
      </c>
      <c r="J40" s="131">
        <v>-0.95</v>
      </c>
      <c r="K40" s="191">
        <v>-16.88</v>
      </c>
      <c r="L40" s="97">
        <v>80.353164841892351</v>
      </c>
      <c r="M40" s="131">
        <v>-2.33</v>
      </c>
      <c r="N40" s="191">
        <v>-19.989999999999998</v>
      </c>
      <c r="O40" s="97">
        <v>76.81143011813937</v>
      </c>
      <c r="P40" s="131">
        <v>-5.27</v>
      </c>
      <c r="Q40" s="191">
        <v>-23.25</v>
      </c>
      <c r="R40" s="97">
        <v>78.175073206188074</v>
      </c>
      <c r="S40" s="131">
        <v>2.17</v>
      </c>
      <c r="T40" s="191">
        <v>-19.010000000000002</v>
      </c>
      <c r="U40" s="97">
        <v>101.16261971565805</v>
      </c>
      <c r="V40" s="131">
        <v>1.82</v>
      </c>
      <c r="W40" s="191">
        <v>-1.1100000000000001</v>
      </c>
      <c r="X40" s="97">
        <v>101.57314988732962</v>
      </c>
      <c r="Y40" s="131">
        <v>0.62</v>
      </c>
      <c r="Z40" s="191">
        <v>3.37</v>
      </c>
      <c r="AA40" s="97">
        <v>91.473939527043484</v>
      </c>
      <c r="AB40" s="131">
        <v>-3.23</v>
      </c>
      <c r="AC40" s="191">
        <v>-9.6</v>
      </c>
      <c r="AD40" s="97">
        <v>92.396353226209058</v>
      </c>
      <c r="AE40" s="131">
        <v>-0.51</v>
      </c>
      <c r="AF40" s="191">
        <v>-3.62</v>
      </c>
      <c r="AG40" s="97">
        <v>103.60833293450979</v>
      </c>
      <c r="AH40" s="131">
        <v>1.18</v>
      </c>
      <c r="AI40" s="191">
        <v>2.94</v>
      </c>
      <c r="AJ40" s="97">
        <v>92.353086832993725</v>
      </c>
      <c r="AK40" s="131">
        <v>-1.69</v>
      </c>
      <c r="AL40" s="191">
        <v>-4.9000000000000004</v>
      </c>
      <c r="AM40" s="97">
        <v>85.284709401108515</v>
      </c>
      <c r="AN40" s="131">
        <v>1.05</v>
      </c>
      <c r="AO40" s="191">
        <v>-13.25</v>
      </c>
      <c r="AP40" s="97">
        <v>84.072736197352668</v>
      </c>
      <c r="AQ40" s="131">
        <v>0.44</v>
      </c>
      <c r="AR40" s="191">
        <v>-14.94</v>
      </c>
      <c r="AS40" s="97">
        <v>124.06280562298086</v>
      </c>
      <c r="AT40" s="131"/>
      <c r="AU40" s="191">
        <v>30.86</v>
      </c>
      <c r="AV40" s="97">
        <v>82.302576071733114</v>
      </c>
      <c r="AW40" s="131"/>
      <c r="AX40" s="191">
        <v>-15.07</v>
      </c>
      <c r="AY40" s="97">
        <v>105.19031407139545</v>
      </c>
      <c r="AZ40" s="131">
        <v>3.35</v>
      </c>
      <c r="BA40" s="191">
        <v>4.88</v>
      </c>
      <c r="BB40" s="97">
        <v>96.650788258524528</v>
      </c>
      <c r="BC40" s="131">
        <v>-1.27</v>
      </c>
      <c r="BD40" s="191">
        <v>-2.19</v>
      </c>
      <c r="BE40" s="97">
        <v>111.21892450221613</v>
      </c>
      <c r="BF40" s="131">
        <v>0.28000000000000003</v>
      </c>
      <c r="BG40" s="191">
        <v>10.93</v>
      </c>
      <c r="BH40" s="97">
        <v>103.1220517740671</v>
      </c>
      <c r="BI40" s="131">
        <v>0.86</v>
      </c>
      <c r="BJ40" s="191">
        <v>3.19</v>
      </c>
      <c r="BK40" s="97">
        <v>99.686774146376308</v>
      </c>
      <c r="BL40" s="131">
        <v>1.02</v>
      </c>
      <c r="BM40" s="191">
        <v>0.17</v>
      </c>
      <c r="BN40" s="97">
        <v>92.6771318876294</v>
      </c>
      <c r="BO40" s="131">
        <v>1.95</v>
      </c>
      <c r="BP40" s="191">
        <v>-4.0999999999999996</v>
      </c>
      <c r="BQ40" s="97">
        <v>71.82088744805823</v>
      </c>
      <c r="BR40" s="131">
        <v>-3.59</v>
      </c>
      <c r="BS40" s="191">
        <v>-30.86</v>
      </c>
      <c r="BT40" s="97">
        <v>88.149686722168155</v>
      </c>
      <c r="BU40" s="131">
        <v>2.89</v>
      </c>
      <c r="BV40" s="191">
        <v>-13.21</v>
      </c>
      <c r="BW40" s="97">
        <v>74.888575003269835</v>
      </c>
      <c r="BX40" s="131">
        <v>-5</v>
      </c>
      <c r="BY40" s="191">
        <v>-22.19</v>
      </c>
      <c r="BZ40" s="97">
        <v>84.482406364511149</v>
      </c>
      <c r="CA40" s="131">
        <v>0.35</v>
      </c>
      <c r="CB40" s="191">
        <v>-16.55</v>
      </c>
    </row>
    <row r="41" spans="1:80" s="109" customFormat="1" x14ac:dyDescent="0.3">
      <c r="A41" s="101"/>
      <c r="B41" s="111" t="s">
        <v>13</v>
      </c>
      <c r="C41" s="193">
        <v>91.475106318538352</v>
      </c>
      <c r="D41" s="193">
        <v>2.06</v>
      </c>
      <c r="E41" s="194">
        <v>-12</v>
      </c>
      <c r="F41" s="192">
        <v>92.832135005262032</v>
      </c>
      <c r="G41" s="193">
        <v>6.92</v>
      </c>
      <c r="H41" s="194">
        <v>-13.25</v>
      </c>
      <c r="I41" s="192">
        <v>80.335288828092459</v>
      </c>
      <c r="J41" s="193">
        <v>-4.25</v>
      </c>
      <c r="K41" s="194">
        <v>-17.690000000000001</v>
      </c>
      <c r="L41" s="192">
        <v>77.990717240059041</v>
      </c>
      <c r="M41" s="193">
        <v>-2.94</v>
      </c>
      <c r="N41" s="194">
        <v>-19.18</v>
      </c>
      <c r="O41" s="192">
        <v>85.288707958104894</v>
      </c>
      <c r="P41" s="193">
        <v>11.04</v>
      </c>
      <c r="Q41" s="194">
        <v>-25.95</v>
      </c>
      <c r="R41" s="192">
        <v>86.805524808783318</v>
      </c>
      <c r="S41" s="193">
        <v>11.04</v>
      </c>
      <c r="T41" s="194">
        <v>-24.22</v>
      </c>
      <c r="U41" s="192">
        <v>111.50839159125425</v>
      </c>
      <c r="V41" s="193">
        <v>10.23</v>
      </c>
      <c r="W41" s="194">
        <v>3.21</v>
      </c>
      <c r="X41" s="192">
        <v>112.95854038613827</v>
      </c>
      <c r="Y41" s="193">
        <v>11.21</v>
      </c>
      <c r="Z41" s="194">
        <v>4.91</v>
      </c>
      <c r="AA41" s="192">
        <v>94.864751325707815</v>
      </c>
      <c r="AB41" s="193">
        <v>3.71</v>
      </c>
      <c r="AC41" s="194">
        <v>-7.89</v>
      </c>
      <c r="AD41" s="192">
        <v>99.577011057542137</v>
      </c>
      <c r="AE41" s="193">
        <v>7.77</v>
      </c>
      <c r="AF41" s="194">
        <v>-3.61</v>
      </c>
      <c r="AG41" s="192">
        <v>111.96200236333804</v>
      </c>
      <c r="AH41" s="193">
        <v>8.06</v>
      </c>
      <c r="AI41" s="194">
        <v>7.09</v>
      </c>
      <c r="AJ41" s="192">
        <v>102.17237493111817</v>
      </c>
      <c r="AK41" s="193">
        <v>10.63</v>
      </c>
      <c r="AL41" s="194">
        <v>-6.69</v>
      </c>
      <c r="AM41" s="192">
        <v>87.775346709773885</v>
      </c>
      <c r="AN41" s="193">
        <v>2.92</v>
      </c>
      <c r="AO41" s="194">
        <v>-16.059999999999999</v>
      </c>
      <c r="AP41" s="192">
        <v>90.067936449753688</v>
      </c>
      <c r="AQ41" s="193">
        <v>7.13</v>
      </c>
      <c r="AR41" s="194">
        <v>-14.48</v>
      </c>
      <c r="AS41" s="192">
        <v>140.77292643865042</v>
      </c>
      <c r="AT41" s="193">
        <v>13.47</v>
      </c>
      <c r="AU41" s="194">
        <v>39.619999999999997</v>
      </c>
      <c r="AV41" s="192">
        <v>95.423790512094456</v>
      </c>
      <c r="AW41" s="193">
        <v>15.94</v>
      </c>
      <c r="AX41" s="194">
        <v>-13.39</v>
      </c>
      <c r="AY41" s="192">
        <v>106.10632060548284</v>
      </c>
      <c r="AZ41" s="193">
        <v>0.87</v>
      </c>
      <c r="BA41" s="194">
        <v>0.98</v>
      </c>
      <c r="BB41" s="192">
        <v>105.70891254115485</v>
      </c>
      <c r="BC41" s="193">
        <v>9.3699999999999992</v>
      </c>
      <c r="BD41" s="194">
        <v>-2.17</v>
      </c>
      <c r="BE41" s="192">
        <v>113.77552059242058</v>
      </c>
      <c r="BF41" s="193">
        <v>2.2999999999999998</v>
      </c>
      <c r="BG41" s="194">
        <v>10.16</v>
      </c>
      <c r="BH41" s="192">
        <v>104.4523134540029</v>
      </c>
      <c r="BI41" s="193">
        <v>1.29</v>
      </c>
      <c r="BJ41" s="194">
        <v>5.0999999999999996</v>
      </c>
      <c r="BK41" s="192">
        <v>105.99853619152661</v>
      </c>
      <c r="BL41" s="193">
        <v>6.33</v>
      </c>
      <c r="BM41" s="194">
        <v>0.34</v>
      </c>
      <c r="BN41" s="192">
        <v>92.761650482619103</v>
      </c>
      <c r="BO41" s="193">
        <v>0.09</v>
      </c>
      <c r="BP41" s="194">
        <v>-12.57</v>
      </c>
      <c r="BQ41" s="192">
        <v>76.489822234630196</v>
      </c>
      <c r="BR41" s="193">
        <v>6.5</v>
      </c>
      <c r="BS41" s="194">
        <v>-27.61</v>
      </c>
      <c r="BT41" s="192">
        <v>95.286086405826936</v>
      </c>
      <c r="BU41" s="193">
        <v>8.1</v>
      </c>
      <c r="BV41" s="194">
        <v>-10.27</v>
      </c>
      <c r="BW41" s="192">
        <v>81.801854660805603</v>
      </c>
      <c r="BX41" s="193">
        <v>9.23</v>
      </c>
      <c r="BY41" s="194">
        <v>-17.399999999999999</v>
      </c>
      <c r="BZ41" s="192">
        <v>91.264509743608727</v>
      </c>
      <c r="CA41" s="193">
        <v>8.0299999999999994</v>
      </c>
      <c r="CB41" s="194">
        <v>-12.27</v>
      </c>
    </row>
    <row r="42" spans="1:80" s="109" customFormat="1" x14ac:dyDescent="0.3">
      <c r="A42" s="366" t="s">
        <v>124</v>
      </c>
      <c r="B42" s="96" t="s">
        <v>54</v>
      </c>
      <c r="C42" s="131">
        <v>92.069442149812105</v>
      </c>
      <c r="D42" s="131">
        <v>0.65</v>
      </c>
      <c r="E42" s="191">
        <v>-12.91</v>
      </c>
      <c r="F42" s="97">
        <v>94.826099810643086</v>
      </c>
      <c r="G42" s="131">
        <v>2.15</v>
      </c>
      <c r="H42" s="191">
        <v>-14.08</v>
      </c>
      <c r="I42" s="97">
        <v>79.484307406905344</v>
      </c>
      <c r="J42" s="131">
        <v>-1.06</v>
      </c>
      <c r="K42" s="191">
        <v>-19.309999999999999</v>
      </c>
      <c r="L42" s="97">
        <v>78.015066863316477</v>
      </c>
      <c r="M42" s="131">
        <v>0.03</v>
      </c>
      <c r="N42" s="191">
        <v>-18.600000000000001</v>
      </c>
      <c r="O42" s="97">
        <v>90.474346824463325</v>
      </c>
      <c r="P42" s="131">
        <v>6.08</v>
      </c>
      <c r="Q42" s="191">
        <v>-24.55</v>
      </c>
      <c r="R42" s="97">
        <v>92.289603441448776</v>
      </c>
      <c r="S42" s="131">
        <v>6.32</v>
      </c>
      <c r="T42" s="191">
        <v>-23.75</v>
      </c>
      <c r="U42" s="97">
        <v>108.29434072783177</v>
      </c>
      <c r="V42" s="131">
        <v>-2.88</v>
      </c>
      <c r="W42" s="191">
        <v>2.57</v>
      </c>
      <c r="X42" s="97">
        <v>114.60188898459838</v>
      </c>
      <c r="Y42" s="131">
        <v>1.45</v>
      </c>
      <c r="Z42" s="191">
        <v>3.14</v>
      </c>
      <c r="AA42" s="97">
        <v>98.620487514690552</v>
      </c>
      <c r="AB42" s="131">
        <v>3.96</v>
      </c>
      <c r="AC42" s="191">
        <v>-9.08</v>
      </c>
      <c r="AD42" s="97">
        <v>103.18087242107872</v>
      </c>
      <c r="AE42" s="131">
        <v>3.62</v>
      </c>
      <c r="AF42" s="191">
        <v>-4.49</v>
      </c>
      <c r="AG42" s="97">
        <v>115.97497031531377</v>
      </c>
      <c r="AH42" s="131">
        <v>3.58</v>
      </c>
      <c r="AI42" s="191">
        <v>3.6</v>
      </c>
      <c r="AJ42" s="97">
        <v>102.05324721578073</v>
      </c>
      <c r="AK42" s="131">
        <v>-0.12</v>
      </c>
      <c r="AL42" s="191">
        <v>-14.89</v>
      </c>
      <c r="AM42" s="97">
        <v>85.086573335512114</v>
      </c>
      <c r="AN42" s="131">
        <v>-3.06</v>
      </c>
      <c r="AO42" s="191">
        <v>-17.440000000000001</v>
      </c>
      <c r="AP42" s="97">
        <v>90.581970760771071</v>
      </c>
      <c r="AQ42" s="131">
        <v>0.56999999999999995</v>
      </c>
      <c r="AR42" s="191">
        <v>-13.84</v>
      </c>
      <c r="AS42" s="97">
        <v>141.00525394256638</v>
      </c>
      <c r="AT42" s="131">
        <v>0.17</v>
      </c>
      <c r="AU42" s="191">
        <v>26.89</v>
      </c>
      <c r="AV42" s="97">
        <v>92.251127828508316</v>
      </c>
      <c r="AW42" s="131">
        <v>-3.32</v>
      </c>
      <c r="AX42" s="191">
        <v>-20.420000000000002</v>
      </c>
      <c r="AY42" s="97">
        <v>106.27851308203815</v>
      </c>
      <c r="AZ42" s="131">
        <v>0.16</v>
      </c>
      <c r="BA42" s="191">
        <v>1.36</v>
      </c>
      <c r="BB42" s="97">
        <v>108.18995256528032</v>
      </c>
      <c r="BC42" s="131">
        <v>2.35</v>
      </c>
      <c r="BD42" s="191">
        <v>2.77</v>
      </c>
      <c r="BE42" s="97">
        <v>115.04182296072022</v>
      </c>
      <c r="BF42" s="131">
        <v>1.1100000000000001</v>
      </c>
      <c r="BG42" s="191">
        <v>14.67</v>
      </c>
      <c r="BH42" s="97">
        <v>107.89098029754625</v>
      </c>
      <c r="BI42" s="131">
        <v>3.29</v>
      </c>
      <c r="BJ42" s="191">
        <v>4.08</v>
      </c>
      <c r="BK42" s="97">
        <v>103.77305457966453</v>
      </c>
      <c r="BL42" s="131">
        <v>-2.1</v>
      </c>
      <c r="BM42" s="191">
        <v>-2.36</v>
      </c>
      <c r="BN42" s="97">
        <v>93.083834349060751</v>
      </c>
      <c r="BO42" s="131">
        <v>0.35</v>
      </c>
      <c r="BP42" s="191">
        <v>-13.67</v>
      </c>
      <c r="BQ42" s="97">
        <v>76.94827421776985</v>
      </c>
      <c r="BR42" s="131">
        <v>0.6</v>
      </c>
      <c r="BS42" s="191">
        <v>-33.200000000000003</v>
      </c>
      <c r="BT42" s="97">
        <v>99.325048498676466</v>
      </c>
      <c r="BU42" s="131">
        <v>4.24</v>
      </c>
      <c r="BV42" s="191">
        <v>-11.43</v>
      </c>
      <c r="BW42" s="97">
        <v>93.496258142929605</v>
      </c>
      <c r="BX42" s="131">
        <v>14.3</v>
      </c>
      <c r="BY42" s="191">
        <v>-6.17</v>
      </c>
      <c r="BZ42" s="97">
        <v>89.638067265032333</v>
      </c>
      <c r="CA42" s="131">
        <v>-1.78</v>
      </c>
      <c r="CB42" s="191">
        <v>-23.31</v>
      </c>
    </row>
    <row r="43" spans="1:80" s="109" customFormat="1" x14ac:dyDescent="0.3">
      <c r="A43" s="371"/>
      <c r="B43" s="111" t="s">
        <v>48</v>
      </c>
      <c r="C43" s="193">
        <v>89.671014216161311</v>
      </c>
      <c r="D43" s="193">
        <v>-2.61</v>
      </c>
      <c r="E43" s="194">
        <v>-14.24</v>
      </c>
      <c r="F43" s="192">
        <v>87.063048394663667</v>
      </c>
      <c r="G43" s="193">
        <v>-8.19</v>
      </c>
      <c r="H43" s="194">
        <v>-15.85</v>
      </c>
      <c r="I43" s="192">
        <v>78.961935261971576</v>
      </c>
      <c r="J43" s="193">
        <v>-0.66</v>
      </c>
      <c r="K43" s="194">
        <v>-24.05</v>
      </c>
      <c r="L43" s="192">
        <v>77.951565100383462</v>
      </c>
      <c r="M43" s="193">
        <v>-0.08</v>
      </c>
      <c r="N43" s="194">
        <v>-22.59</v>
      </c>
      <c r="O43" s="192">
        <v>82.099159277528898</v>
      </c>
      <c r="P43" s="193">
        <v>-9.26</v>
      </c>
      <c r="Q43" s="194">
        <v>-19.93</v>
      </c>
      <c r="R43" s="192">
        <v>76.021238204867785</v>
      </c>
      <c r="S43" s="193">
        <v>-17.63</v>
      </c>
      <c r="T43" s="194">
        <v>-24.34</v>
      </c>
      <c r="U43" s="192">
        <v>104.09899027237775</v>
      </c>
      <c r="V43" s="193">
        <v>-3.87</v>
      </c>
      <c r="W43" s="194">
        <v>1.28</v>
      </c>
      <c r="X43" s="192">
        <v>102.95270978286923</v>
      </c>
      <c r="Y43" s="193">
        <v>-10.16</v>
      </c>
      <c r="Z43" s="194">
        <v>-1.24</v>
      </c>
      <c r="AA43" s="192">
        <v>91.310661838051942</v>
      </c>
      <c r="AB43" s="193">
        <v>-7.41</v>
      </c>
      <c r="AC43" s="194">
        <v>-24.4</v>
      </c>
      <c r="AD43" s="192">
        <v>95.010443569037633</v>
      </c>
      <c r="AE43" s="193">
        <v>-7.92</v>
      </c>
      <c r="AF43" s="194">
        <v>-14.68</v>
      </c>
      <c r="AG43" s="192">
        <v>109.08935132022843</v>
      </c>
      <c r="AH43" s="193">
        <v>-5.94</v>
      </c>
      <c r="AI43" s="194">
        <v>6.58</v>
      </c>
      <c r="AJ43" s="192">
        <v>90.885548094704475</v>
      </c>
      <c r="AK43" s="193">
        <v>-10.94</v>
      </c>
      <c r="AL43" s="194">
        <v>-14.33</v>
      </c>
      <c r="AM43" s="192">
        <v>86.016747635998215</v>
      </c>
      <c r="AN43" s="193">
        <v>1.0900000000000001</v>
      </c>
      <c r="AO43" s="194">
        <v>-13.17</v>
      </c>
      <c r="AP43" s="192">
        <v>87.561752327727362</v>
      </c>
      <c r="AQ43" s="193">
        <v>-3.33</v>
      </c>
      <c r="AR43" s="194">
        <v>-11.07</v>
      </c>
      <c r="AS43" s="192">
        <v>128.20981369486398</v>
      </c>
      <c r="AT43" s="193">
        <v>-9.07</v>
      </c>
      <c r="AU43" s="194">
        <v>31.98</v>
      </c>
      <c r="AV43" s="192">
        <v>86.772583930934204</v>
      </c>
      <c r="AW43" s="193">
        <v>-5.94</v>
      </c>
      <c r="AX43" s="194">
        <v>-16.399999999999999</v>
      </c>
      <c r="AY43" s="192">
        <v>110.28471906793125</v>
      </c>
      <c r="AZ43" s="193">
        <v>3.77</v>
      </c>
      <c r="BA43" s="194">
        <v>8.69</v>
      </c>
      <c r="BB43" s="192">
        <v>104.33625548679618</v>
      </c>
      <c r="BC43" s="193">
        <v>-3.56</v>
      </c>
      <c r="BD43" s="194">
        <v>2.85</v>
      </c>
      <c r="BE43" s="192">
        <v>115.94449195535523</v>
      </c>
      <c r="BF43" s="193">
        <v>0.78</v>
      </c>
      <c r="BG43" s="194">
        <v>14.4</v>
      </c>
      <c r="BH43" s="192">
        <v>103.27231484702246</v>
      </c>
      <c r="BI43" s="193">
        <v>-4.28</v>
      </c>
      <c r="BJ43" s="194">
        <v>0.88</v>
      </c>
      <c r="BK43" s="192">
        <v>103.21397901279359</v>
      </c>
      <c r="BL43" s="193">
        <v>-0.54</v>
      </c>
      <c r="BM43" s="194">
        <v>-0.22</v>
      </c>
      <c r="BN43" s="192">
        <v>89.821043830296617</v>
      </c>
      <c r="BO43" s="193">
        <v>-3.51</v>
      </c>
      <c r="BP43" s="194">
        <v>-12.32</v>
      </c>
      <c r="BQ43" s="192">
        <v>72.748284041142952</v>
      </c>
      <c r="BR43" s="193">
        <v>-5.46</v>
      </c>
      <c r="BS43" s="194">
        <v>-32</v>
      </c>
      <c r="BT43" s="192">
        <v>92.115577308196805</v>
      </c>
      <c r="BU43" s="193">
        <v>-7.26</v>
      </c>
      <c r="BV43" s="194">
        <v>-12.33</v>
      </c>
      <c r="BW43" s="192">
        <v>83.722091212521718</v>
      </c>
      <c r="BX43" s="193">
        <v>-10.45</v>
      </c>
      <c r="BY43" s="194">
        <v>-18.63</v>
      </c>
      <c r="BZ43" s="192">
        <v>93.695771842002145</v>
      </c>
      <c r="CA43" s="193">
        <v>4.53</v>
      </c>
      <c r="CB43" s="194">
        <v>-16.48</v>
      </c>
    </row>
    <row r="44" spans="1:80" s="109" customFormat="1" x14ac:dyDescent="0.3">
      <c r="A44" s="371"/>
      <c r="B44" s="96" t="s">
        <v>49</v>
      </c>
      <c r="C44" s="131">
        <v>92.020201746330315</v>
      </c>
      <c r="D44" s="131">
        <v>2.62</v>
      </c>
      <c r="E44" s="191">
        <v>-9.31</v>
      </c>
      <c r="F44" s="97">
        <v>90.508422417593138</v>
      </c>
      <c r="G44" s="131">
        <v>3.96</v>
      </c>
      <c r="H44" s="191">
        <v>-9.14</v>
      </c>
      <c r="I44" s="97">
        <v>82.267718815413602</v>
      </c>
      <c r="J44" s="131">
        <v>4.1900000000000004</v>
      </c>
      <c r="K44" s="191">
        <v>-19.16</v>
      </c>
      <c r="L44" s="97">
        <v>79.858809953683775</v>
      </c>
      <c r="M44" s="131">
        <v>2.4500000000000002</v>
      </c>
      <c r="N44" s="191">
        <v>-19.91</v>
      </c>
      <c r="O44" s="97">
        <v>83.772232233579984</v>
      </c>
      <c r="P44" s="131">
        <v>2.04</v>
      </c>
      <c r="Q44" s="191">
        <v>-14.92</v>
      </c>
      <c r="R44" s="97">
        <v>80.338271099259643</v>
      </c>
      <c r="S44" s="131">
        <v>5.68</v>
      </c>
      <c r="T44" s="191">
        <v>-14.99</v>
      </c>
      <c r="U44" s="97">
        <v>108.34282862278089</v>
      </c>
      <c r="V44" s="131">
        <v>4.08</v>
      </c>
      <c r="W44" s="191">
        <v>4.08</v>
      </c>
      <c r="X44" s="97">
        <v>109.5438083720676</v>
      </c>
      <c r="Y44" s="131">
        <v>6.4</v>
      </c>
      <c r="Z44" s="191">
        <v>5.67</v>
      </c>
      <c r="AA44" s="97">
        <v>93.600140174441862</v>
      </c>
      <c r="AB44" s="131">
        <v>2.5099999999999998</v>
      </c>
      <c r="AC44" s="191">
        <v>-10.119999999999999</v>
      </c>
      <c r="AD44" s="97">
        <v>94.874982837065289</v>
      </c>
      <c r="AE44" s="131">
        <v>-0.14000000000000001</v>
      </c>
      <c r="AF44" s="191">
        <v>-2.89</v>
      </c>
      <c r="AG44" s="97">
        <v>107.40754583438384</v>
      </c>
      <c r="AH44" s="131">
        <v>-1.54</v>
      </c>
      <c r="AI44" s="191">
        <v>6.98</v>
      </c>
      <c r="AJ44" s="97">
        <v>99.124592727704069</v>
      </c>
      <c r="AK44" s="131">
        <v>9.07</v>
      </c>
      <c r="AL44" s="191">
        <v>-5</v>
      </c>
      <c r="AM44" s="97">
        <v>88.564091123600079</v>
      </c>
      <c r="AN44" s="131">
        <v>2.96</v>
      </c>
      <c r="AO44" s="191">
        <v>-9.14</v>
      </c>
      <c r="AP44" s="97">
        <v>90.416669346831341</v>
      </c>
      <c r="AQ44" s="131">
        <v>3.26</v>
      </c>
      <c r="AR44" s="191">
        <v>-6.86</v>
      </c>
      <c r="AS44" s="97">
        <v>132.77012676542861</v>
      </c>
      <c r="AT44" s="131">
        <v>3.56</v>
      </c>
      <c r="AU44" s="191">
        <v>35.92</v>
      </c>
      <c r="AV44" s="97">
        <v>91.43559177478943</v>
      </c>
      <c r="AW44" s="131">
        <v>5.37</v>
      </c>
      <c r="AX44" s="191">
        <v>-11.23</v>
      </c>
      <c r="AY44" s="97">
        <v>110.35727588050588</v>
      </c>
      <c r="AZ44" s="131">
        <v>7.0000000000000007E-2</v>
      </c>
      <c r="BA44" s="191">
        <v>8.77</v>
      </c>
      <c r="BB44" s="97">
        <v>108.14442553147028</v>
      </c>
      <c r="BC44" s="131">
        <v>3.65</v>
      </c>
      <c r="BD44" s="191">
        <v>7.6</v>
      </c>
      <c r="BE44" s="97">
        <v>114.44169392255816</v>
      </c>
      <c r="BF44" s="131">
        <v>-1.3</v>
      </c>
      <c r="BG44" s="191">
        <v>11.63</v>
      </c>
      <c r="BH44" s="97">
        <v>108.05728323688371</v>
      </c>
      <c r="BI44" s="131">
        <v>4.63</v>
      </c>
      <c r="BJ44" s="191">
        <v>5.77</v>
      </c>
      <c r="BK44" s="97">
        <v>104.12695217625027</v>
      </c>
      <c r="BL44" s="131">
        <v>0.88</v>
      </c>
      <c r="BM44" s="191">
        <v>2.38</v>
      </c>
      <c r="BN44" s="97">
        <v>91.540905043649587</v>
      </c>
      <c r="BO44" s="131">
        <v>1.91</v>
      </c>
      <c r="BP44" s="191">
        <v>-4.17</v>
      </c>
      <c r="BQ44" s="97">
        <v>71.68739874187861</v>
      </c>
      <c r="BR44" s="131">
        <v>-1.46</v>
      </c>
      <c r="BS44" s="191">
        <v>-28.37</v>
      </c>
      <c r="BT44" s="97">
        <v>90.654545683811534</v>
      </c>
      <c r="BU44" s="131">
        <v>-1.59</v>
      </c>
      <c r="BV44" s="191">
        <v>-9.32</v>
      </c>
      <c r="BW44" s="97">
        <v>86.881005767901243</v>
      </c>
      <c r="BX44" s="131">
        <v>3.77</v>
      </c>
      <c r="BY44" s="191">
        <v>-8.9</v>
      </c>
      <c r="BZ44" s="97">
        <v>86.587628528040781</v>
      </c>
      <c r="CA44" s="131">
        <v>-7.59</v>
      </c>
      <c r="CB44" s="191">
        <v>-7.68</v>
      </c>
    </row>
    <row r="45" spans="1:80" s="109" customFormat="1" x14ac:dyDescent="0.3">
      <c r="A45" s="371"/>
      <c r="B45" s="111" t="s">
        <v>14</v>
      </c>
      <c r="C45" s="193">
        <v>91.520731078334222</v>
      </c>
      <c r="D45" s="193">
        <v>-0.54</v>
      </c>
      <c r="E45" s="194">
        <v>4.3099999999999996</v>
      </c>
      <c r="F45" s="192">
        <v>88.905076122661967</v>
      </c>
      <c r="G45" s="193">
        <v>-1.77</v>
      </c>
      <c r="H45" s="194">
        <v>3.35</v>
      </c>
      <c r="I45" s="192">
        <v>79.204863316262148</v>
      </c>
      <c r="J45" s="193">
        <v>-3.72</v>
      </c>
      <c r="K45" s="194">
        <v>-10.99</v>
      </c>
      <c r="L45" s="192">
        <v>77.222719932378382</v>
      </c>
      <c r="M45" s="193">
        <v>-3.3</v>
      </c>
      <c r="N45" s="194">
        <v>-12.71</v>
      </c>
      <c r="O45" s="192">
        <v>87.427230336078296</v>
      </c>
      <c r="P45" s="193">
        <v>4.3600000000000003</v>
      </c>
      <c r="Q45" s="194">
        <v>17.82</v>
      </c>
      <c r="R45" s="192">
        <v>80.24316500118718</v>
      </c>
      <c r="S45" s="193">
        <v>-0.12</v>
      </c>
      <c r="T45" s="194">
        <v>7.32</v>
      </c>
      <c r="U45" s="192">
        <v>107.33811321720034</v>
      </c>
      <c r="V45" s="193">
        <v>-0.93</v>
      </c>
      <c r="W45" s="194">
        <v>18.420000000000002</v>
      </c>
      <c r="X45" s="192">
        <v>111.06345587270286</v>
      </c>
      <c r="Y45" s="193">
        <v>1.39</v>
      </c>
      <c r="Z45" s="194">
        <v>36.299999999999997</v>
      </c>
      <c r="AA45" s="192">
        <v>91.577378670648699</v>
      </c>
      <c r="AB45" s="193">
        <v>-2.16</v>
      </c>
      <c r="AC45" s="194">
        <v>-0.47</v>
      </c>
      <c r="AD45" s="192">
        <v>92.597834692510844</v>
      </c>
      <c r="AE45" s="193">
        <v>-2.4</v>
      </c>
      <c r="AF45" s="194">
        <v>20.81</v>
      </c>
      <c r="AG45" s="192">
        <v>112.36796701799972</v>
      </c>
      <c r="AH45" s="193">
        <v>4.62</v>
      </c>
      <c r="AI45" s="194">
        <v>19.89</v>
      </c>
      <c r="AJ45" s="192">
        <v>99.087214187141726</v>
      </c>
      <c r="AK45" s="193">
        <v>-0.04</v>
      </c>
      <c r="AL45" s="194">
        <v>-1.43</v>
      </c>
      <c r="AM45" s="192">
        <v>89.947538270888856</v>
      </c>
      <c r="AN45" s="193">
        <v>1.56</v>
      </c>
      <c r="AO45" s="194">
        <v>11.85</v>
      </c>
      <c r="AP45" s="192">
        <v>90.240678659180801</v>
      </c>
      <c r="AQ45" s="193">
        <v>-0.19</v>
      </c>
      <c r="AR45" s="194">
        <v>13.49</v>
      </c>
      <c r="AS45" s="192">
        <v>130.79140687102947</v>
      </c>
      <c r="AT45" s="193">
        <v>-1.49</v>
      </c>
      <c r="AU45" s="194" t="s">
        <v>108</v>
      </c>
      <c r="AV45" s="192">
        <v>85.172216896012415</v>
      </c>
      <c r="AW45" s="193">
        <v>-6.85</v>
      </c>
      <c r="AX45" s="194" t="s">
        <v>108</v>
      </c>
      <c r="AY45" s="192">
        <v>109.68669655362744</v>
      </c>
      <c r="AZ45" s="193">
        <v>-0.61</v>
      </c>
      <c r="BA45" s="194">
        <v>15.43</v>
      </c>
      <c r="BB45" s="192">
        <v>106.24490834155493</v>
      </c>
      <c r="BC45" s="193">
        <v>-1.76</v>
      </c>
      <c r="BD45" s="194">
        <v>11.62</v>
      </c>
      <c r="BE45" s="192">
        <v>115.32388025714275</v>
      </c>
      <c r="BF45" s="193">
        <v>0.77</v>
      </c>
      <c r="BG45" s="194">
        <v>22.18</v>
      </c>
      <c r="BH45" s="192">
        <v>108.61626652112564</v>
      </c>
      <c r="BI45" s="193">
        <v>0.52</v>
      </c>
      <c r="BJ45" s="194">
        <v>13.27</v>
      </c>
      <c r="BK45" s="192">
        <v>102.84654352215358</v>
      </c>
      <c r="BL45" s="193">
        <v>-1.23</v>
      </c>
      <c r="BM45" s="194">
        <v>-5.67</v>
      </c>
      <c r="BN45" s="192">
        <v>93.408734597573144</v>
      </c>
      <c r="BO45" s="193">
        <v>2.04</v>
      </c>
      <c r="BP45" s="194">
        <v>2.19</v>
      </c>
      <c r="BQ45" s="192">
        <v>72.88792422391198</v>
      </c>
      <c r="BR45" s="193">
        <v>1.67</v>
      </c>
      <c r="BS45" s="194">
        <v>-1.53</v>
      </c>
      <c r="BT45" s="192">
        <v>90.866198411191448</v>
      </c>
      <c r="BU45" s="193">
        <v>0.23</v>
      </c>
      <c r="BV45" s="194">
        <v>-1.4</v>
      </c>
      <c r="BW45" s="192">
        <v>84.422567433954271</v>
      </c>
      <c r="BX45" s="193">
        <v>-2.83</v>
      </c>
      <c r="BY45" s="194">
        <v>10.88</v>
      </c>
      <c r="BZ45" s="192">
        <v>106.49691423160164</v>
      </c>
      <c r="CA45" s="193">
        <v>22.99</v>
      </c>
      <c r="CB45" s="194">
        <v>40.909999999999997</v>
      </c>
    </row>
    <row r="46" spans="1:80" s="109" customFormat="1" x14ac:dyDescent="0.3">
      <c r="A46" s="371"/>
      <c r="B46" s="96" t="s">
        <v>15</v>
      </c>
      <c r="C46" s="131">
        <v>89.083855055376588</v>
      </c>
      <c r="D46" s="131">
        <v>-2.66</v>
      </c>
      <c r="E46" s="191">
        <v>2.29</v>
      </c>
      <c r="F46" s="97">
        <v>86.358435840286901</v>
      </c>
      <c r="G46" s="131">
        <v>-2.86</v>
      </c>
      <c r="H46" s="191">
        <v>2.41</v>
      </c>
      <c r="I46" s="97">
        <v>77.6169993173405</v>
      </c>
      <c r="J46" s="131">
        <v>-2</v>
      </c>
      <c r="K46" s="191">
        <v>-14.29</v>
      </c>
      <c r="L46" s="97">
        <v>76.391997620009604</v>
      </c>
      <c r="M46" s="131">
        <v>-1.08</v>
      </c>
      <c r="N46" s="191">
        <v>-11.86</v>
      </c>
      <c r="O46" s="97">
        <v>81.725185696036547</v>
      </c>
      <c r="P46" s="131">
        <v>-6.52</v>
      </c>
      <c r="Q46" s="191">
        <v>12.72</v>
      </c>
      <c r="R46" s="97">
        <v>75.860333157006664</v>
      </c>
      <c r="S46" s="131">
        <v>-5.46</v>
      </c>
      <c r="T46" s="191">
        <v>11.42</v>
      </c>
      <c r="U46" s="97">
        <v>103.82087601562451</v>
      </c>
      <c r="V46" s="131">
        <v>-3.28</v>
      </c>
      <c r="W46" s="191">
        <v>17.399999999999999</v>
      </c>
      <c r="X46" s="97">
        <v>103.0343361228951</v>
      </c>
      <c r="Y46" s="131">
        <v>-7.23</v>
      </c>
      <c r="Z46" s="191">
        <v>24.03</v>
      </c>
      <c r="AA46" s="97">
        <v>90.225940763691796</v>
      </c>
      <c r="AB46" s="131">
        <v>-1.48</v>
      </c>
      <c r="AC46" s="191">
        <v>0.4</v>
      </c>
      <c r="AD46" s="97">
        <v>89.11911681152246</v>
      </c>
      <c r="AE46" s="131">
        <v>-3.76</v>
      </c>
      <c r="AF46" s="191">
        <v>9.77</v>
      </c>
      <c r="AG46" s="97">
        <v>105.60624430032486</v>
      </c>
      <c r="AH46" s="131">
        <v>-6.02</v>
      </c>
      <c r="AI46" s="191">
        <v>18.61</v>
      </c>
      <c r="AJ46" s="97">
        <v>90.655159426381289</v>
      </c>
      <c r="AK46" s="131">
        <v>-8.51</v>
      </c>
      <c r="AL46" s="191">
        <v>-3.29</v>
      </c>
      <c r="AM46" s="97">
        <v>89.894864432360976</v>
      </c>
      <c r="AN46" s="131">
        <v>-0.06</v>
      </c>
      <c r="AO46" s="191">
        <v>17.41</v>
      </c>
      <c r="AP46" s="97">
        <v>87.404922565208381</v>
      </c>
      <c r="AQ46" s="131">
        <v>-3.14</v>
      </c>
      <c r="AR46" s="191">
        <v>18.47</v>
      </c>
      <c r="AS46" s="97">
        <v>128.72193381624029</v>
      </c>
      <c r="AT46" s="131">
        <v>-1.58</v>
      </c>
      <c r="AU46" s="191" t="s">
        <v>108</v>
      </c>
      <c r="AV46" s="97">
        <v>87.950904290721581</v>
      </c>
      <c r="AW46" s="131">
        <v>3.26</v>
      </c>
      <c r="AX46" s="191" t="s">
        <v>108</v>
      </c>
      <c r="AY46" s="97">
        <v>103.63135648262256</v>
      </c>
      <c r="AZ46" s="131">
        <v>-5.52</v>
      </c>
      <c r="BA46" s="191">
        <v>9.83</v>
      </c>
      <c r="BB46" s="97">
        <v>103.78895438059033</v>
      </c>
      <c r="BC46" s="131">
        <v>-2.31</v>
      </c>
      <c r="BD46" s="191">
        <v>11.17</v>
      </c>
      <c r="BE46" s="97">
        <v>113.6104614723024</v>
      </c>
      <c r="BF46" s="131">
        <v>-1.49</v>
      </c>
      <c r="BG46" s="191">
        <v>22.32</v>
      </c>
      <c r="BH46" s="97">
        <v>107.90589090127882</v>
      </c>
      <c r="BI46" s="131">
        <v>-0.65</v>
      </c>
      <c r="BJ46" s="191">
        <v>11.58</v>
      </c>
      <c r="BK46" s="97">
        <v>102.55991256232875</v>
      </c>
      <c r="BL46" s="131">
        <v>-0.28000000000000003</v>
      </c>
      <c r="BM46" s="191">
        <v>5.36</v>
      </c>
      <c r="BN46" s="97">
        <v>91.559755929729178</v>
      </c>
      <c r="BO46" s="131">
        <v>-1.98</v>
      </c>
      <c r="BP46" s="191">
        <v>3.42</v>
      </c>
      <c r="BQ46" s="97">
        <v>73.441091694667108</v>
      </c>
      <c r="BR46" s="131">
        <v>0.76</v>
      </c>
      <c r="BS46" s="191">
        <v>-1.9</v>
      </c>
      <c r="BT46" s="97">
        <v>93.45618383121851</v>
      </c>
      <c r="BU46" s="131">
        <v>2.85</v>
      </c>
      <c r="BV46" s="191">
        <v>-4.33</v>
      </c>
      <c r="BW46" s="97">
        <v>92.552869372677506</v>
      </c>
      <c r="BX46" s="131">
        <v>9.6300000000000008</v>
      </c>
      <c r="BY46" s="191">
        <v>16.52</v>
      </c>
      <c r="BZ46" s="97">
        <v>97.715626011894472</v>
      </c>
      <c r="CA46" s="131">
        <v>-8.25</v>
      </c>
      <c r="CB46" s="191">
        <v>29.29</v>
      </c>
    </row>
    <row r="47" spans="1:80" s="109" customFormat="1" x14ac:dyDescent="0.3">
      <c r="A47" s="371"/>
      <c r="B47" s="111" t="s">
        <v>16</v>
      </c>
      <c r="C47" s="193">
        <v>90.799808928993087</v>
      </c>
      <c r="D47" s="193">
        <v>1.93</v>
      </c>
      <c r="E47" s="194">
        <v>4.21</v>
      </c>
      <c r="F47" s="192">
        <v>88.94165767773508</v>
      </c>
      <c r="G47" s="193">
        <v>2.99</v>
      </c>
      <c r="H47" s="194">
        <v>5.05</v>
      </c>
      <c r="I47" s="192">
        <v>77.776562923429836</v>
      </c>
      <c r="J47" s="193">
        <v>0.21</v>
      </c>
      <c r="K47" s="194">
        <v>-9.8000000000000007</v>
      </c>
      <c r="L47" s="192">
        <v>75.701642410232964</v>
      </c>
      <c r="M47" s="193">
        <v>-0.9</v>
      </c>
      <c r="N47" s="194">
        <v>-11.1</v>
      </c>
      <c r="O47" s="192">
        <v>84.393652856976018</v>
      </c>
      <c r="P47" s="193">
        <v>3.27</v>
      </c>
      <c r="Q47" s="194">
        <v>18.260000000000002</v>
      </c>
      <c r="R47" s="192">
        <v>78.613947743005468</v>
      </c>
      <c r="S47" s="193">
        <v>3.63</v>
      </c>
      <c r="T47" s="194">
        <v>16.61</v>
      </c>
      <c r="U47" s="192">
        <v>109.61600869937902</v>
      </c>
      <c r="V47" s="193">
        <v>5.58</v>
      </c>
      <c r="W47" s="194">
        <v>20.059999999999999</v>
      </c>
      <c r="X47" s="192">
        <v>114.07597522985911</v>
      </c>
      <c r="Y47" s="193">
        <v>10.72</v>
      </c>
      <c r="Z47" s="194">
        <v>15.13</v>
      </c>
      <c r="AA47" s="192">
        <v>93.533910588222184</v>
      </c>
      <c r="AB47" s="193">
        <v>3.67</v>
      </c>
      <c r="AC47" s="194">
        <v>3.89</v>
      </c>
      <c r="AD47" s="192">
        <v>92.11609692804646</v>
      </c>
      <c r="AE47" s="193">
        <v>3.36</v>
      </c>
      <c r="AF47" s="194">
        <v>11.41</v>
      </c>
      <c r="AG47" s="192">
        <v>106.00569607587018</v>
      </c>
      <c r="AH47" s="193">
        <v>0.38</v>
      </c>
      <c r="AI47" s="194">
        <v>2.9</v>
      </c>
      <c r="AJ47" s="192">
        <v>95.064883419845771</v>
      </c>
      <c r="AK47" s="193">
        <v>4.8600000000000003</v>
      </c>
      <c r="AL47" s="194">
        <v>2.73</v>
      </c>
      <c r="AM47" s="192">
        <v>92.73340248371828</v>
      </c>
      <c r="AN47" s="193">
        <v>3.16</v>
      </c>
      <c r="AO47" s="194">
        <v>14.49</v>
      </c>
      <c r="AP47" s="192">
        <v>89.538085830401798</v>
      </c>
      <c r="AQ47" s="193">
        <v>2.44</v>
      </c>
      <c r="AR47" s="194">
        <v>14.05</v>
      </c>
      <c r="AS47" s="192">
        <v>138.57099885984277</v>
      </c>
      <c r="AT47" s="193">
        <v>7.65</v>
      </c>
      <c r="AU47" s="194" t="s">
        <v>108</v>
      </c>
      <c r="AV47" s="192">
        <v>92.355507980116485</v>
      </c>
      <c r="AW47" s="193">
        <v>5.01</v>
      </c>
      <c r="AX47" s="194" t="s">
        <v>108</v>
      </c>
      <c r="AY47" s="192">
        <v>102.16166305156651</v>
      </c>
      <c r="AZ47" s="193">
        <v>-1.42</v>
      </c>
      <c r="BA47" s="194">
        <v>9.1</v>
      </c>
      <c r="BB47" s="192">
        <v>106.2805520768904</v>
      </c>
      <c r="BC47" s="193">
        <v>2.4</v>
      </c>
      <c r="BD47" s="194">
        <v>11.07</v>
      </c>
      <c r="BE47" s="192">
        <v>118.18588455450603</v>
      </c>
      <c r="BF47" s="193">
        <v>4.03</v>
      </c>
      <c r="BG47" s="194">
        <v>11.27</v>
      </c>
      <c r="BH47" s="192">
        <v>111.15204491470368</v>
      </c>
      <c r="BI47" s="193">
        <v>3.01</v>
      </c>
      <c r="BJ47" s="194">
        <v>9.1199999999999992</v>
      </c>
      <c r="BK47" s="192">
        <v>103.47192945041577</v>
      </c>
      <c r="BL47" s="193">
        <v>0.89</v>
      </c>
      <c r="BM47" s="194">
        <v>11.25</v>
      </c>
      <c r="BN47" s="192">
        <v>93.388192552438625</v>
      </c>
      <c r="BO47" s="193">
        <v>2</v>
      </c>
      <c r="BP47" s="194">
        <v>10.55</v>
      </c>
      <c r="BQ47" s="192">
        <v>72.903629242738958</v>
      </c>
      <c r="BR47" s="193">
        <v>-0.73</v>
      </c>
      <c r="BS47" s="194">
        <v>2.16</v>
      </c>
      <c r="BT47" s="192">
        <v>95.88635787846998</v>
      </c>
      <c r="BU47" s="193">
        <v>2.6</v>
      </c>
      <c r="BV47" s="194">
        <v>14.66</v>
      </c>
      <c r="BW47" s="192">
        <v>92.416439172595389</v>
      </c>
      <c r="BX47" s="193">
        <v>-0.15</v>
      </c>
      <c r="BY47" s="194">
        <v>29.89</v>
      </c>
      <c r="BZ47" s="192">
        <v>98.775438513078242</v>
      </c>
      <c r="CA47" s="193">
        <v>1.08</v>
      </c>
      <c r="CB47" s="194">
        <v>30.7</v>
      </c>
    </row>
    <row r="48" spans="1:80" s="109" customFormat="1" x14ac:dyDescent="0.3">
      <c r="A48" s="371"/>
      <c r="B48" s="96" t="s">
        <v>8</v>
      </c>
      <c r="C48" s="131">
        <v>92.960200479465868</v>
      </c>
      <c r="D48" s="131">
        <v>2.38</v>
      </c>
      <c r="E48" s="191">
        <v>7.4</v>
      </c>
      <c r="F48" s="97">
        <v>91.407931717393538</v>
      </c>
      <c r="G48" s="131">
        <v>2.77</v>
      </c>
      <c r="H48" s="191">
        <v>8.2899999999999991</v>
      </c>
      <c r="I48" s="97">
        <v>79.528549978546735</v>
      </c>
      <c r="J48" s="131">
        <v>2.25</v>
      </c>
      <c r="K48" s="191">
        <v>-7.33</v>
      </c>
      <c r="L48" s="97">
        <v>78.366144338520314</v>
      </c>
      <c r="M48" s="131">
        <v>3.52</v>
      </c>
      <c r="N48" s="191">
        <v>-8.15</v>
      </c>
      <c r="O48" s="97">
        <v>87.482695573009735</v>
      </c>
      <c r="P48" s="131">
        <v>3.66</v>
      </c>
      <c r="Q48" s="191">
        <v>18.48</v>
      </c>
      <c r="R48" s="97">
        <v>81.571830942328944</v>
      </c>
      <c r="S48" s="131">
        <v>3.76</v>
      </c>
      <c r="T48" s="191">
        <v>17.260000000000002</v>
      </c>
      <c r="U48" s="97">
        <v>110.03502745812388</v>
      </c>
      <c r="V48" s="131">
        <v>0.38</v>
      </c>
      <c r="W48" s="191">
        <v>18.04</v>
      </c>
      <c r="X48" s="97">
        <v>115.36015864366409</v>
      </c>
      <c r="Y48" s="131">
        <v>1.1299999999999999</v>
      </c>
      <c r="Z48" s="191">
        <v>21.94</v>
      </c>
      <c r="AA48" s="97">
        <v>95.122203396270194</v>
      </c>
      <c r="AB48" s="131">
        <v>1.7</v>
      </c>
      <c r="AC48" s="191">
        <v>4.7699999999999996</v>
      </c>
      <c r="AD48" s="97">
        <v>93.582880847066335</v>
      </c>
      <c r="AE48" s="131">
        <v>1.59</v>
      </c>
      <c r="AF48" s="191">
        <v>13.04</v>
      </c>
      <c r="AG48" s="97">
        <v>104.40221189005032</v>
      </c>
      <c r="AH48" s="131">
        <v>-1.51</v>
      </c>
      <c r="AI48" s="191">
        <v>3.45</v>
      </c>
      <c r="AJ48" s="97">
        <v>98.646761732725636</v>
      </c>
      <c r="AK48" s="131">
        <v>3.77</v>
      </c>
      <c r="AL48" s="191">
        <v>3.04</v>
      </c>
      <c r="AM48" s="97">
        <v>97.319692329009726</v>
      </c>
      <c r="AN48" s="131">
        <v>4.95</v>
      </c>
      <c r="AO48" s="191">
        <v>25.54</v>
      </c>
      <c r="AP48" s="97">
        <v>92.238912264592827</v>
      </c>
      <c r="AQ48" s="131">
        <v>3.02</v>
      </c>
      <c r="AR48" s="191">
        <v>22.73</v>
      </c>
      <c r="AS48" s="97">
        <v>140.29649012437375</v>
      </c>
      <c r="AT48" s="131">
        <v>1.25</v>
      </c>
      <c r="AU48" s="191" t="s">
        <v>108</v>
      </c>
      <c r="AV48" s="97">
        <v>93.838086382390244</v>
      </c>
      <c r="AW48" s="131">
        <v>1.61</v>
      </c>
      <c r="AX48" s="191" t="s">
        <v>108</v>
      </c>
      <c r="AY48" s="97">
        <v>103.86000095820869</v>
      </c>
      <c r="AZ48" s="131">
        <v>1.66</v>
      </c>
      <c r="BA48" s="191">
        <v>12.78</v>
      </c>
      <c r="BB48" s="97">
        <v>109.09007495194115</v>
      </c>
      <c r="BC48" s="131">
        <v>2.64</v>
      </c>
      <c r="BD48" s="191">
        <v>13.74</v>
      </c>
      <c r="BE48" s="97">
        <v>117.56543719063619</v>
      </c>
      <c r="BF48" s="131">
        <v>-0.52</v>
      </c>
      <c r="BG48" s="191">
        <v>6.77</v>
      </c>
      <c r="BH48" s="97">
        <v>112.2628868094494</v>
      </c>
      <c r="BI48" s="131">
        <v>1</v>
      </c>
      <c r="BJ48" s="191">
        <v>7.6</v>
      </c>
      <c r="BK48" s="97">
        <v>103.63406840328406</v>
      </c>
      <c r="BL48" s="131">
        <v>0.16</v>
      </c>
      <c r="BM48" s="191">
        <v>7.84</v>
      </c>
      <c r="BN48" s="97">
        <v>93.042827025363223</v>
      </c>
      <c r="BO48" s="131">
        <v>-0.37</v>
      </c>
      <c r="BP48" s="191">
        <v>2.12</v>
      </c>
      <c r="BQ48" s="97">
        <v>71.908702628417672</v>
      </c>
      <c r="BR48" s="131">
        <v>-1.36</v>
      </c>
      <c r="BS48" s="191">
        <v>1.5</v>
      </c>
      <c r="BT48" s="97">
        <v>93.638772217664268</v>
      </c>
      <c r="BU48" s="131">
        <v>-2.34</v>
      </c>
      <c r="BV48" s="191">
        <v>12.52</v>
      </c>
      <c r="BW48" s="97">
        <v>97.918061457562771</v>
      </c>
      <c r="BX48" s="131">
        <v>5.95</v>
      </c>
      <c r="BY48" s="191">
        <v>30.69</v>
      </c>
      <c r="BZ48" s="97">
        <v>102.8137210083521</v>
      </c>
      <c r="CA48" s="131">
        <v>4.09</v>
      </c>
      <c r="CB48" s="191">
        <v>36.04</v>
      </c>
    </row>
    <row r="49" spans="1:80" s="109" customFormat="1" x14ac:dyDescent="0.3">
      <c r="A49" s="371"/>
      <c r="B49" s="111" t="s">
        <v>9</v>
      </c>
      <c r="C49" s="193">
        <v>93.559176899193332</v>
      </c>
      <c r="D49" s="193">
        <v>0.64</v>
      </c>
      <c r="E49" s="194">
        <v>6.63</v>
      </c>
      <c r="F49" s="192">
        <v>90.404207714130195</v>
      </c>
      <c r="G49" s="193">
        <v>-1.1000000000000001</v>
      </c>
      <c r="H49" s="194">
        <v>7.54</v>
      </c>
      <c r="I49" s="192">
        <v>81.278621009427837</v>
      </c>
      <c r="J49" s="193">
        <v>2.2000000000000002</v>
      </c>
      <c r="K49" s="194">
        <v>-1.07</v>
      </c>
      <c r="L49" s="192">
        <v>78.997108616133019</v>
      </c>
      <c r="M49" s="193">
        <v>0.81</v>
      </c>
      <c r="N49" s="194">
        <v>-0.88</v>
      </c>
      <c r="O49" s="192">
        <v>87.357183106954793</v>
      </c>
      <c r="P49" s="193">
        <v>-0.14000000000000001</v>
      </c>
      <c r="Q49" s="194">
        <v>26.28</v>
      </c>
      <c r="R49" s="192">
        <v>80.135551606038121</v>
      </c>
      <c r="S49" s="193">
        <v>-1.76</v>
      </c>
      <c r="T49" s="194">
        <v>9.84</v>
      </c>
      <c r="U49" s="192">
        <v>109.15666094102039</v>
      </c>
      <c r="V49" s="193">
        <v>-0.8</v>
      </c>
      <c r="W49" s="194">
        <v>22.26</v>
      </c>
      <c r="X49" s="192">
        <v>111.13967671233638</v>
      </c>
      <c r="Y49" s="193">
        <v>-3.66</v>
      </c>
      <c r="Z49" s="194">
        <v>16.32</v>
      </c>
      <c r="AA49" s="192">
        <v>95.973207109255981</v>
      </c>
      <c r="AB49" s="193">
        <v>0.89</v>
      </c>
      <c r="AC49" s="194">
        <v>0.93</v>
      </c>
      <c r="AD49" s="192">
        <v>94.116110169283118</v>
      </c>
      <c r="AE49" s="193">
        <v>0.56999999999999995</v>
      </c>
      <c r="AF49" s="194">
        <v>9.65</v>
      </c>
      <c r="AG49" s="192">
        <v>107.22716231295651</v>
      </c>
      <c r="AH49" s="193">
        <v>2.71</v>
      </c>
      <c r="AI49" s="194">
        <v>5.79</v>
      </c>
      <c r="AJ49" s="192">
        <v>94.02180968606271</v>
      </c>
      <c r="AK49" s="193">
        <v>-4.6900000000000004</v>
      </c>
      <c r="AL49" s="194">
        <v>-2.67</v>
      </c>
      <c r="AM49" s="192">
        <v>95.767658887469111</v>
      </c>
      <c r="AN49" s="193">
        <v>-1.59</v>
      </c>
      <c r="AO49" s="194">
        <v>10.77</v>
      </c>
      <c r="AP49" s="192">
        <v>90.949224361648845</v>
      </c>
      <c r="AQ49" s="193">
        <v>-1.4</v>
      </c>
      <c r="AR49" s="194">
        <v>16.12</v>
      </c>
      <c r="AS49" s="192">
        <v>144.21624666686134</v>
      </c>
      <c r="AT49" s="193">
        <v>2.79</v>
      </c>
      <c r="AU49" s="194" t="s">
        <v>108</v>
      </c>
      <c r="AV49" s="192">
        <v>90.519692349047858</v>
      </c>
      <c r="AW49" s="193">
        <v>-3.54</v>
      </c>
      <c r="AX49" s="194" t="s">
        <v>108</v>
      </c>
      <c r="AY49" s="192">
        <v>103.18925385866402</v>
      </c>
      <c r="AZ49" s="193">
        <v>-0.65</v>
      </c>
      <c r="BA49" s="194">
        <v>6.02</v>
      </c>
      <c r="BB49" s="192">
        <v>108.40096352787636</v>
      </c>
      <c r="BC49" s="193">
        <v>-0.63</v>
      </c>
      <c r="BD49" s="194">
        <v>12.98</v>
      </c>
      <c r="BE49" s="192">
        <v>115.36404129026134</v>
      </c>
      <c r="BF49" s="193">
        <v>-1.87</v>
      </c>
      <c r="BG49" s="194">
        <v>5.29</v>
      </c>
      <c r="BH49" s="192">
        <v>111.92360262270273</v>
      </c>
      <c r="BI49" s="193">
        <v>-0.3</v>
      </c>
      <c r="BJ49" s="194">
        <v>5.49</v>
      </c>
      <c r="BK49" s="192">
        <v>103.61959484086611</v>
      </c>
      <c r="BL49" s="193">
        <v>-0.01</v>
      </c>
      <c r="BM49" s="194">
        <v>12.12</v>
      </c>
      <c r="BN49" s="192">
        <v>93.942539653981157</v>
      </c>
      <c r="BO49" s="193">
        <v>0.97</v>
      </c>
      <c r="BP49" s="194">
        <v>10.28</v>
      </c>
      <c r="BQ49" s="192">
        <v>73.691176782651397</v>
      </c>
      <c r="BR49" s="193">
        <v>2.48</v>
      </c>
      <c r="BS49" s="194">
        <v>0.33</v>
      </c>
      <c r="BT49" s="192">
        <v>98.275533233550561</v>
      </c>
      <c r="BU49" s="193">
        <v>4.95</v>
      </c>
      <c r="BV49" s="194">
        <v>11.38</v>
      </c>
      <c r="BW49" s="192">
        <v>99.67500498030833</v>
      </c>
      <c r="BX49" s="193">
        <v>1.79</v>
      </c>
      <c r="BY49" s="194">
        <v>45.17</v>
      </c>
      <c r="BZ49" s="192">
        <v>107.65256210580256</v>
      </c>
      <c r="CA49" s="193">
        <v>4.71</v>
      </c>
      <c r="CB49" s="194">
        <v>42.44</v>
      </c>
    </row>
    <row r="50" spans="1:80" s="109" customFormat="1" x14ac:dyDescent="0.3">
      <c r="A50" s="371"/>
      <c r="B50" s="96" t="s">
        <v>10</v>
      </c>
      <c r="C50" s="131">
        <v>94.228528524527505</v>
      </c>
      <c r="D50" s="131">
        <v>0.72</v>
      </c>
      <c r="E50" s="191">
        <v>4.38</v>
      </c>
      <c r="F50" s="97">
        <v>91.450303477721704</v>
      </c>
      <c r="G50" s="131">
        <v>1.1599999999999999</v>
      </c>
      <c r="H50" s="191">
        <v>5.66</v>
      </c>
      <c r="I50" s="97">
        <v>81.709104142501417</v>
      </c>
      <c r="J50" s="131">
        <v>0.53</v>
      </c>
      <c r="K50" s="191">
        <v>-3.32</v>
      </c>
      <c r="L50" s="97">
        <v>81.501094237504475</v>
      </c>
      <c r="M50" s="131">
        <v>3.17</v>
      </c>
      <c r="N50" s="191">
        <v>-2.78</v>
      </c>
      <c r="O50" s="97">
        <v>88.445502271571613</v>
      </c>
      <c r="P50" s="131">
        <v>1.25</v>
      </c>
      <c r="Q50" s="191">
        <v>10.45</v>
      </c>
      <c r="R50" s="97">
        <v>79.868482365195021</v>
      </c>
      <c r="S50" s="131">
        <v>-0.33</v>
      </c>
      <c r="T50" s="191">
        <v>9.01</v>
      </c>
      <c r="U50" s="97">
        <v>109.3935297792018</v>
      </c>
      <c r="V50" s="131">
        <v>0.22</v>
      </c>
      <c r="W50" s="191">
        <v>12.21</v>
      </c>
      <c r="X50" s="97">
        <v>105.58555027117795</v>
      </c>
      <c r="Y50" s="131">
        <v>-5</v>
      </c>
      <c r="Z50" s="191">
        <v>3.36</v>
      </c>
      <c r="AA50" s="97">
        <v>98.664035963596717</v>
      </c>
      <c r="AB50" s="131">
        <v>2.8</v>
      </c>
      <c r="AC50" s="191">
        <v>4.24</v>
      </c>
      <c r="AD50" s="97">
        <v>97.872503852733189</v>
      </c>
      <c r="AE50" s="131">
        <v>3.99</v>
      </c>
      <c r="AF50" s="191">
        <v>10.029999999999999</v>
      </c>
      <c r="AG50" s="97">
        <v>107.9167246243822</v>
      </c>
      <c r="AH50" s="131">
        <v>0.64</v>
      </c>
      <c r="AI50" s="191">
        <v>6.74</v>
      </c>
      <c r="AJ50" s="97">
        <v>94.201685496707981</v>
      </c>
      <c r="AK50" s="131">
        <v>0.19</v>
      </c>
      <c r="AL50" s="191">
        <v>6.97</v>
      </c>
      <c r="AM50" s="97">
        <v>97.332544943503805</v>
      </c>
      <c r="AN50" s="131">
        <v>1.63</v>
      </c>
      <c r="AO50" s="191">
        <v>11.95</v>
      </c>
      <c r="AP50" s="97">
        <v>93.014842554811182</v>
      </c>
      <c r="AQ50" s="131">
        <v>2.27</v>
      </c>
      <c r="AR50" s="191">
        <v>11.92</v>
      </c>
      <c r="AS50" s="97">
        <v>138.60703049468364</v>
      </c>
      <c r="AT50" s="131">
        <v>-3.89</v>
      </c>
      <c r="AU50" s="191" t="s">
        <v>108</v>
      </c>
      <c r="AV50" s="97">
        <v>92.541970799158008</v>
      </c>
      <c r="AW50" s="131">
        <v>2.23</v>
      </c>
      <c r="AX50" s="191" t="s">
        <v>108</v>
      </c>
      <c r="AY50" s="97">
        <v>103.74058539587469</v>
      </c>
      <c r="AZ50" s="131">
        <v>0.53</v>
      </c>
      <c r="BA50" s="191">
        <v>0.68</v>
      </c>
      <c r="BB50" s="97">
        <v>107.30950260564191</v>
      </c>
      <c r="BC50" s="131">
        <v>-1.01</v>
      </c>
      <c r="BD50" s="191">
        <v>11.78</v>
      </c>
      <c r="BE50" s="97">
        <v>114.1013989824915</v>
      </c>
      <c r="BF50" s="131">
        <v>-1.0900000000000001</v>
      </c>
      <c r="BG50" s="191">
        <v>6.76</v>
      </c>
      <c r="BH50" s="97">
        <v>112.15046161223331</v>
      </c>
      <c r="BI50" s="131">
        <v>0.2</v>
      </c>
      <c r="BJ50" s="191">
        <v>9.64</v>
      </c>
      <c r="BK50" s="97">
        <v>101.1479089415861</v>
      </c>
      <c r="BL50" s="131">
        <v>-2.39</v>
      </c>
      <c r="BM50" s="191">
        <v>5.87</v>
      </c>
      <c r="BN50" s="97">
        <v>95.941202461409517</v>
      </c>
      <c r="BO50" s="131">
        <v>2.13</v>
      </c>
      <c r="BP50" s="191">
        <v>8.2799999999999994</v>
      </c>
      <c r="BQ50" s="97">
        <v>70.805034386088451</v>
      </c>
      <c r="BR50" s="131">
        <v>-3.92</v>
      </c>
      <c r="BS50" s="191">
        <v>-3.04</v>
      </c>
      <c r="BT50" s="97">
        <v>93.580705040827723</v>
      </c>
      <c r="BU50" s="131">
        <v>-4.78</v>
      </c>
      <c r="BV50" s="191">
        <v>7.13</v>
      </c>
      <c r="BW50" s="97">
        <v>105.3587460027905</v>
      </c>
      <c r="BX50" s="131">
        <v>5.7</v>
      </c>
      <c r="BY50" s="191">
        <v>36.76</v>
      </c>
      <c r="BZ50" s="97">
        <v>108.54521774379495</v>
      </c>
      <c r="CA50" s="131">
        <v>0.83</v>
      </c>
      <c r="CB50" s="191">
        <v>43.62</v>
      </c>
    </row>
    <row r="51" spans="1:80" s="203" customFormat="1" ht="18" customHeight="1" x14ac:dyDescent="0.3">
      <c r="A51" s="378"/>
      <c r="B51" s="401" t="s">
        <v>11</v>
      </c>
      <c r="C51" s="405">
        <v>95.988250880143937</v>
      </c>
      <c r="D51" s="405">
        <v>1.87</v>
      </c>
      <c r="E51" s="407">
        <v>6.08</v>
      </c>
      <c r="F51" s="402">
        <v>95.588174991558787</v>
      </c>
      <c r="G51" s="405">
        <v>4.5199999999999996</v>
      </c>
      <c r="H51" s="407">
        <v>10.35</v>
      </c>
      <c r="I51" s="402">
        <v>81.580167392247276</v>
      </c>
      <c r="J51" s="405">
        <v>-0.16</v>
      </c>
      <c r="K51" s="407">
        <v>-3.69</v>
      </c>
      <c r="L51" s="402">
        <v>83.135655257019948</v>
      </c>
      <c r="M51" s="405">
        <v>2.0099999999999998</v>
      </c>
      <c r="N51" s="407">
        <v>1.05</v>
      </c>
      <c r="O51" s="402">
        <v>89.553829784214898</v>
      </c>
      <c r="P51" s="405">
        <v>1.25</v>
      </c>
      <c r="Q51" s="407">
        <v>10.45</v>
      </c>
      <c r="R51" s="402">
        <v>84.672775720957816</v>
      </c>
      <c r="S51" s="405">
        <v>6.02</v>
      </c>
      <c r="T51" s="407">
        <v>10.66</v>
      </c>
      <c r="U51" s="402">
        <v>112.54056776069552</v>
      </c>
      <c r="V51" s="405">
        <v>2.88</v>
      </c>
      <c r="W51" s="407">
        <v>13.27</v>
      </c>
      <c r="X51" s="402">
        <v>118.29522883016563</v>
      </c>
      <c r="Y51" s="405">
        <v>12.04</v>
      </c>
      <c r="Z51" s="407">
        <v>17.190000000000001</v>
      </c>
      <c r="AA51" s="402">
        <v>106.99300053247245</v>
      </c>
      <c r="AB51" s="405">
        <v>8.44</v>
      </c>
      <c r="AC51" s="407">
        <v>13.18</v>
      </c>
      <c r="AD51" s="402">
        <v>109.53869030957173</v>
      </c>
      <c r="AE51" s="405">
        <v>11.92</v>
      </c>
      <c r="AF51" s="407">
        <v>17.940000000000001</v>
      </c>
      <c r="AG51" s="402">
        <v>107.7806674992877</v>
      </c>
      <c r="AH51" s="405">
        <v>-0.13</v>
      </c>
      <c r="AI51" s="407">
        <v>5.25</v>
      </c>
      <c r="AJ51" s="402">
        <v>98.210080617281378</v>
      </c>
      <c r="AK51" s="405">
        <v>4.26</v>
      </c>
      <c r="AL51" s="407">
        <v>4.54</v>
      </c>
      <c r="AM51" s="402">
        <v>96.6142204850144</v>
      </c>
      <c r="AN51" s="405">
        <v>-0.74</v>
      </c>
      <c r="AO51" s="407">
        <v>14.47</v>
      </c>
      <c r="AP51" s="402">
        <v>91.628110421342441</v>
      </c>
      <c r="AQ51" s="405">
        <v>-1.49</v>
      </c>
      <c r="AR51" s="407">
        <v>9.4700000000000006</v>
      </c>
      <c r="AS51" s="402">
        <v>144.50201896246099</v>
      </c>
      <c r="AT51" s="405">
        <v>4.25</v>
      </c>
      <c r="AU51" s="407" t="s">
        <v>108</v>
      </c>
      <c r="AV51" s="402">
        <v>95.955913334057811</v>
      </c>
      <c r="AW51" s="405">
        <v>3.69</v>
      </c>
      <c r="AX51" s="407" t="s">
        <v>108</v>
      </c>
      <c r="AY51" s="402">
        <v>106.53609633900412</v>
      </c>
      <c r="AZ51" s="405">
        <v>2.69</v>
      </c>
      <c r="BA51" s="407">
        <v>4.67</v>
      </c>
      <c r="BB51" s="402">
        <v>108.28657712362862</v>
      </c>
      <c r="BC51" s="405">
        <v>0.91</v>
      </c>
      <c r="BD51" s="407">
        <v>10.62</v>
      </c>
      <c r="BE51" s="402">
        <v>123.26093372624555</v>
      </c>
      <c r="BF51" s="405">
        <v>8.0299999999999994</v>
      </c>
      <c r="BG51" s="407">
        <v>11.14</v>
      </c>
      <c r="BH51" s="402">
        <v>115.95833701495862</v>
      </c>
      <c r="BI51" s="405">
        <v>3.4</v>
      </c>
      <c r="BJ51" s="407">
        <v>13.41</v>
      </c>
      <c r="BK51" s="402">
        <v>110.83066633028733</v>
      </c>
      <c r="BL51" s="405">
        <v>9.57</v>
      </c>
      <c r="BM51" s="407">
        <v>12.32</v>
      </c>
      <c r="BN51" s="402">
        <v>80.570823373691866</v>
      </c>
      <c r="BO51" s="405">
        <v>-16.02</v>
      </c>
      <c r="BP51" s="407">
        <v>-11.37</v>
      </c>
      <c r="BQ51" s="402">
        <v>73.408089659068281</v>
      </c>
      <c r="BR51" s="405">
        <v>3.68</v>
      </c>
      <c r="BS51" s="407">
        <v>-1.46</v>
      </c>
      <c r="BT51" s="402">
        <v>96.907591775919556</v>
      </c>
      <c r="BU51" s="405">
        <v>3.56</v>
      </c>
      <c r="BV51" s="407">
        <v>13.11</v>
      </c>
      <c r="BW51" s="402">
        <v>107.45575794815412</v>
      </c>
      <c r="BX51" s="405">
        <v>1.99</v>
      </c>
      <c r="BY51" s="407">
        <v>36.32</v>
      </c>
      <c r="BZ51" s="402">
        <v>113.10607109933667</v>
      </c>
      <c r="CA51" s="405">
        <v>4.2</v>
      </c>
      <c r="CB51" s="407">
        <v>34.36</v>
      </c>
    </row>
    <row r="52" spans="1:80" s="114" customFormat="1" ht="14.25" customHeight="1" x14ac:dyDescent="0.3">
      <c r="A52" s="108"/>
      <c r="B52" s="109" t="s">
        <v>84</v>
      </c>
      <c r="C52" s="140"/>
      <c r="D52" s="140"/>
      <c r="E52" s="140"/>
      <c r="F52" s="140"/>
      <c r="G52" s="140"/>
      <c r="H52" s="140"/>
      <c r="I52" s="140"/>
      <c r="J52" s="140"/>
      <c r="K52" s="140"/>
      <c r="L52" s="140"/>
      <c r="M52" s="140"/>
      <c r="N52" s="140"/>
      <c r="O52" s="140"/>
      <c r="P52" s="140"/>
      <c r="Q52" s="140"/>
      <c r="R52" s="140"/>
      <c r="S52" s="140"/>
      <c r="T52" s="140"/>
      <c r="U52" s="112"/>
      <c r="V52" s="112"/>
      <c r="W52" s="112"/>
      <c r="X52" s="112"/>
      <c r="Y52" s="112"/>
      <c r="Z52" s="112"/>
      <c r="AA52" s="112"/>
      <c r="AB52" s="112"/>
      <c r="AC52" s="112"/>
      <c r="AD52" s="112"/>
      <c r="AE52" s="112"/>
      <c r="AF52" s="112"/>
      <c r="AG52" s="112"/>
      <c r="AH52" s="112"/>
      <c r="AI52" s="112"/>
      <c r="AJ52" s="112"/>
      <c r="AK52" s="112"/>
      <c r="AL52" s="112"/>
      <c r="AM52" s="112"/>
      <c r="AN52" s="305"/>
      <c r="AO52" s="305"/>
      <c r="AP52" s="305"/>
      <c r="CB52" s="115"/>
    </row>
    <row r="53" spans="1:80" s="114" customFormat="1" ht="14.25" customHeight="1" x14ac:dyDescent="0.3">
      <c r="A53" s="113"/>
      <c r="B53" s="140" t="s">
        <v>17</v>
      </c>
      <c r="C53" s="140"/>
      <c r="D53" s="140"/>
      <c r="E53" s="140"/>
      <c r="F53" s="140"/>
      <c r="G53" s="140"/>
      <c r="H53" s="140"/>
      <c r="I53" s="140"/>
      <c r="J53" s="140"/>
      <c r="K53" s="140"/>
      <c r="L53" s="140"/>
      <c r="M53" s="140"/>
      <c r="N53" s="140"/>
      <c r="O53" s="140"/>
      <c r="P53" s="140"/>
      <c r="Q53" s="140"/>
      <c r="R53" s="140"/>
      <c r="S53" s="140"/>
      <c r="T53" s="140"/>
      <c r="U53" s="112"/>
      <c r="V53" s="112"/>
      <c r="W53" s="112"/>
      <c r="X53" s="112"/>
      <c r="Y53" s="112"/>
      <c r="Z53" s="112"/>
      <c r="AA53" s="112"/>
      <c r="AB53" s="112"/>
      <c r="AC53" s="112"/>
      <c r="AD53" s="112"/>
      <c r="AE53" s="112"/>
      <c r="AF53" s="112"/>
      <c r="AG53" s="112"/>
      <c r="AH53" s="112"/>
      <c r="AI53" s="112"/>
      <c r="AJ53" s="112"/>
      <c r="AK53" s="112"/>
      <c r="AL53" s="112"/>
      <c r="AM53" s="112"/>
      <c r="AN53" s="277"/>
      <c r="AO53" s="277"/>
      <c r="AP53" s="277"/>
      <c r="CB53" s="115"/>
    </row>
    <row r="54" spans="1:80" s="114" customFormat="1" ht="14.25" customHeight="1" x14ac:dyDescent="0.3">
      <c r="A54" s="113"/>
      <c r="B54" s="140" t="s">
        <v>116</v>
      </c>
      <c r="C54" s="140"/>
      <c r="D54" s="140"/>
      <c r="E54" s="140"/>
      <c r="F54" s="140"/>
      <c r="G54" s="140"/>
      <c r="H54" s="140"/>
      <c r="I54" s="140"/>
      <c r="J54" s="140"/>
      <c r="K54" s="140"/>
      <c r="L54" s="140"/>
      <c r="M54" s="140"/>
      <c r="N54" s="140"/>
      <c r="O54" s="140"/>
      <c r="P54" s="140"/>
      <c r="Q54" s="140"/>
      <c r="R54" s="140"/>
      <c r="S54" s="140"/>
      <c r="T54" s="140"/>
      <c r="U54" s="112"/>
      <c r="V54" s="112"/>
      <c r="W54" s="112"/>
      <c r="X54" s="112"/>
      <c r="Y54" s="112"/>
      <c r="Z54" s="112"/>
      <c r="AA54" s="112"/>
      <c r="AB54" s="112"/>
      <c r="AC54" s="112"/>
      <c r="AD54" s="112"/>
      <c r="AE54" s="112"/>
      <c r="AF54" s="112"/>
      <c r="AG54" s="112"/>
      <c r="AH54" s="112"/>
      <c r="AI54" s="112"/>
      <c r="AJ54" s="112"/>
      <c r="AK54" s="112"/>
      <c r="AL54" s="112"/>
      <c r="AM54" s="112"/>
      <c r="AN54" s="277"/>
      <c r="AO54" s="277"/>
      <c r="AP54" s="277"/>
      <c r="CB54" s="115"/>
    </row>
    <row r="55" spans="1:80" s="114" customFormat="1" ht="14.25" customHeight="1" x14ac:dyDescent="0.3">
      <c r="A55" s="113"/>
      <c r="B55" s="140" t="s">
        <v>96</v>
      </c>
      <c r="C55" s="140"/>
      <c r="D55" s="140"/>
      <c r="E55" s="140"/>
      <c r="F55" s="140"/>
      <c r="G55" s="140"/>
      <c r="H55" s="140"/>
      <c r="I55" s="140"/>
      <c r="J55" s="140"/>
      <c r="K55" s="140"/>
      <c r="L55" s="140"/>
      <c r="M55" s="140"/>
      <c r="N55" s="140"/>
      <c r="O55" s="140"/>
      <c r="P55" s="140"/>
      <c r="Q55" s="140"/>
      <c r="R55" s="140"/>
      <c r="S55" s="140"/>
      <c r="T55" s="140"/>
      <c r="U55" s="112"/>
      <c r="V55" s="112"/>
      <c r="W55" s="112"/>
      <c r="X55" s="112"/>
      <c r="Y55" s="112"/>
      <c r="Z55" s="112"/>
      <c r="AA55" s="112"/>
      <c r="AB55" s="112"/>
      <c r="AC55" s="112"/>
      <c r="AD55" s="112"/>
      <c r="AE55" s="112"/>
      <c r="AF55" s="112"/>
      <c r="AG55" s="112"/>
      <c r="AH55" s="112"/>
      <c r="AI55" s="112"/>
      <c r="AJ55" s="112"/>
      <c r="AK55" s="112"/>
      <c r="AL55" s="112"/>
      <c r="AM55" s="112"/>
      <c r="AN55" s="277"/>
      <c r="AO55" s="277"/>
      <c r="AP55" s="277"/>
      <c r="CB55" s="115"/>
    </row>
    <row r="56" spans="1:80" s="145" customFormat="1" x14ac:dyDescent="0.3">
      <c r="A56" s="113"/>
      <c r="B56" s="140" t="s">
        <v>120</v>
      </c>
      <c r="C56" s="140"/>
      <c r="D56" s="140"/>
      <c r="E56" s="140"/>
      <c r="F56" s="140"/>
      <c r="G56" s="140"/>
      <c r="H56" s="140"/>
      <c r="V56" s="279"/>
      <c r="W56" s="279"/>
      <c r="X56" s="279"/>
      <c r="Y56" s="279"/>
      <c r="Z56" s="279"/>
      <c r="AA56" s="279"/>
      <c r="AB56" s="279"/>
      <c r="AC56" s="279"/>
      <c r="CB56" s="280"/>
    </row>
    <row r="57" spans="1:80" s="145" customFormat="1" x14ac:dyDescent="0.3">
      <c r="A57" s="113"/>
      <c r="B57" s="140" t="s">
        <v>122</v>
      </c>
      <c r="C57" s="140"/>
      <c r="D57" s="140"/>
      <c r="E57" s="140"/>
      <c r="F57" s="140"/>
      <c r="G57" s="140"/>
      <c r="H57" s="140"/>
      <c r="V57" s="279"/>
      <c r="W57" s="279"/>
      <c r="X57" s="279"/>
      <c r="Y57" s="279"/>
      <c r="Z57" s="279"/>
      <c r="AA57" s="279"/>
      <c r="AB57" s="279"/>
      <c r="AC57" s="279"/>
      <c r="CB57" s="280"/>
    </row>
    <row r="58" spans="1:80" x14ac:dyDescent="0.3">
      <c r="A58" s="123"/>
      <c r="B58" s="124" t="str">
        <f>'1.1 V.A Ing.real'!B45</f>
        <v>Actualizado el 15 de diciembre de 2021</v>
      </c>
      <c r="C58" s="124"/>
      <c r="D58" s="124"/>
      <c r="E58" s="124"/>
      <c r="F58" s="124"/>
      <c r="G58" s="124"/>
      <c r="H58" s="124"/>
      <c r="I58" s="100"/>
      <c r="J58" s="100"/>
      <c r="K58" s="100"/>
      <c r="CB58" s="102"/>
    </row>
    <row r="59" spans="1:80" x14ac:dyDescent="0.3">
      <c r="A59" s="125"/>
      <c r="B59" s="126"/>
      <c r="C59" s="126"/>
      <c r="D59" s="126"/>
      <c r="E59" s="126"/>
      <c r="F59" s="126"/>
      <c r="G59" s="126"/>
      <c r="H59" s="126"/>
      <c r="I59" s="281"/>
      <c r="J59" s="281"/>
      <c r="K59" s="281"/>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3"/>
    </row>
  </sheetData>
  <mergeCells count="55">
    <mergeCell ref="A7:H8"/>
    <mergeCell ref="C15:H15"/>
    <mergeCell ref="B14:B17"/>
    <mergeCell ref="A14:A17"/>
    <mergeCell ref="I14:N14"/>
    <mergeCell ref="I15:N15"/>
    <mergeCell ref="I16:K16"/>
    <mergeCell ref="L16:N16"/>
    <mergeCell ref="C14:H14"/>
    <mergeCell ref="C16:E16"/>
    <mergeCell ref="F16:H16"/>
    <mergeCell ref="O15:T15"/>
    <mergeCell ref="O16:Q16"/>
    <mergeCell ref="R16:T16"/>
    <mergeCell ref="U14:Z14"/>
    <mergeCell ref="U15:Z15"/>
    <mergeCell ref="U16:W16"/>
    <mergeCell ref="X16:Z16"/>
    <mergeCell ref="O14:T14"/>
    <mergeCell ref="AA15:AF15"/>
    <mergeCell ref="AA16:AC16"/>
    <mergeCell ref="AD16:AF16"/>
    <mergeCell ref="AG14:AL14"/>
    <mergeCell ref="AG15:AL15"/>
    <mergeCell ref="AG16:AI16"/>
    <mergeCell ref="AJ16:AL16"/>
    <mergeCell ref="AA14:AF14"/>
    <mergeCell ref="AM15:AR15"/>
    <mergeCell ref="AM16:AO16"/>
    <mergeCell ref="AP16:AR16"/>
    <mergeCell ref="AS14:AX14"/>
    <mergeCell ref="AS15:AX15"/>
    <mergeCell ref="AS16:AU16"/>
    <mergeCell ref="AV16:AX16"/>
    <mergeCell ref="AM14:AR14"/>
    <mergeCell ref="AY15:BD15"/>
    <mergeCell ref="AY16:BA16"/>
    <mergeCell ref="BB16:BD16"/>
    <mergeCell ref="BE14:BJ14"/>
    <mergeCell ref="BE15:BJ15"/>
    <mergeCell ref="BE16:BG16"/>
    <mergeCell ref="BH16:BJ16"/>
    <mergeCell ref="AY14:BD14"/>
    <mergeCell ref="BW14:CB14"/>
    <mergeCell ref="BW15:CB15"/>
    <mergeCell ref="BW16:BY16"/>
    <mergeCell ref="BZ16:CB16"/>
    <mergeCell ref="BK14:BP14"/>
    <mergeCell ref="BK15:BP15"/>
    <mergeCell ref="BK16:BM16"/>
    <mergeCell ref="BN16:BP16"/>
    <mergeCell ref="BQ14:BV14"/>
    <mergeCell ref="BQ15:BV15"/>
    <mergeCell ref="BQ16:BS16"/>
    <mergeCell ref="BT16:BV16"/>
  </mergeCells>
  <hyperlinks>
    <hyperlink ref="K3" location="Contenido!A1" display="Inicio" xr:uid="{00000000-0004-0000-14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BB54"/>
  <sheetViews>
    <sheetView showGridLines="0" zoomScale="80" zoomScaleNormal="80" zoomScaleSheetLayoutView="90" workbookViewId="0">
      <pane ySplit="15" topLeftCell="A16" activePane="bottomLeft" state="frozen"/>
      <selection pane="bottomLeft" activeCell="A7" sqref="A7:F8"/>
    </sheetView>
  </sheetViews>
  <sheetFormatPr baseColWidth="10" defaultColWidth="11.42578125" defaultRowHeight="16.5" x14ac:dyDescent="0.3"/>
  <cols>
    <col min="1" max="1" width="9.42578125" style="100" customWidth="1"/>
    <col min="2" max="2" width="19.85546875" style="128" bestFit="1" customWidth="1"/>
    <col min="3" max="10" width="18.42578125" style="128" customWidth="1"/>
    <col min="11" max="54" width="18.42578125" style="100" customWidth="1"/>
    <col min="55" max="16384" width="11.42578125" style="100"/>
  </cols>
  <sheetData>
    <row r="1" spans="1:54" s="83" customFormat="1" ht="12" customHeight="1" x14ac:dyDescent="0.3">
      <c r="A1" s="80"/>
      <c r="B1" s="81"/>
      <c r="C1" s="81"/>
      <c r="D1" s="81"/>
      <c r="E1" s="81"/>
      <c r="F1" s="81"/>
      <c r="G1" s="81"/>
      <c r="H1" s="81"/>
      <c r="I1" s="81"/>
      <c r="J1" s="81"/>
      <c r="K1" s="85"/>
      <c r="L1" s="85"/>
      <c r="M1" s="85"/>
      <c r="N1" s="85"/>
    </row>
    <row r="2" spans="1:54" s="87" customFormat="1" x14ac:dyDescent="0.3">
      <c r="A2" s="84"/>
      <c r="B2" s="85"/>
      <c r="C2" s="85"/>
      <c r="D2" s="85"/>
      <c r="E2" s="85"/>
      <c r="F2" s="85"/>
      <c r="G2" s="85"/>
      <c r="H2" s="85"/>
      <c r="I2" s="85"/>
      <c r="J2" s="85"/>
      <c r="K2" s="85"/>
      <c r="L2" s="85"/>
      <c r="M2" s="85"/>
      <c r="N2" s="85"/>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row>
    <row r="3" spans="1:54" s="87" customFormat="1" x14ac:dyDescent="0.3">
      <c r="A3" s="84"/>
      <c r="B3" s="85"/>
      <c r="C3" s="85"/>
      <c r="D3" s="85"/>
      <c r="E3" s="85"/>
      <c r="F3" s="85"/>
      <c r="G3" s="224" t="s">
        <v>0</v>
      </c>
      <c r="H3" s="85"/>
      <c r="I3" s="85"/>
      <c r="J3" s="85"/>
      <c r="K3" s="85"/>
      <c r="M3" s="85"/>
      <c r="N3" s="85"/>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row>
    <row r="4" spans="1:54" s="87" customFormat="1" x14ac:dyDescent="0.3">
      <c r="A4" s="84"/>
      <c r="B4" s="85"/>
      <c r="C4" s="85"/>
      <c r="D4" s="85"/>
      <c r="E4" s="85"/>
      <c r="F4" s="85"/>
      <c r="I4" s="85"/>
      <c r="J4" s="85"/>
      <c r="K4" s="85"/>
      <c r="L4" s="85"/>
      <c r="M4" s="85"/>
      <c r="N4" s="85"/>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row>
    <row r="5" spans="1:54" s="87" customFormat="1" x14ac:dyDescent="0.3">
      <c r="A5" s="84"/>
      <c r="B5" s="85"/>
      <c r="C5" s="85"/>
      <c r="D5" s="85"/>
      <c r="E5" s="85"/>
      <c r="F5" s="85"/>
      <c r="G5" s="85"/>
      <c r="H5" s="85"/>
      <c r="I5" s="85"/>
      <c r="J5" s="85"/>
      <c r="K5" s="85"/>
      <c r="L5" s="85"/>
      <c r="M5" s="85"/>
      <c r="N5" s="85"/>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row>
    <row r="6" spans="1:54" s="87" customFormat="1" x14ac:dyDescent="0.3">
      <c r="A6" s="84"/>
      <c r="B6" s="85"/>
      <c r="C6" s="85"/>
      <c r="D6" s="85"/>
      <c r="E6" s="85"/>
      <c r="F6" s="85"/>
      <c r="G6" s="85"/>
      <c r="H6" s="85"/>
      <c r="I6" s="85"/>
      <c r="J6" s="85"/>
      <c r="K6" s="85"/>
      <c r="L6" s="85"/>
      <c r="M6" s="85"/>
      <c r="N6" s="85"/>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c r="AY6" s="130"/>
      <c r="AZ6" s="130"/>
      <c r="BA6" s="130"/>
      <c r="BB6" s="130"/>
    </row>
    <row r="7" spans="1:54" s="87" customFormat="1" ht="15" customHeight="1" x14ac:dyDescent="0.3">
      <c r="A7" s="421" t="s">
        <v>4</v>
      </c>
      <c r="B7" s="421"/>
      <c r="C7" s="421"/>
      <c r="D7" s="421"/>
      <c r="E7" s="421"/>
      <c r="F7" s="421"/>
      <c r="G7" s="197"/>
      <c r="H7" s="197"/>
      <c r="I7" s="197"/>
      <c r="J7" s="197"/>
      <c r="K7" s="197"/>
      <c r="L7" s="197"/>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row>
    <row r="8" spans="1:54" s="87" customFormat="1" ht="15" customHeight="1" x14ac:dyDescent="0.3">
      <c r="A8" s="421"/>
      <c r="B8" s="421"/>
      <c r="C8" s="421"/>
      <c r="D8" s="421"/>
      <c r="E8" s="421"/>
      <c r="F8" s="421"/>
      <c r="G8" s="197"/>
      <c r="H8" s="197"/>
      <c r="I8" s="197"/>
      <c r="J8" s="197"/>
      <c r="K8" s="197"/>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row>
    <row r="9" spans="1:54" s="89" customFormat="1" ht="15" customHeight="1" x14ac:dyDescent="0.3">
      <c r="A9" s="215"/>
      <c r="B9" s="216"/>
      <c r="C9" s="216"/>
      <c r="D9" s="216"/>
      <c r="E9" s="216"/>
      <c r="F9" s="216"/>
      <c r="G9" s="129"/>
      <c r="H9" s="129"/>
      <c r="I9" s="129"/>
      <c r="J9" s="129"/>
      <c r="K9" s="129"/>
      <c r="L9" s="129"/>
      <c r="M9" s="129"/>
      <c r="N9" s="129"/>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row>
    <row r="10" spans="1:54" s="83" customFormat="1" ht="18" customHeight="1" x14ac:dyDescent="0.3">
      <c r="A10" s="90" t="s">
        <v>147</v>
      </c>
      <c r="B10" s="164"/>
      <c r="C10" s="164"/>
      <c r="D10" s="164"/>
      <c r="E10" s="164"/>
      <c r="F10" s="164"/>
      <c r="G10" s="137"/>
      <c r="H10" s="137"/>
      <c r="I10" s="137"/>
      <c r="J10" s="137"/>
      <c r="K10" s="137"/>
      <c r="L10" s="137"/>
      <c r="M10" s="137"/>
      <c r="N10" s="137"/>
      <c r="O10" s="137"/>
      <c r="P10" s="137"/>
      <c r="Q10" s="137"/>
      <c r="R10" s="226"/>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row>
    <row r="11" spans="1:54" s="83" customFormat="1" ht="18" customHeight="1" x14ac:dyDescent="0.3">
      <c r="A11" s="90" t="s">
        <v>79</v>
      </c>
      <c r="B11" s="164"/>
      <c r="C11" s="164"/>
      <c r="D11" s="164"/>
      <c r="E11" s="164"/>
      <c r="F11" s="164"/>
      <c r="G11" s="137"/>
      <c r="H11" s="137"/>
      <c r="I11" s="137"/>
      <c r="J11" s="137"/>
      <c r="K11" s="137"/>
      <c r="L11" s="137"/>
      <c r="M11" s="137"/>
      <c r="N11" s="137"/>
      <c r="O11" s="226"/>
      <c r="P11" s="226"/>
      <c r="Q11" s="226"/>
      <c r="R11" s="226"/>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row>
    <row r="12" spans="1:54" s="83" customFormat="1" ht="18" customHeight="1" x14ac:dyDescent="0.3">
      <c r="A12" s="90" t="str">
        <f>'5.1 Porc Ocupación.escala.hab'!A12</f>
        <v>Enero 2019 - octubre 2021</v>
      </c>
      <c r="B12" s="91"/>
      <c r="C12" s="91"/>
      <c r="D12" s="91"/>
      <c r="E12" s="91"/>
      <c r="F12" s="91"/>
      <c r="G12" s="226"/>
      <c r="H12" s="226"/>
      <c r="I12" s="226"/>
      <c r="J12" s="226"/>
      <c r="K12" s="226"/>
      <c r="L12" s="226"/>
      <c r="M12" s="226"/>
      <c r="N12" s="226"/>
      <c r="O12" s="226"/>
      <c r="P12" s="226"/>
      <c r="Q12" s="226"/>
      <c r="R12" s="226"/>
      <c r="S12" s="137"/>
      <c r="T12" s="137"/>
      <c r="U12" s="137"/>
      <c r="V12" s="137"/>
      <c r="W12" s="137"/>
      <c r="X12" s="137"/>
      <c r="Y12" s="137"/>
      <c r="Z12" s="137"/>
      <c r="AA12" s="137"/>
      <c r="AB12" s="137"/>
      <c r="AC12" s="137"/>
      <c r="AD12" s="137"/>
      <c r="AE12" s="137"/>
      <c r="AF12" s="137"/>
      <c r="AG12" s="137"/>
      <c r="AH12" s="137"/>
      <c r="AI12" s="137"/>
      <c r="AJ12" s="137"/>
      <c r="AK12" s="137"/>
      <c r="AL12" s="137"/>
      <c r="AM12" s="137"/>
      <c r="AN12" s="137"/>
      <c r="AO12" s="137"/>
      <c r="AP12" s="137"/>
      <c r="AQ12" s="137"/>
      <c r="AR12" s="137"/>
      <c r="AS12" s="137"/>
      <c r="AT12" s="137"/>
      <c r="AU12" s="137"/>
      <c r="AV12" s="137"/>
      <c r="AW12" s="137"/>
      <c r="AX12" s="137"/>
      <c r="AY12" s="137"/>
    </row>
    <row r="13" spans="1:54" s="83" customFormat="1" ht="18" customHeight="1" x14ac:dyDescent="0.3">
      <c r="A13" s="218"/>
      <c r="B13" s="219"/>
      <c r="C13" s="219"/>
      <c r="D13" s="219"/>
      <c r="E13" s="219"/>
      <c r="F13" s="219"/>
      <c r="G13" s="242"/>
      <c r="H13" s="242"/>
      <c r="I13" s="242"/>
      <c r="J13" s="242"/>
      <c r="K13" s="93"/>
      <c r="L13" s="93"/>
      <c r="M13" s="93"/>
      <c r="N13" s="93"/>
    </row>
    <row r="14" spans="1:54" s="95" customFormat="1" ht="27.75" customHeight="1" x14ac:dyDescent="0.3">
      <c r="A14" s="427" t="s">
        <v>25</v>
      </c>
      <c r="B14" s="429" t="s">
        <v>26</v>
      </c>
      <c r="C14" s="425" t="s">
        <v>24</v>
      </c>
      <c r="D14" s="425"/>
      <c r="E14" s="425"/>
      <c r="F14" s="425"/>
      <c r="G14" s="425" t="s">
        <v>5</v>
      </c>
      <c r="H14" s="425"/>
      <c r="I14" s="425"/>
      <c r="J14" s="425"/>
      <c r="K14" s="425" t="s">
        <v>6</v>
      </c>
      <c r="L14" s="425"/>
      <c r="M14" s="425"/>
      <c r="N14" s="425"/>
      <c r="O14" s="425" t="s">
        <v>20</v>
      </c>
      <c r="P14" s="425"/>
      <c r="Q14" s="425"/>
      <c r="R14" s="425"/>
      <c r="S14" s="425" t="s">
        <v>21</v>
      </c>
      <c r="T14" s="425"/>
      <c r="U14" s="425"/>
      <c r="V14" s="425"/>
      <c r="W14" s="425" t="s">
        <v>22</v>
      </c>
      <c r="X14" s="425"/>
      <c r="Y14" s="425"/>
      <c r="Z14" s="425"/>
      <c r="AA14" s="425" t="s">
        <v>3</v>
      </c>
      <c r="AB14" s="425"/>
      <c r="AC14" s="425"/>
      <c r="AD14" s="425"/>
      <c r="AE14" s="425" t="s">
        <v>7</v>
      </c>
      <c r="AF14" s="425"/>
      <c r="AG14" s="425"/>
      <c r="AH14" s="425"/>
      <c r="AI14" s="425" t="s">
        <v>41</v>
      </c>
      <c r="AJ14" s="425"/>
      <c r="AK14" s="425"/>
      <c r="AL14" s="425"/>
      <c r="AM14" s="425" t="s">
        <v>38</v>
      </c>
      <c r="AN14" s="425"/>
      <c r="AO14" s="425"/>
      <c r="AP14" s="425"/>
      <c r="AQ14" s="425" t="s">
        <v>42</v>
      </c>
      <c r="AR14" s="425"/>
      <c r="AS14" s="425"/>
      <c r="AT14" s="425"/>
      <c r="AU14" s="425" t="s">
        <v>23</v>
      </c>
      <c r="AV14" s="425"/>
      <c r="AW14" s="425"/>
      <c r="AX14" s="425"/>
      <c r="AY14" s="425" t="s">
        <v>40</v>
      </c>
      <c r="AZ14" s="425"/>
      <c r="BA14" s="425"/>
      <c r="BB14" s="426"/>
    </row>
    <row r="15" spans="1:54" s="95" customFormat="1" ht="49.5" customHeight="1" x14ac:dyDescent="0.3">
      <c r="A15" s="431"/>
      <c r="B15" s="432"/>
      <c r="C15" s="243" t="s">
        <v>63</v>
      </c>
      <c r="D15" s="243" t="s">
        <v>61</v>
      </c>
      <c r="E15" s="243" t="s">
        <v>64</v>
      </c>
      <c r="F15" s="243" t="s">
        <v>62</v>
      </c>
      <c r="G15" s="243" t="s">
        <v>63</v>
      </c>
      <c r="H15" s="243" t="s">
        <v>61</v>
      </c>
      <c r="I15" s="243" t="s">
        <v>64</v>
      </c>
      <c r="J15" s="243" t="s">
        <v>62</v>
      </c>
      <c r="K15" s="243" t="s">
        <v>63</v>
      </c>
      <c r="L15" s="243" t="s">
        <v>61</v>
      </c>
      <c r="M15" s="243" t="s">
        <v>64</v>
      </c>
      <c r="N15" s="243" t="s">
        <v>62</v>
      </c>
      <c r="O15" s="243" t="s">
        <v>63</v>
      </c>
      <c r="P15" s="243" t="s">
        <v>61</v>
      </c>
      <c r="Q15" s="243" t="s">
        <v>64</v>
      </c>
      <c r="R15" s="243" t="s">
        <v>62</v>
      </c>
      <c r="S15" s="243" t="s">
        <v>63</v>
      </c>
      <c r="T15" s="243" t="s">
        <v>61</v>
      </c>
      <c r="U15" s="243" t="s">
        <v>64</v>
      </c>
      <c r="V15" s="243" t="s">
        <v>62</v>
      </c>
      <c r="W15" s="243" t="s">
        <v>63</v>
      </c>
      <c r="X15" s="243" t="s">
        <v>61</v>
      </c>
      <c r="Y15" s="243" t="s">
        <v>64</v>
      </c>
      <c r="Z15" s="243" t="s">
        <v>62</v>
      </c>
      <c r="AA15" s="243" t="s">
        <v>63</v>
      </c>
      <c r="AB15" s="243" t="s">
        <v>61</v>
      </c>
      <c r="AC15" s="243" t="s">
        <v>64</v>
      </c>
      <c r="AD15" s="243" t="s">
        <v>62</v>
      </c>
      <c r="AE15" s="243" t="s">
        <v>63</v>
      </c>
      <c r="AF15" s="243" t="s">
        <v>61</v>
      </c>
      <c r="AG15" s="243" t="s">
        <v>64</v>
      </c>
      <c r="AH15" s="243" t="s">
        <v>62</v>
      </c>
      <c r="AI15" s="243" t="s">
        <v>63</v>
      </c>
      <c r="AJ15" s="243" t="s">
        <v>61</v>
      </c>
      <c r="AK15" s="243" t="s">
        <v>64</v>
      </c>
      <c r="AL15" s="243" t="s">
        <v>62</v>
      </c>
      <c r="AM15" s="243" t="s">
        <v>63</v>
      </c>
      <c r="AN15" s="243" t="s">
        <v>61</v>
      </c>
      <c r="AO15" s="243" t="s">
        <v>64</v>
      </c>
      <c r="AP15" s="243" t="s">
        <v>62</v>
      </c>
      <c r="AQ15" s="243" t="s">
        <v>63</v>
      </c>
      <c r="AR15" s="243" t="s">
        <v>61</v>
      </c>
      <c r="AS15" s="243" t="s">
        <v>64</v>
      </c>
      <c r="AT15" s="243" t="s">
        <v>62</v>
      </c>
      <c r="AU15" s="243" t="s">
        <v>63</v>
      </c>
      <c r="AV15" s="243" t="s">
        <v>61</v>
      </c>
      <c r="AW15" s="243" t="s">
        <v>64</v>
      </c>
      <c r="AX15" s="243" t="s">
        <v>62</v>
      </c>
      <c r="AY15" s="243" t="s">
        <v>63</v>
      </c>
      <c r="AZ15" s="243" t="s">
        <v>61</v>
      </c>
      <c r="BA15" s="243" t="s">
        <v>64</v>
      </c>
      <c r="BB15" s="244" t="s">
        <v>62</v>
      </c>
    </row>
    <row r="16" spans="1:54" ht="15.75" customHeight="1" x14ac:dyDescent="0.3">
      <c r="A16" s="147" t="s">
        <v>51</v>
      </c>
      <c r="B16" s="148" t="s">
        <v>47</v>
      </c>
      <c r="C16" s="97">
        <v>101.0791114298423</v>
      </c>
      <c r="D16" s="131">
        <v>97.466602690150154</v>
      </c>
      <c r="E16" s="131">
        <v>100.947240817414</v>
      </c>
      <c r="F16" s="131">
        <v>104.66517192841336</v>
      </c>
      <c r="G16" s="97">
        <v>100.99408402373007</v>
      </c>
      <c r="H16" s="131">
        <v>79.53687226867153</v>
      </c>
      <c r="I16" s="131">
        <v>100.83264449892766</v>
      </c>
      <c r="J16" s="131">
        <v>83.015338526693128</v>
      </c>
      <c r="K16" s="97">
        <v>101.56775091311412</v>
      </c>
      <c r="L16" s="131">
        <v>112.853913162571</v>
      </c>
      <c r="M16" s="131">
        <v>100.8978213725384</v>
      </c>
      <c r="N16" s="131">
        <v>110.9689642609587</v>
      </c>
      <c r="O16" s="97">
        <v>101.60705915740643</v>
      </c>
      <c r="P16" s="131">
        <v>110.4066290210082</v>
      </c>
      <c r="Q16" s="131">
        <v>101.38523370344082</v>
      </c>
      <c r="R16" s="131">
        <v>121.94427625865474</v>
      </c>
      <c r="S16" s="97">
        <v>101.11305016567836</v>
      </c>
      <c r="T16" s="131">
        <v>106.4732703838007</v>
      </c>
      <c r="U16" s="131">
        <v>101.15041094663222</v>
      </c>
      <c r="V16" s="131">
        <v>118.69018699189384</v>
      </c>
      <c r="W16" s="97">
        <v>101.44395357774675</v>
      </c>
      <c r="X16" s="131">
        <v>115.62896751151921</v>
      </c>
      <c r="Y16" s="131">
        <v>101.12649700820464</v>
      </c>
      <c r="Z16" s="131">
        <v>125.31181981853867</v>
      </c>
      <c r="AA16" s="97">
        <v>99.238963590310675</v>
      </c>
      <c r="AB16" s="131">
        <v>96.539988693657904</v>
      </c>
      <c r="AC16" s="131">
        <v>98.825817112051155</v>
      </c>
      <c r="AD16" s="131">
        <v>98.893139139222839</v>
      </c>
      <c r="AE16" s="97">
        <v>102.80793835075535</v>
      </c>
      <c r="AF16" s="131">
        <v>100.42556298757459</v>
      </c>
      <c r="AG16" s="131">
        <v>101.18873174090606</v>
      </c>
      <c r="AH16" s="131">
        <v>104.04438091235629</v>
      </c>
      <c r="AI16" s="97">
        <v>101.6945898779954</v>
      </c>
      <c r="AJ16" s="131">
        <v>88.997438419481739</v>
      </c>
      <c r="AK16" s="131">
        <v>100.84570377566182</v>
      </c>
      <c r="AL16" s="131">
        <v>94.260557594522297</v>
      </c>
      <c r="AM16" s="97">
        <v>101.13912393898106</v>
      </c>
      <c r="AN16" s="131">
        <v>91.561863646702335</v>
      </c>
      <c r="AO16" s="131">
        <v>103.12100345397508</v>
      </c>
      <c r="AP16" s="131">
        <v>97.748632169490193</v>
      </c>
      <c r="AQ16" s="97">
        <v>101.22592734331961</v>
      </c>
      <c r="AR16" s="131">
        <v>111.03573276373866</v>
      </c>
      <c r="AS16" s="131">
        <v>101.74519143951026</v>
      </c>
      <c r="AT16" s="131">
        <v>131.04847454928304</v>
      </c>
      <c r="AU16" s="97">
        <v>102.25681774278885</v>
      </c>
      <c r="AV16" s="131">
        <v>97.415032156285733</v>
      </c>
      <c r="AW16" s="131">
        <v>101.52378542373685</v>
      </c>
      <c r="AX16" s="131">
        <v>107.2575163899558</v>
      </c>
      <c r="AY16" s="97">
        <v>100.44294051670055</v>
      </c>
      <c r="AZ16" s="131">
        <v>79.58903089713364</v>
      </c>
      <c r="BA16" s="131">
        <v>108.4777056597304</v>
      </c>
      <c r="BB16" s="191">
        <v>108.84478404808264</v>
      </c>
    </row>
    <row r="17" spans="1:54" ht="15.75" customHeight="1" x14ac:dyDescent="0.3">
      <c r="A17" s="152"/>
      <c r="B17" s="86" t="s">
        <v>48</v>
      </c>
      <c r="C17" s="103">
        <v>92.017100643790101</v>
      </c>
      <c r="D17" s="105">
        <v>90.567120831664454</v>
      </c>
      <c r="E17" s="105">
        <v>92.847221480821815</v>
      </c>
      <c r="F17" s="105">
        <v>87.085680958731473</v>
      </c>
      <c r="G17" s="103">
        <v>92.283066480039707</v>
      </c>
      <c r="H17" s="105">
        <v>95.257755275165906</v>
      </c>
      <c r="I17" s="105">
        <v>92.182345771167618</v>
      </c>
      <c r="J17" s="105">
        <v>92.701906631489663</v>
      </c>
      <c r="K17" s="103">
        <v>92.598093578123056</v>
      </c>
      <c r="L17" s="105">
        <v>99.997903229813858</v>
      </c>
      <c r="M17" s="105">
        <v>91.991327470051061</v>
      </c>
      <c r="N17" s="105">
        <v>99.469432865618572</v>
      </c>
      <c r="O17" s="103">
        <v>91.016283999254171</v>
      </c>
      <c r="P17" s="105">
        <v>80.063274121359939</v>
      </c>
      <c r="Q17" s="105">
        <v>95.405306585880211</v>
      </c>
      <c r="R17" s="105">
        <v>71.715428912179732</v>
      </c>
      <c r="S17" s="103">
        <v>91.647808981810741</v>
      </c>
      <c r="T17" s="105">
        <v>86.400209764374594</v>
      </c>
      <c r="U17" s="105">
        <v>91.902367177411037</v>
      </c>
      <c r="V17" s="105">
        <v>80.363528200448926</v>
      </c>
      <c r="W17" s="103">
        <v>91.182791247579587</v>
      </c>
      <c r="X17" s="105">
        <v>81.9306544857928</v>
      </c>
      <c r="Y17" s="105">
        <v>90.976062976216781</v>
      </c>
      <c r="Z17" s="105">
        <v>74.001078814454175</v>
      </c>
      <c r="AA17" s="103">
        <v>90.188401449026728</v>
      </c>
      <c r="AB17" s="105">
        <v>85.650053547203925</v>
      </c>
      <c r="AC17" s="105">
        <v>89.277495453311587</v>
      </c>
      <c r="AD17" s="105">
        <v>84.481583246091461</v>
      </c>
      <c r="AE17" s="103">
        <v>94.358951075685624</v>
      </c>
      <c r="AF17" s="105">
        <v>91.861053213609679</v>
      </c>
      <c r="AG17" s="105">
        <v>95.270113371087788</v>
      </c>
      <c r="AH17" s="105">
        <v>90.229614731178089</v>
      </c>
      <c r="AI17" s="103">
        <v>92.444280529994558</v>
      </c>
      <c r="AJ17" s="105">
        <v>89.905176260452464</v>
      </c>
      <c r="AK17" s="105">
        <v>93.830694098435103</v>
      </c>
      <c r="AL17" s="105">
        <v>85.542209163910044</v>
      </c>
      <c r="AM17" s="103">
        <v>91.21211465713408</v>
      </c>
      <c r="AN17" s="105">
        <v>87.830889199609857</v>
      </c>
      <c r="AO17" s="105">
        <v>93.735025950179519</v>
      </c>
      <c r="AP17" s="105">
        <v>86.493835717696001</v>
      </c>
      <c r="AQ17" s="103">
        <v>98.949929086840456</v>
      </c>
      <c r="AR17" s="105">
        <v>94.80278386252354</v>
      </c>
      <c r="AS17" s="105">
        <v>104.11014801054144</v>
      </c>
      <c r="AT17" s="105">
        <v>102.28297364743734</v>
      </c>
      <c r="AU17" s="103">
        <v>92.375932567863615</v>
      </c>
      <c r="AV17" s="105">
        <v>85.741070769554923</v>
      </c>
      <c r="AW17" s="105">
        <v>93.228987736325962</v>
      </c>
      <c r="AX17" s="105">
        <v>76.441003343520492</v>
      </c>
      <c r="AY17" s="103">
        <v>90.900419797515269</v>
      </c>
      <c r="AZ17" s="105">
        <v>85.277081523762263</v>
      </c>
      <c r="BA17" s="105">
        <v>90.177186747735249</v>
      </c>
      <c r="BB17" s="106">
        <v>83.665755845345828</v>
      </c>
    </row>
    <row r="18" spans="1:54" ht="15.75" customHeight="1" x14ac:dyDescent="0.3">
      <c r="A18" s="152"/>
      <c r="B18" s="148" t="s">
        <v>49</v>
      </c>
      <c r="C18" s="97">
        <v>101.66358899467495</v>
      </c>
      <c r="D18" s="131">
        <v>98.434641392421284</v>
      </c>
      <c r="E18" s="131">
        <v>101.3595076786882</v>
      </c>
      <c r="F18" s="131">
        <v>96.374050612847086</v>
      </c>
      <c r="G18" s="97">
        <v>101.66557320342025</v>
      </c>
      <c r="H18" s="131">
        <v>99.382077696801673</v>
      </c>
      <c r="I18" s="131">
        <v>101.3231232393511</v>
      </c>
      <c r="J18" s="131">
        <v>96.042265494326756</v>
      </c>
      <c r="K18" s="97">
        <v>101.29077741261405</v>
      </c>
      <c r="L18" s="131">
        <v>110.30677845119928</v>
      </c>
      <c r="M18" s="131">
        <v>100.64170039026334</v>
      </c>
      <c r="N18" s="131">
        <v>106.94292399800878</v>
      </c>
      <c r="O18" s="97">
        <v>100.83624150443198</v>
      </c>
      <c r="P18" s="131">
        <v>88.061249642002565</v>
      </c>
      <c r="Q18" s="131">
        <v>100.03791751530855</v>
      </c>
      <c r="R18" s="131">
        <v>80.40587661589808</v>
      </c>
      <c r="S18" s="97">
        <v>100.98054715323286</v>
      </c>
      <c r="T18" s="131">
        <v>102.98930457029635</v>
      </c>
      <c r="U18" s="131">
        <v>100.60258228915528</v>
      </c>
      <c r="V18" s="131">
        <v>102.83904787300142</v>
      </c>
      <c r="W18" s="97">
        <v>102.24983313132992</v>
      </c>
      <c r="X18" s="131">
        <v>92.845316039208456</v>
      </c>
      <c r="Y18" s="131">
        <v>101.61230199822084</v>
      </c>
      <c r="Z18" s="131">
        <v>90.696465269029474</v>
      </c>
      <c r="AA18" s="97">
        <v>100.93639160451069</v>
      </c>
      <c r="AB18" s="131">
        <v>93.889803028257404</v>
      </c>
      <c r="AC18" s="131">
        <v>99.778377350382243</v>
      </c>
      <c r="AD18" s="131">
        <v>94.714814774749783</v>
      </c>
      <c r="AE18" s="97">
        <v>102.4835722618578</v>
      </c>
      <c r="AF18" s="131">
        <v>97.800451008253035</v>
      </c>
      <c r="AG18" s="131">
        <v>102.51098042463813</v>
      </c>
      <c r="AH18" s="131">
        <v>97.444221309414786</v>
      </c>
      <c r="AI18" s="97">
        <v>101.9084992789894</v>
      </c>
      <c r="AJ18" s="131">
        <v>91.082324181390561</v>
      </c>
      <c r="AK18" s="131">
        <v>102.92679560971605</v>
      </c>
      <c r="AL18" s="131">
        <v>89.813485287604195</v>
      </c>
      <c r="AM18" s="97">
        <v>101.28801505028989</v>
      </c>
      <c r="AN18" s="131">
        <v>93.366909780932986</v>
      </c>
      <c r="AO18" s="131">
        <v>100.95067909923696</v>
      </c>
      <c r="AP18" s="131">
        <v>91.074540227875389</v>
      </c>
      <c r="AQ18" s="97">
        <v>108.91398207534748</v>
      </c>
      <c r="AR18" s="131">
        <v>105.67269154977951</v>
      </c>
      <c r="AS18" s="131">
        <v>111.68674301789629</v>
      </c>
      <c r="AT18" s="131">
        <v>106.31670421805298</v>
      </c>
      <c r="AU18" s="97">
        <v>101.86333915885403</v>
      </c>
      <c r="AV18" s="131">
        <v>95.079088322822827</v>
      </c>
      <c r="AW18" s="131">
        <v>102.0321247928301</v>
      </c>
      <c r="AX18" s="131">
        <v>96.468686770169668</v>
      </c>
      <c r="AY18" s="97">
        <v>99.778405761284901</v>
      </c>
      <c r="AZ18" s="131">
        <v>89.904950986474745</v>
      </c>
      <c r="BA18" s="131">
        <v>97.908072912266348</v>
      </c>
      <c r="BB18" s="191">
        <v>86.399310611886492</v>
      </c>
    </row>
    <row r="19" spans="1:54" ht="15.75" customHeight="1" x14ac:dyDescent="0.3">
      <c r="A19" s="152"/>
      <c r="B19" s="86" t="s">
        <v>14</v>
      </c>
      <c r="C19" s="103">
        <v>98.476474259520728</v>
      </c>
      <c r="D19" s="105">
        <v>92.139415344706578</v>
      </c>
      <c r="E19" s="105">
        <v>98.266593732756633</v>
      </c>
      <c r="F19" s="105">
        <v>92.013034633234071</v>
      </c>
      <c r="G19" s="103">
        <v>98.928984769084067</v>
      </c>
      <c r="H19" s="105">
        <v>92.618043049308113</v>
      </c>
      <c r="I19" s="105">
        <v>97.974659370034587</v>
      </c>
      <c r="J19" s="105">
        <v>91.459035719743426</v>
      </c>
      <c r="K19" s="103">
        <v>97.931855013571806</v>
      </c>
      <c r="L19" s="105">
        <v>92.105734023568914</v>
      </c>
      <c r="M19" s="105">
        <v>97.416581916948147</v>
      </c>
      <c r="N19" s="105">
        <v>87.487947844981818</v>
      </c>
      <c r="O19" s="103">
        <v>98.399573719472116</v>
      </c>
      <c r="P19" s="105">
        <v>90.887593645741376</v>
      </c>
      <c r="Q19" s="105">
        <v>97.983084971414542</v>
      </c>
      <c r="R19" s="105">
        <v>91.465985705941506</v>
      </c>
      <c r="S19" s="103">
        <v>98.113583756363241</v>
      </c>
      <c r="T19" s="105">
        <v>90.119887760447682</v>
      </c>
      <c r="U19" s="105">
        <v>98.259413443047123</v>
      </c>
      <c r="V19" s="105">
        <v>91.226237952512506</v>
      </c>
      <c r="W19" s="103">
        <v>98.593908296211453</v>
      </c>
      <c r="X19" s="105">
        <v>91.980860735502176</v>
      </c>
      <c r="Y19" s="105">
        <v>98.45964613106247</v>
      </c>
      <c r="Z19" s="105">
        <v>97.004803364349343</v>
      </c>
      <c r="AA19" s="103">
        <v>98.579817904543432</v>
      </c>
      <c r="AB19" s="105">
        <v>89.592039100138706</v>
      </c>
      <c r="AC19" s="105">
        <v>98.141890242268886</v>
      </c>
      <c r="AD19" s="105">
        <v>93.807580277650288</v>
      </c>
      <c r="AE19" s="103">
        <v>98.075520284532502</v>
      </c>
      <c r="AF19" s="105">
        <v>95.089890619273447</v>
      </c>
      <c r="AG19" s="105">
        <v>97.948640427906312</v>
      </c>
      <c r="AH19" s="105">
        <v>91.057796880501954</v>
      </c>
      <c r="AI19" s="103">
        <v>98.707296004029828</v>
      </c>
      <c r="AJ19" s="105">
        <v>89.409399105305496</v>
      </c>
      <c r="AK19" s="105">
        <v>99.121294800572102</v>
      </c>
      <c r="AL19" s="105">
        <v>87.771212829406736</v>
      </c>
      <c r="AM19" s="103">
        <v>99.160431087299528</v>
      </c>
      <c r="AN19" s="105">
        <v>97.952594387310384</v>
      </c>
      <c r="AO19" s="105">
        <v>99.451616144843001</v>
      </c>
      <c r="AP19" s="105">
        <v>101.93696502446218</v>
      </c>
      <c r="AQ19" s="103">
        <v>97.080407932822311</v>
      </c>
      <c r="AR19" s="105">
        <v>106.83075253054753</v>
      </c>
      <c r="AS19" s="105">
        <v>99.754274493728801</v>
      </c>
      <c r="AT19" s="105">
        <v>111.08539309849938</v>
      </c>
      <c r="AU19" s="103">
        <v>98.350375529628025</v>
      </c>
      <c r="AV19" s="105">
        <v>91.07914590062866</v>
      </c>
      <c r="AW19" s="105">
        <v>98.982088578270648</v>
      </c>
      <c r="AX19" s="105">
        <v>92.85518972813378</v>
      </c>
      <c r="AY19" s="103">
        <v>99.229916627337346</v>
      </c>
      <c r="AZ19" s="105">
        <v>89.20809033378832</v>
      </c>
      <c r="BA19" s="105">
        <v>95.393754510239987</v>
      </c>
      <c r="BB19" s="106">
        <v>78.920758545085661</v>
      </c>
    </row>
    <row r="20" spans="1:54" ht="15.75" customHeight="1" x14ac:dyDescent="0.3">
      <c r="A20" s="152"/>
      <c r="B20" s="148" t="s">
        <v>15</v>
      </c>
      <c r="C20" s="97">
        <v>101.7508420529366</v>
      </c>
      <c r="D20" s="131">
        <v>94.937859871725237</v>
      </c>
      <c r="E20" s="131">
        <v>101.20212730172324</v>
      </c>
      <c r="F20" s="131">
        <v>91.057947018960007</v>
      </c>
      <c r="G20" s="97">
        <v>102.25080191037961</v>
      </c>
      <c r="H20" s="131">
        <v>104.7375967146843</v>
      </c>
      <c r="I20" s="131">
        <v>101.18630393481325</v>
      </c>
      <c r="J20" s="131">
        <v>103.41806343298241</v>
      </c>
      <c r="K20" s="97">
        <v>100.98454210740701</v>
      </c>
      <c r="L20" s="131">
        <v>86.275129921102916</v>
      </c>
      <c r="M20" s="131">
        <v>100.13363442334577</v>
      </c>
      <c r="N20" s="131">
        <v>81.917160541618799</v>
      </c>
      <c r="O20" s="97">
        <v>102.25709541737216</v>
      </c>
      <c r="P20" s="131">
        <v>81.415476096468737</v>
      </c>
      <c r="Q20" s="131">
        <v>100.72149687663519</v>
      </c>
      <c r="R20" s="131">
        <v>75.780537974028803</v>
      </c>
      <c r="S20" s="97">
        <v>101.41990957092497</v>
      </c>
      <c r="T20" s="131">
        <v>87.091734365264244</v>
      </c>
      <c r="U20" s="131">
        <v>101.6515130179841</v>
      </c>
      <c r="V20" s="131">
        <v>81.379512279975714</v>
      </c>
      <c r="W20" s="97">
        <v>102.02426483768295</v>
      </c>
      <c r="X20" s="131">
        <v>92.633021652344667</v>
      </c>
      <c r="Y20" s="131">
        <v>101.94366086939213</v>
      </c>
      <c r="Z20" s="131">
        <v>87.290531326859295</v>
      </c>
      <c r="AA20" s="97">
        <v>101.68435888014551</v>
      </c>
      <c r="AB20" s="131">
        <v>94.735810800206238</v>
      </c>
      <c r="AC20" s="131">
        <v>100.98612313311976</v>
      </c>
      <c r="AD20" s="131">
        <v>94.729015053228466</v>
      </c>
      <c r="AE20" s="97">
        <v>101.64816786196221</v>
      </c>
      <c r="AF20" s="131">
        <v>100.47323793479197</v>
      </c>
      <c r="AG20" s="131">
        <v>101.74503348228552</v>
      </c>
      <c r="AH20" s="131">
        <v>98.415628324126814</v>
      </c>
      <c r="AI20" s="97">
        <v>101.82286348995224</v>
      </c>
      <c r="AJ20" s="131">
        <v>97.934379243567477</v>
      </c>
      <c r="AK20" s="131">
        <v>102.47647006645282</v>
      </c>
      <c r="AL20" s="131">
        <v>93.812709156277563</v>
      </c>
      <c r="AM20" s="97">
        <v>102.08387378093322</v>
      </c>
      <c r="AN20" s="131">
        <v>94.736036896352942</v>
      </c>
      <c r="AO20" s="131">
        <v>101.2704667702691</v>
      </c>
      <c r="AP20" s="131">
        <v>95.161568974214575</v>
      </c>
      <c r="AQ20" s="97">
        <v>100.21221143829604</v>
      </c>
      <c r="AR20" s="131">
        <v>100.83572259312913</v>
      </c>
      <c r="AS20" s="131">
        <v>100.2283774590089</v>
      </c>
      <c r="AT20" s="131">
        <v>104.625656427728</v>
      </c>
      <c r="AU20" s="97">
        <v>101.7911552496698</v>
      </c>
      <c r="AV20" s="131">
        <v>103.87170929823371</v>
      </c>
      <c r="AW20" s="131">
        <v>101.75687014199377</v>
      </c>
      <c r="AX20" s="131">
        <v>95.09975482010779</v>
      </c>
      <c r="AY20" s="97">
        <v>102.51390853059297</v>
      </c>
      <c r="AZ20" s="131">
        <v>102.32336518178435</v>
      </c>
      <c r="BA20" s="131">
        <v>99.003018022826211</v>
      </c>
      <c r="BB20" s="191">
        <v>96.79576331735305</v>
      </c>
    </row>
    <row r="21" spans="1:54" ht="15.75" customHeight="1" x14ac:dyDescent="0.3">
      <c r="A21" s="152"/>
      <c r="B21" s="86" t="s">
        <v>16</v>
      </c>
      <c r="C21" s="103">
        <v>98.901080342362647</v>
      </c>
      <c r="D21" s="105">
        <v>97.732141458960669</v>
      </c>
      <c r="E21" s="105">
        <v>98.569069231366996</v>
      </c>
      <c r="F21" s="105">
        <v>99.373581178279977</v>
      </c>
      <c r="G21" s="103">
        <v>99.134493044390311</v>
      </c>
      <c r="H21" s="105">
        <v>99.385387488644611</v>
      </c>
      <c r="I21" s="105">
        <v>98.814230940316605</v>
      </c>
      <c r="J21" s="105">
        <v>98.771535768448587</v>
      </c>
      <c r="K21" s="103">
        <v>99.299677992964547</v>
      </c>
      <c r="L21" s="105">
        <v>85.375794150390618</v>
      </c>
      <c r="M21" s="105">
        <v>96.636455702105479</v>
      </c>
      <c r="N21" s="105">
        <v>84.256788190889054</v>
      </c>
      <c r="O21" s="103">
        <v>99.324661869522444</v>
      </c>
      <c r="P21" s="105">
        <v>111.06986427657182</v>
      </c>
      <c r="Q21" s="105">
        <v>99.056484949990633</v>
      </c>
      <c r="R21" s="105">
        <v>115.72143819507895</v>
      </c>
      <c r="S21" s="103">
        <v>99.218713711508386</v>
      </c>
      <c r="T21" s="105">
        <v>95.784466352739585</v>
      </c>
      <c r="U21" s="105">
        <v>99.314321067068164</v>
      </c>
      <c r="V21" s="105">
        <v>100.12025163360809</v>
      </c>
      <c r="W21" s="103">
        <v>98.896909188484244</v>
      </c>
      <c r="X21" s="105">
        <v>100.7385355938508</v>
      </c>
      <c r="Y21" s="105">
        <v>98.756743809221732</v>
      </c>
      <c r="Z21" s="105">
        <v>108.6439038943773</v>
      </c>
      <c r="AA21" s="103">
        <v>98.75666383537552</v>
      </c>
      <c r="AB21" s="105">
        <v>99.740126565326136</v>
      </c>
      <c r="AC21" s="105">
        <v>98.069030379567891</v>
      </c>
      <c r="AD21" s="105">
        <v>102.94007506847937</v>
      </c>
      <c r="AE21" s="103">
        <v>99.41830669490723</v>
      </c>
      <c r="AF21" s="105">
        <v>98.203843846124116</v>
      </c>
      <c r="AG21" s="105">
        <v>99.255157353608993</v>
      </c>
      <c r="AH21" s="105">
        <v>97.469134439185254</v>
      </c>
      <c r="AI21" s="103">
        <v>98.371689519035655</v>
      </c>
      <c r="AJ21" s="105">
        <v>98.276727651648017</v>
      </c>
      <c r="AK21" s="105">
        <v>100.27097508460167</v>
      </c>
      <c r="AL21" s="105">
        <v>97.799094238722404</v>
      </c>
      <c r="AM21" s="103">
        <v>98.976238413142283</v>
      </c>
      <c r="AN21" s="105">
        <v>102.5897787499058</v>
      </c>
      <c r="AO21" s="105">
        <v>99.001408972953982</v>
      </c>
      <c r="AP21" s="105">
        <v>107.5040862670613</v>
      </c>
      <c r="AQ21" s="103">
        <v>95.772022720474496</v>
      </c>
      <c r="AR21" s="105">
        <v>87.13450191470244</v>
      </c>
      <c r="AS21" s="105">
        <v>95.545407248235321</v>
      </c>
      <c r="AT21" s="105">
        <v>87.294456579102132</v>
      </c>
      <c r="AU21" s="103">
        <v>98.114312467334756</v>
      </c>
      <c r="AV21" s="105">
        <v>106.43122652670772</v>
      </c>
      <c r="AW21" s="105">
        <v>98.864087569589529</v>
      </c>
      <c r="AX21" s="105">
        <v>106.70981298665336</v>
      </c>
      <c r="AY21" s="103">
        <v>100.25548220509823</v>
      </c>
      <c r="AZ21" s="105">
        <v>103.52252140464077</v>
      </c>
      <c r="BA21" s="105">
        <v>96.182075425430781</v>
      </c>
      <c r="BB21" s="106">
        <v>98.791934595393542</v>
      </c>
    </row>
    <row r="22" spans="1:54" ht="15.75" customHeight="1" x14ac:dyDescent="0.3">
      <c r="A22" s="152"/>
      <c r="B22" s="148" t="s">
        <v>8</v>
      </c>
      <c r="C22" s="97">
        <v>102.26911544781558</v>
      </c>
      <c r="D22" s="131">
        <v>103.56814098216265</v>
      </c>
      <c r="E22" s="131">
        <v>102.0625860700623</v>
      </c>
      <c r="F22" s="131">
        <v>105.31085133886702</v>
      </c>
      <c r="G22" s="97">
        <v>101.8583276564319</v>
      </c>
      <c r="H22" s="131">
        <v>105.96891589581415</v>
      </c>
      <c r="I22" s="131">
        <v>102.69190026314976</v>
      </c>
      <c r="J22" s="131">
        <v>107.07737528537152</v>
      </c>
      <c r="K22" s="97">
        <v>102.53552485890238</v>
      </c>
      <c r="L22" s="131">
        <v>99.373589511680422</v>
      </c>
      <c r="M22" s="131">
        <v>101.96339989234625</v>
      </c>
      <c r="N22" s="131">
        <v>104.75254138179932</v>
      </c>
      <c r="O22" s="97">
        <v>102.5603215145002</v>
      </c>
      <c r="P22" s="131">
        <v>107.0317579195606</v>
      </c>
      <c r="Q22" s="131">
        <v>101.36621637829506</v>
      </c>
      <c r="R22" s="131">
        <v>109.76878727141293</v>
      </c>
      <c r="S22" s="97">
        <v>103.02369005106262</v>
      </c>
      <c r="T22" s="131">
        <v>102.9920037442339</v>
      </c>
      <c r="U22" s="131">
        <v>103.55276337863887</v>
      </c>
      <c r="V22" s="131">
        <v>103.63585461657665</v>
      </c>
      <c r="W22" s="97">
        <v>102.30473778257488</v>
      </c>
      <c r="X22" s="131">
        <v>102.89489125115962</v>
      </c>
      <c r="Y22" s="131">
        <v>103.22047975503716</v>
      </c>
      <c r="Z22" s="131">
        <v>105.77008373567284</v>
      </c>
      <c r="AA22" s="97">
        <v>102.47689147367566</v>
      </c>
      <c r="AB22" s="131">
        <v>106.04769002355418</v>
      </c>
      <c r="AC22" s="131">
        <v>101.49284833523684</v>
      </c>
      <c r="AD22" s="131">
        <v>106.45117391612231</v>
      </c>
      <c r="AE22" s="97">
        <v>101.85067065993614</v>
      </c>
      <c r="AF22" s="131">
        <v>101.98202532558625</v>
      </c>
      <c r="AG22" s="131">
        <v>101.16039226190279</v>
      </c>
      <c r="AH22" s="131">
        <v>103.2230165536897</v>
      </c>
      <c r="AI22" s="97">
        <v>102.26800048222655</v>
      </c>
      <c r="AJ22" s="131">
        <v>106.41768592719396</v>
      </c>
      <c r="AK22" s="131">
        <v>102.18945997574306</v>
      </c>
      <c r="AL22" s="131">
        <v>110.97322120561192</v>
      </c>
      <c r="AM22" s="97">
        <v>102.22427495176427</v>
      </c>
      <c r="AN22" s="131">
        <v>99.38164004660527</v>
      </c>
      <c r="AO22" s="131">
        <v>101.31598758638943</v>
      </c>
      <c r="AP22" s="131">
        <v>99.942492780437689</v>
      </c>
      <c r="AQ22" s="97">
        <v>101.13408631127194</v>
      </c>
      <c r="AR22" s="131">
        <v>89.202724939308169</v>
      </c>
      <c r="AS22" s="131">
        <v>99.826620273827388</v>
      </c>
      <c r="AT22" s="131">
        <v>82.613094998003277</v>
      </c>
      <c r="AU22" s="97">
        <v>101.40486293923003</v>
      </c>
      <c r="AV22" s="131">
        <v>100.01583389660557</v>
      </c>
      <c r="AW22" s="131">
        <v>101.85177586609142</v>
      </c>
      <c r="AX22" s="131">
        <v>101.61034553775643</v>
      </c>
      <c r="AY22" s="97">
        <v>100.58675773988755</v>
      </c>
      <c r="AZ22" s="131">
        <v>110.41965504405016</v>
      </c>
      <c r="BA22" s="131">
        <v>96.895718512394609</v>
      </c>
      <c r="BB22" s="191">
        <v>104.34630844664061</v>
      </c>
    </row>
    <row r="23" spans="1:54" ht="15.75" customHeight="1" x14ac:dyDescent="0.3">
      <c r="A23" s="152"/>
      <c r="B23" s="86" t="s">
        <v>9</v>
      </c>
      <c r="C23" s="103">
        <v>101.98688732910696</v>
      </c>
      <c r="D23" s="105">
        <v>108.12683385523283</v>
      </c>
      <c r="E23" s="105">
        <v>102.35901620792644</v>
      </c>
      <c r="F23" s="105">
        <v>107.3608621100407</v>
      </c>
      <c r="G23" s="103">
        <v>101.39164062791552</v>
      </c>
      <c r="H23" s="105">
        <v>106.41705558210568</v>
      </c>
      <c r="I23" s="105">
        <v>102.42854177870183</v>
      </c>
      <c r="J23" s="105">
        <v>106.45029882612076</v>
      </c>
      <c r="K23" s="103">
        <v>101.52578604259917</v>
      </c>
      <c r="L23" s="105">
        <v>107.07892432158826</v>
      </c>
      <c r="M23" s="105">
        <v>102.51007509410898</v>
      </c>
      <c r="N23" s="105">
        <v>109.04730084301957</v>
      </c>
      <c r="O23" s="103">
        <v>102.14526291656674</v>
      </c>
      <c r="P23" s="105">
        <v>108.2263749920958</v>
      </c>
      <c r="Q23" s="105">
        <v>102.11154430143108</v>
      </c>
      <c r="R23" s="105">
        <v>106.66986687462065</v>
      </c>
      <c r="S23" s="103">
        <v>102.91118998933746</v>
      </c>
      <c r="T23" s="105">
        <v>109.96049965847689</v>
      </c>
      <c r="U23" s="105">
        <v>102.7100129408681</v>
      </c>
      <c r="V23" s="105">
        <v>109.36907743061835</v>
      </c>
      <c r="W23" s="103">
        <v>101.71830354206848</v>
      </c>
      <c r="X23" s="105">
        <v>111.53854755035566</v>
      </c>
      <c r="Y23" s="105">
        <v>102.31894897519935</v>
      </c>
      <c r="Z23" s="105">
        <v>107.86980234577128</v>
      </c>
      <c r="AA23" s="103">
        <v>102.43296664225863</v>
      </c>
      <c r="AB23" s="105">
        <v>112.91964150160383</v>
      </c>
      <c r="AC23" s="105">
        <v>103.27644890057108</v>
      </c>
      <c r="AD23" s="105">
        <v>112.44683601792136</v>
      </c>
      <c r="AE23" s="103">
        <v>100.96592629259766</v>
      </c>
      <c r="AF23" s="105">
        <v>105.54197018070539</v>
      </c>
      <c r="AG23" s="105">
        <v>102.57323802024381</v>
      </c>
      <c r="AH23" s="105">
        <v>102.32094083118865</v>
      </c>
      <c r="AI23" s="103">
        <v>102.71993322005612</v>
      </c>
      <c r="AJ23" s="105">
        <v>111.15355122398</v>
      </c>
      <c r="AK23" s="105">
        <v>102.18173801673855</v>
      </c>
      <c r="AL23" s="105">
        <v>112.62201852999031</v>
      </c>
      <c r="AM23" s="103">
        <v>101.89880283707136</v>
      </c>
      <c r="AN23" s="105">
        <v>109.03450585272665</v>
      </c>
      <c r="AO23" s="105">
        <v>101.38795720426363</v>
      </c>
      <c r="AP23" s="105">
        <v>104.98370513372247</v>
      </c>
      <c r="AQ23" s="103">
        <v>101.01395143381187</v>
      </c>
      <c r="AR23" s="105">
        <v>88.430859789134985</v>
      </c>
      <c r="AS23" s="105">
        <v>100.46630617293404</v>
      </c>
      <c r="AT23" s="105">
        <v>80.241015912650724</v>
      </c>
      <c r="AU23" s="103">
        <v>102.11819091386045</v>
      </c>
      <c r="AV23" s="105">
        <v>101.03594110770511</v>
      </c>
      <c r="AW23" s="105">
        <v>102.26251661960524</v>
      </c>
      <c r="AX23" s="105">
        <v>101.1578011922422</v>
      </c>
      <c r="AY23" s="103">
        <v>102.26793148679734</v>
      </c>
      <c r="AZ23" s="105">
        <v>105.37287504653183</v>
      </c>
      <c r="BA23" s="105">
        <v>97.872464941191211</v>
      </c>
      <c r="BB23" s="106">
        <v>88.397663497881126</v>
      </c>
    </row>
    <row r="24" spans="1:54" ht="15.75" customHeight="1" x14ac:dyDescent="0.3">
      <c r="A24" s="152"/>
      <c r="B24" s="148" t="s">
        <v>10</v>
      </c>
      <c r="C24" s="97">
        <v>98.902358230296045</v>
      </c>
      <c r="D24" s="131">
        <v>101.37180868507518</v>
      </c>
      <c r="E24" s="131">
        <v>99.415507001626949</v>
      </c>
      <c r="F24" s="131">
        <v>97.176940190007571</v>
      </c>
      <c r="G24" s="97">
        <v>98.656455724262443</v>
      </c>
      <c r="H24" s="131">
        <v>107.26794790173111</v>
      </c>
      <c r="I24" s="131">
        <v>99.571898221855847</v>
      </c>
      <c r="J24" s="131">
        <v>108.64884218531361</v>
      </c>
      <c r="K24" s="97">
        <v>98.489864241578388</v>
      </c>
      <c r="L24" s="131">
        <v>92.830439770276399</v>
      </c>
      <c r="M24" s="131">
        <v>100.83684580925956</v>
      </c>
      <c r="N24" s="131">
        <v>92.381928458104113</v>
      </c>
      <c r="O24" s="97">
        <v>99.44449297995456</v>
      </c>
      <c r="P24" s="131">
        <v>97.492196848904626</v>
      </c>
      <c r="Q24" s="131">
        <v>99.5291601420397</v>
      </c>
      <c r="R24" s="131">
        <v>87.970552170834509</v>
      </c>
      <c r="S24" s="97">
        <v>99.677148497948906</v>
      </c>
      <c r="T24" s="131">
        <v>99.052545275174765</v>
      </c>
      <c r="U24" s="131">
        <v>99.781695785859256</v>
      </c>
      <c r="V24" s="131">
        <v>92.279661576970611</v>
      </c>
      <c r="W24" s="97">
        <v>98.685002073184918</v>
      </c>
      <c r="X24" s="131">
        <v>101.65961823322706</v>
      </c>
      <c r="Y24" s="131">
        <v>98.449549401478748</v>
      </c>
      <c r="Z24" s="131">
        <v>92.941086732505369</v>
      </c>
      <c r="AA24" s="97">
        <v>99.446767860569153</v>
      </c>
      <c r="AB24" s="131">
        <v>100.05954461840194</v>
      </c>
      <c r="AC24" s="131">
        <v>100.35615152835591</v>
      </c>
      <c r="AD24" s="131">
        <v>95.492784809909523</v>
      </c>
      <c r="AE24" s="97">
        <v>98.658921202505013</v>
      </c>
      <c r="AF24" s="131">
        <v>102.94155490002498</v>
      </c>
      <c r="AG24" s="131">
        <v>99.513262319859393</v>
      </c>
      <c r="AH24" s="131">
        <v>100.46568158704841</v>
      </c>
      <c r="AI24" s="97">
        <v>98.526942554015264</v>
      </c>
      <c r="AJ24" s="131">
        <v>107.98370783138778</v>
      </c>
      <c r="AK24" s="131">
        <v>98.02146493642509</v>
      </c>
      <c r="AL24" s="131">
        <v>102.23546368768135</v>
      </c>
      <c r="AM24" s="97">
        <v>98.625491648061697</v>
      </c>
      <c r="AN24" s="131">
        <v>104.70399760325826</v>
      </c>
      <c r="AO24" s="131">
        <v>98.776810736323384</v>
      </c>
      <c r="AP24" s="131">
        <v>97.567835841642889</v>
      </c>
      <c r="AQ24" s="97">
        <v>97.790641195215926</v>
      </c>
      <c r="AR24" s="131">
        <v>94.460025190789054</v>
      </c>
      <c r="AS24" s="131">
        <v>97.605013615145566</v>
      </c>
      <c r="AT24" s="131">
        <v>86.139840672871287</v>
      </c>
      <c r="AU24" s="97">
        <v>97.989054515913821</v>
      </c>
      <c r="AV24" s="131">
        <v>97.063072504852002</v>
      </c>
      <c r="AW24" s="131">
        <v>97.065198658485002</v>
      </c>
      <c r="AX24" s="131">
        <v>92.327210439760677</v>
      </c>
      <c r="AY24" s="97">
        <v>100.36656861197369</v>
      </c>
      <c r="AZ24" s="131">
        <v>105.64883980642759</v>
      </c>
      <c r="BA24" s="131">
        <v>96.316594427270104</v>
      </c>
      <c r="BB24" s="191">
        <v>119.02634837006619</v>
      </c>
    </row>
    <row r="25" spans="1:54" ht="15.75" customHeight="1" x14ac:dyDescent="0.3">
      <c r="A25" s="152"/>
      <c r="B25" s="130" t="s">
        <v>11</v>
      </c>
      <c r="C25" s="103">
        <v>102.06531696007886</v>
      </c>
      <c r="D25" s="105">
        <v>103.72503091346653</v>
      </c>
      <c r="E25" s="105">
        <v>101.86188117396728</v>
      </c>
      <c r="F25" s="105">
        <v>103.20168139467485</v>
      </c>
      <c r="G25" s="103">
        <v>101.64777190121551</v>
      </c>
      <c r="H25" s="105">
        <v>108.67235693775912</v>
      </c>
      <c r="I25" s="105">
        <v>101.65575945209847</v>
      </c>
      <c r="J25" s="105">
        <v>109.09048951214544</v>
      </c>
      <c r="K25" s="103">
        <v>101.60995293812469</v>
      </c>
      <c r="L25" s="105">
        <v>93.313694973582372</v>
      </c>
      <c r="M25" s="105">
        <v>100.63240560917703</v>
      </c>
      <c r="N25" s="105">
        <v>98.998378034673422</v>
      </c>
      <c r="O25" s="103">
        <v>103.01602259991628</v>
      </c>
      <c r="P25" s="105">
        <v>108.40887878610417</v>
      </c>
      <c r="Q25" s="105">
        <v>102.34058728348143</v>
      </c>
      <c r="R25" s="105">
        <v>107.64153384673823</v>
      </c>
      <c r="S25" s="103">
        <v>102.10679310812361</v>
      </c>
      <c r="T25" s="105">
        <v>99.645949730800893</v>
      </c>
      <c r="U25" s="105">
        <v>102.10070852737772</v>
      </c>
      <c r="V25" s="105">
        <v>97.446119137051852</v>
      </c>
      <c r="W25" s="103">
        <v>102.26051946534396</v>
      </c>
      <c r="X25" s="105">
        <v>103.43084158295264</v>
      </c>
      <c r="Y25" s="105">
        <v>102.68554486855483</v>
      </c>
      <c r="Z25" s="105">
        <v>101.11214338152601</v>
      </c>
      <c r="AA25" s="103">
        <v>103.33602570309563</v>
      </c>
      <c r="AB25" s="105">
        <v>101.5268246120941</v>
      </c>
      <c r="AC25" s="105">
        <v>104.48190635892078</v>
      </c>
      <c r="AD25" s="105">
        <v>98.345363672749968</v>
      </c>
      <c r="AE25" s="103">
        <v>100.23374206889153</v>
      </c>
      <c r="AF25" s="105">
        <v>101.84882062705218</v>
      </c>
      <c r="AG25" s="105">
        <v>100.20590596416019</v>
      </c>
      <c r="AH25" s="105">
        <v>103.08873683469034</v>
      </c>
      <c r="AI25" s="103">
        <v>101.72653301378544</v>
      </c>
      <c r="AJ25" s="105">
        <v>109.2164203585065</v>
      </c>
      <c r="AK25" s="105">
        <v>100.85337000918892</v>
      </c>
      <c r="AL25" s="105">
        <v>109.7346149754226</v>
      </c>
      <c r="AM25" s="103">
        <v>101.86740469513225</v>
      </c>
      <c r="AN25" s="105">
        <v>108.44176514108075</v>
      </c>
      <c r="AO25" s="105">
        <v>101.02515577474638</v>
      </c>
      <c r="AP25" s="105">
        <v>105.69577676812196</v>
      </c>
      <c r="AQ25" s="103">
        <v>100.74508392536532</v>
      </c>
      <c r="AR25" s="105">
        <v>103.20203860490386</v>
      </c>
      <c r="AS25" s="105">
        <v>96.993325400246604</v>
      </c>
      <c r="AT25" s="105">
        <v>95.009162059591304</v>
      </c>
      <c r="AU25" s="103">
        <v>102.16452029717449</v>
      </c>
      <c r="AV25" s="105">
        <v>114.2609505789479</v>
      </c>
      <c r="AW25" s="105">
        <v>102.34878265019887</v>
      </c>
      <c r="AX25" s="105">
        <v>111.05153480174219</v>
      </c>
      <c r="AY25" s="103">
        <v>102.33140943358332</v>
      </c>
      <c r="AZ25" s="105">
        <v>112.37920337510856</v>
      </c>
      <c r="BA25" s="105">
        <v>108.8743388930949</v>
      </c>
      <c r="BB25" s="106">
        <v>114.43515443057308</v>
      </c>
    </row>
    <row r="26" spans="1:54" ht="15.75" customHeight="1" x14ac:dyDescent="0.3">
      <c r="A26" s="152"/>
      <c r="B26" s="148" t="s">
        <v>12</v>
      </c>
      <c r="C26" s="97">
        <v>99.173395519011351</v>
      </c>
      <c r="D26" s="131">
        <v>108.23029005688277</v>
      </c>
      <c r="E26" s="131">
        <v>99.269376845136534</v>
      </c>
      <c r="F26" s="131">
        <v>106.63711932720588</v>
      </c>
      <c r="G26" s="97">
        <v>99.454253947853203</v>
      </c>
      <c r="H26" s="131">
        <v>113.4302899737748</v>
      </c>
      <c r="I26" s="131">
        <v>99.487968422375261</v>
      </c>
      <c r="J26" s="131">
        <v>113.13874905018595</v>
      </c>
      <c r="K26" s="97">
        <v>99.560203681668597</v>
      </c>
      <c r="L26" s="131">
        <v>109.49744518380609</v>
      </c>
      <c r="M26" s="131">
        <v>101.09492733620425</v>
      </c>
      <c r="N26" s="131">
        <v>111.81141262181914</v>
      </c>
      <c r="O26" s="97">
        <v>99.079909190232939</v>
      </c>
      <c r="P26" s="131">
        <v>105.65630282673789</v>
      </c>
      <c r="Q26" s="131">
        <v>99.160477124742059</v>
      </c>
      <c r="R26" s="131">
        <v>103.90972931894787</v>
      </c>
      <c r="S26" s="97">
        <v>99.028031079111429</v>
      </c>
      <c r="T26" s="131">
        <v>108.46243931355306</v>
      </c>
      <c r="U26" s="131">
        <v>98.693373004490212</v>
      </c>
      <c r="V26" s="131">
        <v>104.79145235627551</v>
      </c>
      <c r="W26" s="97">
        <v>98.350823079376667</v>
      </c>
      <c r="X26" s="131">
        <v>100.44925460048664</v>
      </c>
      <c r="Y26" s="131">
        <v>98.585810125810795</v>
      </c>
      <c r="Z26" s="131">
        <v>96.216181024541783</v>
      </c>
      <c r="AA26" s="97">
        <v>100.15081030478694</v>
      </c>
      <c r="AB26" s="131">
        <v>106.06657983650356</v>
      </c>
      <c r="AC26" s="131">
        <v>101.3458361526462</v>
      </c>
      <c r="AD26" s="131">
        <v>102.58221039701377</v>
      </c>
      <c r="AE26" s="97">
        <v>98.783878286175437</v>
      </c>
      <c r="AF26" s="131">
        <v>101.94959690953074</v>
      </c>
      <c r="AG26" s="131">
        <v>97.829722469752724</v>
      </c>
      <c r="AH26" s="131">
        <v>102.56140892121577</v>
      </c>
      <c r="AI26" s="97">
        <v>98.174143145934096</v>
      </c>
      <c r="AJ26" s="131">
        <v>107.37363193352698</v>
      </c>
      <c r="AK26" s="131">
        <v>97.270333266416316</v>
      </c>
      <c r="AL26" s="131">
        <v>107.87675206336186</v>
      </c>
      <c r="AM26" s="97">
        <v>98.878067377273581</v>
      </c>
      <c r="AN26" s="131">
        <v>107.56150831580267</v>
      </c>
      <c r="AO26" s="131">
        <v>98.715381261282076</v>
      </c>
      <c r="AP26" s="131">
        <v>107.6746344690865</v>
      </c>
      <c r="AQ26" s="97">
        <v>97.495242508418073</v>
      </c>
      <c r="AR26" s="131">
        <v>104.08657711260574</v>
      </c>
      <c r="AS26" s="131">
        <v>94.282149967578079</v>
      </c>
      <c r="AT26" s="131">
        <v>96.352370467779281</v>
      </c>
      <c r="AU26" s="97">
        <v>98.94916474291108</v>
      </c>
      <c r="AV26" s="131">
        <v>103.67716981808168</v>
      </c>
      <c r="AW26" s="131">
        <v>98.913307641673327</v>
      </c>
      <c r="AX26" s="131">
        <v>99.174352032345794</v>
      </c>
      <c r="AY26" s="97">
        <v>100.90315563089889</v>
      </c>
      <c r="AZ26" s="131">
        <v>116.71323985606155</v>
      </c>
      <c r="BA26" s="131">
        <v>107.34121791624955</v>
      </c>
      <c r="BB26" s="191">
        <v>108.00595578971482</v>
      </c>
    </row>
    <row r="27" spans="1:54" ht="15.75" customHeight="1" x14ac:dyDescent="0.3">
      <c r="A27" s="152"/>
      <c r="B27" s="130" t="s">
        <v>13</v>
      </c>
      <c r="C27" s="103">
        <v>101.71472879056375</v>
      </c>
      <c r="D27" s="105">
        <v>103.70011391755169</v>
      </c>
      <c r="E27" s="105">
        <v>101.83987245850972</v>
      </c>
      <c r="F27" s="105">
        <v>109.74307930873807</v>
      </c>
      <c r="G27" s="103">
        <v>101.73454671127737</v>
      </c>
      <c r="H27" s="105">
        <v>87.325701215538913</v>
      </c>
      <c r="I27" s="105">
        <v>101.85062410720791</v>
      </c>
      <c r="J27" s="105">
        <v>90.186099567178672</v>
      </c>
      <c r="K27" s="103">
        <v>102.60597121933198</v>
      </c>
      <c r="L27" s="105">
        <v>110.99065330041979</v>
      </c>
      <c r="M27" s="105">
        <v>105.24482498365184</v>
      </c>
      <c r="N27" s="105">
        <v>111.96522095850861</v>
      </c>
      <c r="O27" s="103">
        <v>100.31307513137003</v>
      </c>
      <c r="P27" s="105">
        <v>111.28040182344448</v>
      </c>
      <c r="Q27" s="105">
        <v>100.90249016734079</v>
      </c>
      <c r="R27" s="105">
        <v>127.00598685566395</v>
      </c>
      <c r="S27" s="103">
        <v>100.75953393489756</v>
      </c>
      <c r="T27" s="105">
        <v>111.02768908083745</v>
      </c>
      <c r="U27" s="105">
        <v>100.28083842146771</v>
      </c>
      <c r="V27" s="105">
        <v>117.85906995106639</v>
      </c>
      <c r="W27" s="103">
        <v>102.28895377841634</v>
      </c>
      <c r="X27" s="105">
        <v>104.26949076359998</v>
      </c>
      <c r="Y27" s="105">
        <v>101.86475408160058</v>
      </c>
      <c r="Z27" s="105">
        <v>113.14210029237456</v>
      </c>
      <c r="AA27" s="103">
        <v>102.77194075170128</v>
      </c>
      <c r="AB27" s="105">
        <v>113.23189767305222</v>
      </c>
      <c r="AC27" s="105">
        <v>103.96807505356772</v>
      </c>
      <c r="AD27" s="105">
        <v>115.1154236268608</v>
      </c>
      <c r="AE27" s="103">
        <v>100.71440496019355</v>
      </c>
      <c r="AF27" s="105">
        <v>101.88199244747354</v>
      </c>
      <c r="AG27" s="105">
        <v>100.79882216364824</v>
      </c>
      <c r="AH27" s="105">
        <v>109.6794386754041</v>
      </c>
      <c r="AI27" s="103">
        <v>101.63522888398555</v>
      </c>
      <c r="AJ27" s="105">
        <v>102.24955786355916</v>
      </c>
      <c r="AK27" s="105">
        <v>100.01170036004829</v>
      </c>
      <c r="AL27" s="105">
        <v>107.5586612674889</v>
      </c>
      <c r="AM27" s="103">
        <v>102.6461615629167</v>
      </c>
      <c r="AN27" s="105">
        <v>102.83851037971199</v>
      </c>
      <c r="AO27" s="105">
        <v>101.24850704553742</v>
      </c>
      <c r="AP27" s="105">
        <v>104.21592662618883</v>
      </c>
      <c r="AQ27" s="103">
        <v>99.666514028816351</v>
      </c>
      <c r="AR27" s="105">
        <v>114.3055891488373</v>
      </c>
      <c r="AS27" s="105">
        <v>97.75644290134737</v>
      </c>
      <c r="AT27" s="105">
        <v>116.99085736900115</v>
      </c>
      <c r="AU27" s="103">
        <v>102.6222738747711</v>
      </c>
      <c r="AV27" s="105">
        <v>104.32975911957412</v>
      </c>
      <c r="AW27" s="105">
        <v>101.17047432119928</v>
      </c>
      <c r="AX27" s="105">
        <v>119.84679195761187</v>
      </c>
      <c r="AY27" s="103">
        <v>100.42310365832996</v>
      </c>
      <c r="AZ27" s="105">
        <v>99.641146544236264</v>
      </c>
      <c r="BA27" s="105">
        <v>105.55785203157075</v>
      </c>
      <c r="BB27" s="106">
        <v>112.37026250197711</v>
      </c>
    </row>
    <row r="28" spans="1:54" ht="15.75" customHeight="1" x14ac:dyDescent="0.3">
      <c r="A28" s="147" t="s">
        <v>52</v>
      </c>
      <c r="B28" s="156" t="s">
        <v>54</v>
      </c>
      <c r="C28" s="97">
        <v>102.0965294490541</v>
      </c>
      <c r="D28" s="131">
        <v>105.09645071859646</v>
      </c>
      <c r="E28" s="131">
        <v>101.78951765352157</v>
      </c>
      <c r="F28" s="131">
        <v>109.89010449886281</v>
      </c>
      <c r="G28" s="97">
        <v>101.81360646137291</v>
      </c>
      <c r="H28" s="131">
        <v>84.55517559633266</v>
      </c>
      <c r="I28" s="131">
        <v>101.4682813348484</v>
      </c>
      <c r="J28" s="131">
        <v>86.625711406820216</v>
      </c>
      <c r="K28" s="97">
        <v>102.76789036378258</v>
      </c>
      <c r="L28" s="131">
        <v>122.64637269955681</v>
      </c>
      <c r="M28" s="131">
        <v>103.54577123947446</v>
      </c>
      <c r="N28" s="131">
        <v>114.63333458138298</v>
      </c>
      <c r="O28" s="97">
        <v>101.2763321690303</v>
      </c>
      <c r="P28" s="131">
        <v>114.42382517781546</v>
      </c>
      <c r="Q28" s="131">
        <v>100.83432155555998</v>
      </c>
      <c r="R28" s="131">
        <v>124.82368813132325</v>
      </c>
      <c r="S28" s="97">
        <v>103.7568700413652</v>
      </c>
      <c r="T28" s="131">
        <v>117.90535355992708</v>
      </c>
      <c r="U28" s="131">
        <v>103.76328154002199</v>
      </c>
      <c r="V28" s="131">
        <v>128.76045887585096</v>
      </c>
      <c r="W28" s="97">
        <v>102.49540219877338</v>
      </c>
      <c r="X28" s="131">
        <v>130.18644398045333</v>
      </c>
      <c r="Y28" s="131">
        <v>101.95551747586424</v>
      </c>
      <c r="Z28" s="131">
        <v>129.42664902529509</v>
      </c>
      <c r="AA28" s="97">
        <v>102.71734263862146</v>
      </c>
      <c r="AB28" s="131">
        <v>108.58243971383928</v>
      </c>
      <c r="AC28" s="131">
        <v>102.81659456194301</v>
      </c>
      <c r="AD28" s="131">
        <v>114.38892546357589</v>
      </c>
      <c r="AE28" s="97">
        <v>101.12893300914136</v>
      </c>
      <c r="AF28" s="131">
        <v>99.153932450407709</v>
      </c>
      <c r="AG28" s="131">
        <v>100.31180710124926</v>
      </c>
      <c r="AH28" s="131">
        <v>101.84882164356344</v>
      </c>
      <c r="AI28" s="97">
        <v>101.38146885525343</v>
      </c>
      <c r="AJ28" s="131">
        <v>93.58562707984126</v>
      </c>
      <c r="AK28" s="131">
        <v>99.804672250903494</v>
      </c>
      <c r="AL28" s="131">
        <v>99.673440945036802</v>
      </c>
      <c r="AM28" s="97">
        <v>103.14567745740268</v>
      </c>
      <c r="AN28" s="131">
        <v>101.68380107682098</v>
      </c>
      <c r="AO28" s="131">
        <v>102.60608531799336</v>
      </c>
      <c r="AP28" s="131">
        <v>101.78878266460276</v>
      </c>
      <c r="AQ28" s="97">
        <v>99.807193094782136</v>
      </c>
      <c r="AR28" s="131">
        <v>108.7570468935001</v>
      </c>
      <c r="AS28" s="131">
        <v>98.736184928021444</v>
      </c>
      <c r="AT28" s="131">
        <v>115.56817757057696</v>
      </c>
      <c r="AU28" s="97">
        <v>98.124750629953155</v>
      </c>
      <c r="AV28" s="131">
        <v>106.67856607987328</v>
      </c>
      <c r="AW28" s="131">
        <v>96.160574126957329</v>
      </c>
      <c r="AX28" s="131">
        <v>107.27678332341324</v>
      </c>
      <c r="AY28" s="97">
        <v>100.31102540853595</v>
      </c>
      <c r="AZ28" s="131">
        <v>88.51718575505646</v>
      </c>
      <c r="BA28" s="131">
        <v>105.7022621364865</v>
      </c>
      <c r="BB28" s="191">
        <v>109.2112941843786</v>
      </c>
    </row>
    <row r="29" spans="1:54" ht="15.75" customHeight="1" x14ac:dyDescent="0.3">
      <c r="A29" s="101"/>
      <c r="B29" s="100" t="s">
        <v>56</v>
      </c>
      <c r="C29" s="103">
        <v>95.553839765269458</v>
      </c>
      <c r="D29" s="105">
        <v>99.197661842104836</v>
      </c>
      <c r="E29" s="105">
        <v>95.247681664919071</v>
      </c>
      <c r="F29" s="105">
        <v>94.463365825156089</v>
      </c>
      <c r="G29" s="103">
        <v>95.980968821343197</v>
      </c>
      <c r="H29" s="105">
        <v>103.1426448010308</v>
      </c>
      <c r="I29" s="105">
        <v>94.835812187278904</v>
      </c>
      <c r="J29" s="105">
        <v>100.22391817106198</v>
      </c>
      <c r="K29" s="103">
        <v>96.133019038600267</v>
      </c>
      <c r="L29" s="105">
        <v>110.05171339296275</v>
      </c>
      <c r="M29" s="105">
        <v>97.060743059425064</v>
      </c>
      <c r="N29" s="105">
        <v>104.41844504517235</v>
      </c>
      <c r="O29" s="103">
        <v>93.643304367462875</v>
      </c>
      <c r="P29" s="105">
        <v>83.215784745379281</v>
      </c>
      <c r="Q29" s="105">
        <v>93.873305380890301</v>
      </c>
      <c r="R29" s="105">
        <v>71.175590491739655</v>
      </c>
      <c r="S29" s="103">
        <v>96.542118191368843</v>
      </c>
      <c r="T29" s="105">
        <v>102.22335988798525</v>
      </c>
      <c r="U29" s="105">
        <v>94.834831188568742</v>
      </c>
      <c r="V29" s="105">
        <v>98.121270573604036</v>
      </c>
      <c r="W29" s="103">
        <v>94.311518791009817</v>
      </c>
      <c r="X29" s="105">
        <v>86.603987272964787</v>
      </c>
      <c r="Y29" s="105">
        <v>94.003508115274599</v>
      </c>
      <c r="Z29" s="105">
        <v>77.308219516484883</v>
      </c>
      <c r="AA29" s="103">
        <v>95.947924597437932</v>
      </c>
      <c r="AB29" s="105">
        <v>99.001906078917173</v>
      </c>
      <c r="AC29" s="105">
        <v>96.230116986907106</v>
      </c>
      <c r="AD29" s="105">
        <v>97.36911935300499</v>
      </c>
      <c r="AE29" s="103">
        <v>94.41564382329301</v>
      </c>
      <c r="AF29" s="105">
        <v>97.502123051697993</v>
      </c>
      <c r="AG29" s="105">
        <v>95.254028299343801</v>
      </c>
      <c r="AH29" s="105">
        <v>99.853285075108715</v>
      </c>
      <c r="AI29" s="103">
        <v>95.597302908470809</v>
      </c>
      <c r="AJ29" s="105">
        <v>94.472704278513802</v>
      </c>
      <c r="AK29" s="105">
        <v>95.300421720461628</v>
      </c>
      <c r="AL29" s="105">
        <v>90.939746334140565</v>
      </c>
      <c r="AM29" s="103">
        <v>97.030749035570395</v>
      </c>
      <c r="AN29" s="105">
        <v>90.925229118031851</v>
      </c>
      <c r="AO29" s="105">
        <v>97.086450096191911</v>
      </c>
      <c r="AP29" s="105">
        <v>81.961809805171356</v>
      </c>
      <c r="AQ29" s="103">
        <v>94.892056776417732</v>
      </c>
      <c r="AR29" s="105">
        <v>103.04633550835851</v>
      </c>
      <c r="AS29" s="105">
        <v>95.050914184345785</v>
      </c>
      <c r="AT29" s="105">
        <v>102.4513435188433</v>
      </c>
      <c r="AU29" s="103">
        <v>92.118190244747481</v>
      </c>
      <c r="AV29" s="105">
        <v>85.366447513695391</v>
      </c>
      <c r="AW29" s="105">
        <v>90.809462141210588</v>
      </c>
      <c r="AX29" s="105">
        <v>77.893860749490244</v>
      </c>
      <c r="AY29" s="103">
        <v>93.64980836768278</v>
      </c>
      <c r="AZ29" s="105">
        <v>88.427844645737679</v>
      </c>
      <c r="BA29" s="105">
        <v>99.970367903700236</v>
      </c>
      <c r="BB29" s="106">
        <v>96.575420913984658</v>
      </c>
    </row>
    <row r="30" spans="1:54" ht="15.75" customHeight="1" x14ac:dyDescent="0.3">
      <c r="A30" s="101"/>
      <c r="B30" s="156" t="s">
        <v>65</v>
      </c>
      <c r="C30" s="97">
        <v>83.993066775561104</v>
      </c>
      <c r="D30" s="131">
        <v>56.362628350440772</v>
      </c>
      <c r="E30" s="131">
        <v>81.813985961781142</v>
      </c>
      <c r="F30" s="131">
        <v>53.387161529856201</v>
      </c>
      <c r="G30" s="97">
        <v>86.775367987111295</v>
      </c>
      <c r="H30" s="131">
        <v>57.266891884040525</v>
      </c>
      <c r="I30" s="131">
        <v>85.313623155568607</v>
      </c>
      <c r="J30" s="131">
        <v>56.586654497115227</v>
      </c>
      <c r="K30" s="97">
        <v>93.114038483729331</v>
      </c>
      <c r="L30" s="131">
        <v>56.833175636436806</v>
      </c>
      <c r="M30" s="131">
        <v>95.214699071825152</v>
      </c>
      <c r="N30" s="131">
        <v>55.423910525909669</v>
      </c>
      <c r="O30" s="97">
        <v>74.140922465083619</v>
      </c>
      <c r="P30" s="131">
        <v>43.150283723811903</v>
      </c>
      <c r="Q30" s="131">
        <v>69.848064871512094</v>
      </c>
      <c r="R30" s="131">
        <v>35.775140805959197</v>
      </c>
      <c r="S30" s="97">
        <v>83.750580173953381</v>
      </c>
      <c r="T30" s="131">
        <v>53.976378136963845</v>
      </c>
      <c r="U30" s="131">
        <v>79.890083322745653</v>
      </c>
      <c r="V30" s="131">
        <v>49.790523022333247</v>
      </c>
      <c r="W30" s="97">
        <v>69.947543698591957</v>
      </c>
      <c r="X30" s="131">
        <v>47.966209588674083</v>
      </c>
      <c r="Y30" s="131">
        <v>68.354159843657499</v>
      </c>
      <c r="Z30" s="131">
        <v>41.895319661986392</v>
      </c>
      <c r="AA30" s="97">
        <v>90.809736037942486</v>
      </c>
      <c r="AB30" s="131">
        <v>57.895614886517997</v>
      </c>
      <c r="AC30" s="131">
        <v>89.357104546741411</v>
      </c>
      <c r="AD30" s="131">
        <v>54.622176622896369</v>
      </c>
      <c r="AE30" s="97">
        <v>71.927828645668129</v>
      </c>
      <c r="AF30" s="131">
        <v>61.543258308135194</v>
      </c>
      <c r="AG30" s="131">
        <v>71.556719596831869</v>
      </c>
      <c r="AH30" s="131">
        <v>62.154798620362818</v>
      </c>
      <c r="AI30" s="97">
        <v>78.345097119463802</v>
      </c>
      <c r="AJ30" s="131">
        <v>56.198277471121727</v>
      </c>
      <c r="AK30" s="131">
        <v>77.110742265945575</v>
      </c>
      <c r="AL30" s="131">
        <v>55.036022604389579</v>
      </c>
      <c r="AM30" s="97">
        <v>88.249564565265416</v>
      </c>
      <c r="AN30" s="131">
        <v>59.662903033129524</v>
      </c>
      <c r="AO30" s="131">
        <v>87.591093999336763</v>
      </c>
      <c r="AP30" s="131">
        <v>54.439533114775884</v>
      </c>
      <c r="AQ30" s="97">
        <v>85.545180385800691</v>
      </c>
      <c r="AR30" s="131">
        <v>78.172211032262837</v>
      </c>
      <c r="AS30" s="131">
        <v>85.510294161696507</v>
      </c>
      <c r="AT30" s="131">
        <v>82.023901814651623</v>
      </c>
      <c r="AU30" s="97">
        <v>74.02732884942877</v>
      </c>
      <c r="AV30" s="131">
        <v>56.742070112004129</v>
      </c>
      <c r="AW30" s="131">
        <v>69.946827704486253</v>
      </c>
      <c r="AX30" s="131">
        <v>50.024666028934796</v>
      </c>
      <c r="AY30" s="97">
        <v>82.819875540244439</v>
      </c>
      <c r="AZ30" s="131">
        <v>58.971088224345451</v>
      </c>
      <c r="BA30" s="131">
        <v>84.40177166141271</v>
      </c>
      <c r="BB30" s="191">
        <v>68.447949561224107</v>
      </c>
    </row>
    <row r="31" spans="1:54" s="109" customFormat="1" ht="15.75" customHeight="1" x14ac:dyDescent="0.3">
      <c r="A31" s="173"/>
      <c r="B31" s="109" t="s">
        <v>66</v>
      </c>
      <c r="C31" s="192">
        <v>31.014880464496091</v>
      </c>
      <c r="D31" s="193">
        <v>5.6265979864041711</v>
      </c>
      <c r="E31" s="193">
        <v>27.615311820718791</v>
      </c>
      <c r="F31" s="193">
        <v>4.5423974435504002</v>
      </c>
      <c r="G31" s="192">
        <v>52.83208554830442</v>
      </c>
      <c r="H31" s="193">
        <v>8.1503930594890903</v>
      </c>
      <c r="I31" s="193">
        <v>49.760832777779285</v>
      </c>
      <c r="J31" s="193">
        <v>8.180028047651998</v>
      </c>
      <c r="K31" s="192">
        <v>31.679043979737003</v>
      </c>
      <c r="L31" s="193">
        <v>2.934651988713274</v>
      </c>
      <c r="M31" s="193">
        <v>31.296390107453959</v>
      </c>
      <c r="N31" s="193">
        <v>2.0794193248225028</v>
      </c>
      <c r="O31" s="192">
        <v>14.062644489809156</v>
      </c>
      <c r="P31" s="193">
        <v>2.7919044706308247</v>
      </c>
      <c r="Q31" s="193">
        <v>9.3775687849852734</v>
      </c>
      <c r="R31" s="193">
        <v>1.5597042335556035</v>
      </c>
      <c r="S31" s="192">
        <v>21.969243056983228</v>
      </c>
      <c r="T31" s="193">
        <v>4.2181787436713716</v>
      </c>
      <c r="U31" s="193">
        <v>22.192271412385342</v>
      </c>
      <c r="V31" s="193">
        <v>2.6135718040855704</v>
      </c>
      <c r="W31" s="192">
        <v>15.593022040503737</v>
      </c>
      <c r="X31" s="193">
        <v>4.2461202248708574</v>
      </c>
      <c r="Y31" s="193">
        <v>10.264228122838317</v>
      </c>
      <c r="Z31" s="193">
        <v>3.1318692611717465</v>
      </c>
      <c r="AA31" s="192">
        <v>35.38029390394189</v>
      </c>
      <c r="AB31" s="193">
        <v>7.1506112347714996</v>
      </c>
      <c r="AC31" s="193">
        <v>34.771368784260524</v>
      </c>
      <c r="AD31" s="193">
        <v>7.2028898945907445</v>
      </c>
      <c r="AE31" s="192">
        <v>0</v>
      </c>
      <c r="AF31" s="193">
        <v>0</v>
      </c>
      <c r="AG31" s="193">
        <v>0</v>
      </c>
      <c r="AH31" s="193">
        <v>0</v>
      </c>
      <c r="AI31" s="192">
        <v>27.251753913683302</v>
      </c>
      <c r="AJ31" s="193">
        <v>5.2688550860723131</v>
      </c>
      <c r="AK31" s="193">
        <v>23.6764975231916</v>
      </c>
      <c r="AL31" s="193">
        <v>4.0780906983632219</v>
      </c>
      <c r="AM31" s="192">
        <v>34.23849056014577</v>
      </c>
      <c r="AN31" s="193">
        <v>9.9613998585933956</v>
      </c>
      <c r="AO31" s="193">
        <v>35.148672400864598</v>
      </c>
      <c r="AP31" s="193">
        <v>8.1934458388281382</v>
      </c>
      <c r="AQ31" s="192">
        <v>34.372980198183022</v>
      </c>
      <c r="AR31" s="193">
        <v>9.4244594433208881</v>
      </c>
      <c r="AS31" s="193">
        <v>37.505544433447788</v>
      </c>
      <c r="AT31" s="193">
        <v>7.6439009319177771</v>
      </c>
      <c r="AU31" s="192">
        <v>18.413962675137817</v>
      </c>
      <c r="AV31" s="193">
        <v>4.7537216547983894</v>
      </c>
      <c r="AW31" s="193">
        <v>15.367733266231296</v>
      </c>
      <c r="AX31" s="193">
        <v>2.99270991487281</v>
      </c>
      <c r="AY31" s="192">
        <v>21.959402216273006</v>
      </c>
      <c r="AZ31" s="193">
        <v>10.699094180419408</v>
      </c>
      <c r="BA31" s="193">
        <v>13.929145907370646</v>
      </c>
      <c r="BB31" s="194">
        <v>8.6817088535104805</v>
      </c>
    </row>
    <row r="32" spans="1:54" ht="15.75" customHeight="1" x14ac:dyDescent="0.3">
      <c r="A32" s="101"/>
      <c r="B32" s="156" t="s">
        <v>15</v>
      </c>
      <c r="C32" s="97">
        <v>32.566895043154517</v>
      </c>
      <c r="D32" s="131">
        <v>7.5111490946681725</v>
      </c>
      <c r="E32" s="131">
        <v>28.388441012052013</v>
      </c>
      <c r="F32" s="131">
        <v>6.206182142603474</v>
      </c>
      <c r="G32" s="97">
        <v>51.105237188294794</v>
      </c>
      <c r="H32" s="131">
        <v>9.0324985549668444</v>
      </c>
      <c r="I32" s="131">
        <v>49.031669956440993</v>
      </c>
      <c r="J32" s="131">
        <v>8.9208697693174006</v>
      </c>
      <c r="K32" s="97">
        <v>21.067237115030462</v>
      </c>
      <c r="L32" s="131">
        <v>4.6941620390217942</v>
      </c>
      <c r="M32" s="131">
        <v>19.858415061951273</v>
      </c>
      <c r="N32" s="131">
        <v>3.2052988498299997</v>
      </c>
      <c r="O32" s="97">
        <v>21.339416606245319</v>
      </c>
      <c r="P32" s="131">
        <v>7.2796343035310382</v>
      </c>
      <c r="Q32" s="131">
        <v>14.116045390832522</v>
      </c>
      <c r="R32" s="131">
        <v>4.9705974005965059</v>
      </c>
      <c r="S32" s="97">
        <v>24.981961136045818</v>
      </c>
      <c r="T32" s="131">
        <v>4.6752608082695177</v>
      </c>
      <c r="U32" s="131">
        <v>24.192120004553534</v>
      </c>
      <c r="V32" s="131">
        <v>3.4000901012857918</v>
      </c>
      <c r="W32" s="97">
        <v>22.57677237452689</v>
      </c>
      <c r="X32" s="131">
        <v>5.9633400274999593</v>
      </c>
      <c r="Y32" s="131">
        <v>16.099410180833271</v>
      </c>
      <c r="Z32" s="131">
        <v>4.1661553227158779</v>
      </c>
      <c r="AA32" s="97">
        <v>38.911501889395915</v>
      </c>
      <c r="AB32" s="131">
        <v>11.234769942410738</v>
      </c>
      <c r="AC32" s="131">
        <v>35.803772012191644</v>
      </c>
      <c r="AD32" s="131">
        <v>11.087002584135304</v>
      </c>
      <c r="AE32" s="97">
        <v>0</v>
      </c>
      <c r="AF32" s="131">
        <v>0</v>
      </c>
      <c r="AG32" s="131">
        <v>0</v>
      </c>
      <c r="AH32" s="131">
        <v>0</v>
      </c>
      <c r="AI32" s="97">
        <v>38.20181388731222</v>
      </c>
      <c r="AJ32" s="131">
        <v>9.9741989794634023</v>
      </c>
      <c r="AK32" s="131">
        <v>32.280670441974891</v>
      </c>
      <c r="AL32" s="131">
        <v>8.409242463438046</v>
      </c>
      <c r="AM32" s="97">
        <v>34.233294131060269</v>
      </c>
      <c r="AN32" s="131">
        <v>9.3605306623132822</v>
      </c>
      <c r="AO32" s="131">
        <v>34.191868949228159</v>
      </c>
      <c r="AP32" s="131">
        <v>7.8764117572315921</v>
      </c>
      <c r="AQ32" s="97">
        <v>46.294839647822137</v>
      </c>
      <c r="AR32" s="131">
        <v>10.835421215675908</v>
      </c>
      <c r="AS32" s="131">
        <v>48.186373462716666</v>
      </c>
      <c r="AT32" s="131">
        <v>10.084503818035181</v>
      </c>
      <c r="AU32" s="97">
        <v>10.340204476914566</v>
      </c>
      <c r="AV32" s="131">
        <v>5.4022682592851101</v>
      </c>
      <c r="AW32" s="131">
        <v>9.2632848884545282</v>
      </c>
      <c r="AX32" s="131">
        <v>3.2224109486689709</v>
      </c>
      <c r="AY32" s="97">
        <v>16.805786411586713</v>
      </c>
      <c r="AZ32" s="131">
        <v>9.9585556520660123</v>
      </c>
      <c r="BA32" s="131">
        <v>10.020676526722671</v>
      </c>
      <c r="BB32" s="191">
        <v>7.6967128622150964</v>
      </c>
    </row>
    <row r="33" spans="1:54" ht="15.75" customHeight="1" x14ac:dyDescent="0.3">
      <c r="A33" s="101"/>
      <c r="B33" s="109" t="s">
        <v>16</v>
      </c>
      <c r="C33" s="192">
        <v>38.59588957996278</v>
      </c>
      <c r="D33" s="193">
        <v>10.050192600530353</v>
      </c>
      <c r="E33" s="193">
        <v>33.713160969724079</v>
      </c>
      <c r="F33" s="193">
        <v>7.7234320574938744</v>
      </c>
      <c r="G33" s="192">
        <v>51.99233832069342</v>
      </c>
      <c r="H33" s="193">
        <v>10.785125274472019</v>
      </c>
      <c r="I33" s="193">
        <v>50.74446814165352</v>
      </c>
      <c r="J33" s="193">
        <v>10.451723455993399</v>
      </c>
      <c r="K33" s="192">
        <v>20.60490060066164</v>
      </c>
      <c r="L33" s="193">
        <v>5.3658767804728784</v>
      </c>
      <c r="M33" s="193">
        <v>19.549691129245112</v>
      </c>
      <c r="N33" s="193">
        <v>3.5944361295397393</v>
      </c>
      <c r="O33" s="192">
        <v>30.394224726882697</v>
      </c>
      <c r="P33" s="193">
        <v>7.9040150484824263</v>
      </c>
      <c r="Q33" s="193">
        <v>20.477714760180536</v>
      </c>
      <c r="R33" s="193">
        <v>4.3794133904617709</v>
      </c>
      <c r="S33" s="192">
        <v>32.099699815467666</v>
      </c>
      <c r="T33" s="193">
        <v>7.1383181574159664</v>
      </c>
      <c r="U33" s="193">
        <v>28.025593777237372</v>
      </c>
      <c r="V33" s="193">
        <v>4.6896744266953592</v>
      </c>
      <c r="W33" s="192">
        <v>28.639880592251554</v>
      </c>
      <c r="X33" s="193">
        <v>6.0767275488943548</v>
      </c>
      <c r="Y33" s="193">
        <v>21.389301153733729</v>
      </c>
      <c r="Z33" s="193">
        <v>3.2801430125066808</v>
      </c>
      <c r="AA33" s="192">
        <v>46.477398458287077</v>
      </c>
      <c r="AB33" s="193">
        <v>14.892035684938925</v>
      </c>
      <c r="AC33" s="193">
        <v>43.179400798039289</v>
      </c>
      <c r="AD33" s="193">
        <v>13.022008440991609</v>
      </c>
      <c r="AE33" s="192">
        <v>0</v>
      </c>
      <c r="AF33" s="193">
        <v>0</v>
      </c>
      <c r="AG33" s="193">
        <v>0</v>
      </c>
      <c r="AH33" s="193">
        <v>0</v>
      </c>
      <c r="AI33" s="192">
        <v>46.271730417471346</v>
      </c>
      <c r="AJ33" s="193">
        <v>14.009128508282064</v>
      </c>
      <c r="AK33" s="193">
        <v>39.718461355087975</v>
      </c>
      <c r="AL33" s="193">
        <v>11.370080160575375</v>
      </c>
      <c r="AM33" s="192">
        <v>54.164429654093468</v>
      </c>
      <c r="AN33" s="193">
        <v>16.958515552911859</v>
      </c>
      <c r="AO33" s="193">
        <v>54.528647951802292</v>
      </c>
      <c r="AP33" s="193">
        <v>14.931830921157632</v>
      </c>
      <c r="AQ33" s="192">
        <v>54.894709894252877</v>
      </c>
      <c r="AR33" s="193">
        <v>20.462850655853387</v>
      </c>
      <c r="AS33" s="193">
        <v>55.196483467274092</v>
      </c>
      <c r="AT33" s="193">
        <v>16.57576549182108</v>
      </c>
      <c r="AU33" s="192">
        <v>20.514602755313614</v>
      </c>
      <c r="AV33" s="193">
        <v>11.251070778742884</v>
      </c>
      <c r="AW33" s="193">
        <v>17.963269240697947</v>
      </c>
      <c r="AX33" s="193">
        <v>7.3238512444697363</v>
      </c>
      <c r="AY33" s="192">
        <v>37.293293736759942</v>
      </c>
      <c r="AZ33" s="193">
        <v>19.371137858295072</v>
      </c>
      <c r="BA33" s="193">
        <v>23.328166605740225</v>
      </c>
      <c r="BB33" s="194">
        <v>12.157010324459645</v>
      </c>
    </row>
    <row r="34" spans="1:54" ht="15.75" customHeight="1" x14ac:dyDescent="0.3">
      <c r="A34" s="101"/>
      <c r="B34" s="156" t="s">
        <v>8</v>
      </c>
      <c r="C34" s="97">
        <v>46.141801547182958</v>
      </c>
      <c r="D34" s="131">
        <v>13.281631497660037</v>
      </c>
      <c r="E34" s="131">
        <v>40.489442008084474</v>
      </c>
      <c r="F34" s="131">
        <v>9.7343680447657608</v>
      </c>
      <c r="G34" s="97">
        <v>56.823962185861312</v>
      </c>
      <c r="H34" s="131">
        <v>10.036790532646895</v>
      </c>
      <c r="I34" s="131">
        <v>56.148604445022762</v>
      </c>
      <c r="J34" s="131">
        <v>9.8692823158038312</v>
      </c>
      <c r="K34" s="97">
        <v>17.897560178455301</v>
      </c>
      <c r="L34" s="131">
        <v>5.2543743466201436</v>
      </c>
      <c r="M34" s="131">
        <v>18.135060685230229</v>
      </c>
      <c r="N34" s="131">
        <v>3.3126302516165764</v>
      </c>
      <c r="O34" s="97">
        <v>40.637645339213741</v>
      </c>
      <c r="P34" s="131">
        <v>12.350303681496483</v>
      </c>
      <c r="Q34" s="131">
        <v>30.313776191398674</v>
      </c>
      <c r="R34" s="131">
        <v>7.6875355692696212</v>
      </c>
      <c r="S34" s="97">
        <v>39.646701361180284</v>
      </c>
      <c r="T34" s="131">
        <v>11.455077880925568</v>
      </c>
      <c r="U34" s="131">
        <v>33.763474779273778</v>
      </c>
      <c r="V34" s="131">
        <v>7.0408537058138831</v>
      </c>
      <c r="W34" s="97">
        <v>44.141938824709044</v>
      </c>
      <c r="X34" s="131">
        <v>10.29564672513545</v>
      </c>
      <c r="Y34" s="131">
        <v>34.635178132115747</v>
      </c>
      <c r="Z34" s="131">
        <v>6.5715426887809958</v>
      </c>
      <c r="AA34" s="97">
        <v>55.821325801262113</v>
      </c>
      <c r="AB34" s="131">
        <v>23.504847299836406</v>
      </c>
      <c r="AC34" s="131">
        <v>51.309542459786705</v>
      </c>
      <c r="AD34" s="131">
        <v>18.294366614641422</v>
      </c>
      <c r="AE34" s="97">
        <v>0</v>
      </c>
      <c r="AF34" s="131">
        <v>0</v>
      </c>
      <c r="AG34" s="131">
        <v>0</v>
      </c>
      <c r="AH34" s="131">
        <v>0</v>
      </c>
      <c r="AI34" s="97">
        <v>56.020337025397012</v>
      </c>
      <c r="AJ34" s="131">
        <v>19.725043894082386</v>
      </c>
      <c r="AK34" s="131">
        <v>47.174235675820775</v>
      </c>
      <c r="AL34" s="131">
        <v>15.287070790873294</v>
      </c>
      <c r="AM34" s="97">
        <v>74.418402482705787</v>
      </c>
      <c r="AN34" s="131">
        <v>22.443965347689389</v>
      </c>
      <c r="AO34" s="131">
        <v>73.076280367843111</v>
      </c>
      <c r="AP34" s="131">
        <v>17.976043621009065</v>
      </c>
      <c r="AQ34" s="97">
        <v>64.984702405197154</v>
      </c>
      <c r="AR34" s="131">
        <v>30.119764712954268</v>
      </c>
      <c r="AS34" s="131">
        <v>61.364215544032177</v>
      </c>
      <c r="AT34" s="131">
        <v>21.672882056406689</v>
      </c>
      <c r="AU34" s="97">
        <v>31.077380976676132</v>
      </c>
      <c r="AV34" s="131">
        <v>18.03422633039186</v>
      </c>
      <c r="AW34" s="131">
        <v>24.378110763021294</v>
      </c>
      <c r="AX34" s="131">
        <v>12.015839378651194</v>
      </c>
      <c r="AY34" s="97">
        <v>38.463668380626345</v>
      </c>
      <c r="AZ34" s="131">
        <v>24.261074575009307</v>
      </c>
      <c r="BA34" s="131">
        <v>26.69559264810794</v>
      </c>
      <c r="BB34" s="191">
        <v>17.234702837726548</v>
      </c>
    </row>
    <row r="35" spans="1:54" ht="15.75" customHeight="1" x14ac:dyDescent="0.3">
      <c r="A35" s="101"/>
      <c r="B35" s="100" t="s">
        <v>9</v>
      </c>
      <c r="C35" s="103">
        <v>51.377903486141548</v>
      </c>
      <c r="D35" s="105">
        <v>14.286961815455365</v>
      </c>
      <c r="E35" s="105">
        <v>46.092714416562494</v>
      </c>
      <c r="F35" s="105">
        <v>11.075865218976391</v>
      </c>
      <c r="G35" s="103">
        <v>62.870267757839613</v>
      </c>
      <c r="H35" s="105">
        <v>11.089426923588581</v>
      </c>
      <c r="I35" s="105">
        <v>62.227356828614866</v>
      </c>
      <c r="J35" s="105">
        <v>11.475490154551174</v>
      </c>
      <c r="K35" s="103">
        <v>24.401147364925215</v>
      </c>
      <c r="L35" s="105">
        <v>3.7441559908489346</v>
      </c>
      <c r="M35" s="105">
        <v>23.303245741054088</v>
      </c>
      <c r="N35" s="105">
        <v>2.6079936603418767</v>
      </c>
      <c r="O35" s="103">
        <v>46.25470834574211</v>
      </c>
      <c r="P35" s="105">
        <v>17.752570372930069</v>
      </c>
      <c r="Q35" s="105">
        <v>36.046491901359659</v>
      </c>
      <c r="R35" s="105">
        <v>11.471466673297138</v>
      </c>
      <c r="S35" s="103">
        <v>40.759348958922274</v>
      </c>
      <c r="T35" s="105">
        <v>11.49955311977836</v>
      </c>
      <c r="U35" s="105">
        <v>35.728538252206242</v>
      </c>
      <c r="V35" s="105">
        <v>7.1628061520823643</v>
      </c>
      <c r="W35" s="103">
        <v>52.530999845541551</v>
      </c>
      <c r="X35" s="105">
        <v>14.620845944862804</v>
      </c>
      <c r="Y35" s="105">
        <v>43.567929654411614</v>
      </c>
      <c r="Z35" s="105">
        <v>11.719056399228412</v>
      </c>
      <c r="AA35" s="103">
        <v>62.80445581665429</v>
      </c>
      <c r="AB35" s="105">
        <v>23.306210131832398</v>
      </c>
      <c r="AC35" s="105">
        <v>59.297436669175795</v>
      </c>
      <c r="AD35" s="105">
        <v>19.07273937720166</v>
      </c>
      <c r="AE35" s="103">
        <v>0</v>
      </c>
      <c r="AF35" s="105">
        <v>0</v>
      </c>
      <c r="AG35" s="105">
        <v>0</v>
      </c>
      <c r="AH35" s="105">
        <v>0</v>
      </c>
      <c r="AI35" s="103">
        <v>59.316351911733392</v>
      </c>
      <c r="AJ35" s="105">
        <v>20.216203708715728</v>
      </c>
      <c r="AK35" s="105">
        <v>53.945987722841451</v>
      </c>
      <c r="AL35" s="105">
        <v>16.732281647912771</v>
      </c>
      <c r="AM35" s="103">
        <v>82.883361066596748</v>
      </c>
      <c r="AN35" s="105">
        <v>26.761177718720468</v>
      </c>
      <c r="AO35" s="105">
        <v>82.521823460898787</v>
      </c>
      <c r="AP35" s="105">
        <v>21.788727269328014</v>
      </c>
      <c r="AQ35" s="103">
        <v>64.061946198690706</v>
      </c>
      <c r="AR35" s="105">
        <v>32.6251673849182</v>
      </c>
      <c r="AS35" s="105">
        <v>59.31817308942896</v>
      </c>
      <c r="AT35" s="105">
        <v>25.901337806414766</v>
      </c>
      <c r="AU35" s="103">
        <v>41.337653216001264</v>
      </c>
      <c r="AV35" s="105">
        <v>20.928429868548026</v>
      </c>
      <c r="AW35" s="105">
        <v>33.391779571622365</v>
      </c>
      <c r="AX35" s="105">
        <v>12.757453037666094</v>
      </c>
      <c r="AY35" s="103">
        <v>42.968618916593456</v>
      </c>
      <c r="AZ35" s="105">
        <v>30.550688671050995</v>
      </c>
      <c r="BA35" s="105">
        <v>29.683694887494894</v>
      </c>
      <c r="BB35" s="106">
        <v>18.56112047384525</v>
      </c>
    </row>
    <row r="36" spans="1:54" ht="15.75" customHeight="1" x14ac:dyDescent="0.3">
      <c r="A36" s="101"/>
      <c r="B36" s="156" t="s">
        <v>10</v>
      </c>
      <c r="C36" s="97">
        <v>65.365696138802406</v>
      </c>
      <c r="D36" s="131">
        <v>24.011207751698961</v>
      </c>
      <c r="E36" s="131">
        <v>61.380771948791235</v>
      </c>
      <c r="F36" s="131">
        <v>20.99607246014293</v>
      </c>
      <c r="G36" s="97">
        <v>71.011138011227985</v>
      </c>
      <c r="H36" s="131">
        <v>16.250725517353544</v>
      </c>
      <c r="I36" s="131">
        <v>69.022603384567034</v>
      </c>
      <c r="J36" s="131">
        <v>17.352138655460809</v>
      </c>
      <c r="K36" s="97">
        <v>57.270894341446841</v>
      </c>
      <c r="L36" s="131">
        <v>8.3655913530862733</v>
      </c>
      <c r="M36" s="131">
        <v>61.565829673202188</v>
      </c>
      <c r="N36" s="131">
        <v>7.1681029764681865</v>
      </c>
      <c r="O36" s="97">
        <v>55.86993009621083</v>
      </c>
      <c r="P36" s="131">
        <v>30.5596887973546</v>
      </c>
      <c r="Q36" s="131">
        <v>43.940391481170167</v>
      </c>
      <c r="R36" s="131">
        <v>24.120433027394526</v>
      </c>
      <c r="S36" s="97">
        <v>57.867072135829233</v>
      </c>
      <c r="T36" s="131">
        <v>23.087962669389924</v>
      </c>
      <c r="U36" s="131">
        <v>54.033621883980679</v>
      </c>
      <c r="V36" s="131">
        <v>16.704690172753967</v>
      </c>
      <c r="W36" s="97">
        <v>67.389177571671382</v>
      </c>
      <c r="X36" s="131">
        <v>33.26067173415818</v>
      </c>
      <c r="Y36" s="131">
        <v>61.508120294767735</v>
      </c>
      <c r="Z36" s="131">
        <v>31.919612371139582</v>
      </c>
      <c r="AA36" s="97">
        <v>75.007308768121391</v>
      </c>
      <c r="AB36" s="131">
        <v>34.774838386312915</v>
      </c>
      <c r="AC36" s="131">
        <v>74.742495387121451</v>
      </c>
      <c r="AD36" s="131">
        <v>32.78874091512381</v>
      </c>
      <c r="AE36" s="97">
        <v>0.67500932657975776</v>
      </c>
      <c r="AF36" s="131">
        <v>7.6802828236255671E-3</v>
      </c>
      <c r="AG36" s="131">
        <v>0.90597074608931694</v>
      </c>
      <c r="AH36" s="131">
        <v>6.1513900667780393E-3</v>
      </c>
      <c r="AI36" s="97">
        <v>73.838390411484895</v>
      </c>
      <c r="AJ36" s="131">
        <v>34.172741491147939</v>
      </c>
      <c r="AK36" s="131">
        <v>69.571785729091332</v>
      </c>
      <c r="AL36" s="131">
        <v>30.910085951959143</v>
      </c>
      <c r="AM36" s="97">
        <v>92.514295872473909</v>
      </c>
      <c r="AN36" s="131">
        <v>45.72179709763747</v>
      </c>
      <c r="AO36" s="131">
        <v>91.348018310402622</v>
      </c>
      <c r="AP36" s="131">
        <v>38.346409503336346</v>
      </c>
      <c r="AQ36" s="97">
        <v>76.940386827923319</v>
      </c>
      <c r="AR36" s="131">
        <v>55.97224538909952</v>
      </c>
      <c r="AS36" s="131">
        <v>74.945289148823463</v>
      </c>
      <c r="AT36" s="131">
        <v>49.08564609256161</v>
      </c>
      <c r="AU36" s="97">
        <v>57.150706794086325</v>
      </c>
      <c r="AV36" s="131">
        <v>41.223503872873096</v>
      </c>
      <c r="AW36" s="131">
        <v>46.158030061364734</v>
      </c>
      <c r="AX36" s="131">
        <v>32.288572074223623</v>
      </c>
      <c r="AY36" s="97">
        <v>55.50551340682339</v>
      </c>
      <c r="AZ36" s="131">
        <v>32.37721801712371</v>
      </c>
      <c r="BA36" s="131">
        <v>42.417006432926172</v>
      </c>
      <c r="BB36" s="191">
        <v>22.024423101046629</v>
      </c>
    </row>
    <row r="37" spans="1:54" ht="15.75" customHeight="1" x14ac:dyDescent="0.3">
      <c r="A37" s="101"/>
      <c r="B37" s="109" t="s">
        <v>11</v>
      </c>
      <c r="C37" s="192">
        <v>80.63605810445145</v>
      </c>
      <c r="D37" s="193">
        <v>42.62848638756472</v>
      </c>
      <c r="E37" s="193">
        <v>77.896288143767109</v>
      </c>
      <c r="F37" s="193">
        <v>41.036483710391636</v>
      </c>
      <c r="G37" s="192">
        <v>81.477292468137847</v>
      </c>
      <c r="H37" s="193">
        <v>27.710680573138479</v>
      </c>
      <c r="I37" s="193">
        <v>78.477797990991434</v>
      </c>
      <c r="J37" s="193">
        <v>28.440279911414141</v>
      </c>
      <c r="K37" s="192">
        <v>78.895065839108341</v>
      </c>
      <c r="L37" s="193">
        <v>30.140891732278131</v>
      </c>
      <c r="M37" s="193">
        <v>81.447443264192671</v>
      </c>
      <c r="N37" s="193">
        <v>28.032868027865582</v>
      </c>
      <c r="O37" s="192">
        <v>78.095850514724859</v>
      </c>
      <c r="P37" s="193">
        <v>63.883478541364127</v>
      </c>
      <c r="Q37" s="193">
        <v>71.820441625998356</v>
      </c>
      <c r="R37" s="193">
        <v>58.467639701473672</v>
      </c>
      <c r="S37" s="192">
        <v>84.82905625428468</v>
      </c>
      <c r="T37" s="193">
        <v>49.233064288233614</v>
      </c>
      <c r="U37" s="193">
        <v>81.066800481567938</v>
      </c>
      <c r="V37" s="193">
        <v>45.463093835490383</v>
      </c>
      <c r="W37" s="192">
        <v>77.630223600106774</v>
      </c>
      <c r="X37" s="193">
        <v>59.408219432863106</v>
      </c>
      <c r="Y37" s="193">
        <v>73.101608250144906</v>
      </c>
      <c r="Z37" s="193">
        <v>62.750561978388674</v>
      </c>
      <c r="AA37" s="192">
        <v>85.681186128106461</v>
      </c>
      <c r="AB37" s="193">
        <v>48.421621745533123</v>
      </c>
      <c r="AC37" s="193">
        <v>85.581697243687969</v>
      </c>
      <c r="AD37" s="193">
        <v>47.350889271981494</v>
      </c>
      <c r="AE37" s="192">
        <v>35.500066396006666</v>
      </c>
      <c r="AF37" s="193">
        <v>9.8846885714951824</v>
      </c>
      <c r="AG37" s="193">
        <v>36.570888948928115</v>
      </c>
      <c r="AH37" s="193">
        <v>9.8461968795963237</v>
      </c>
      <c r="AI37" s="192">
        <v>80.785411768224449</v>
      </c>
      <c r="AJ37" s="193">
        <v>52.847692588424998</v>
      </c>
      <c r="AK37" s="193">
        <v>76.593442659687881</v>
      </c>
      <c r="AL37" s="193">
        <v>50.480157255397174</v>
      </c>
      <c r="AM37" s="192">
        <v>97.912580611740864</v>
      </c>
      <c r="AN37" s="193">
        <v>65.987212442155283</v>
      </c>
      <c r="AO37" s="193">
        <v>97.583123153048049</v>
      </c>
      <c r="AP37" s="193">
        <v>60.331893864038513</v>
      </c>
      <c r="AQ37" s="192">
        <v>86.737138399679125</v>
      </c>
      <c r="AR37" s="193">
        <v>87.157580647591871</v>
      </c>
      <c r="AS37" s="193">
        <v>87.095694359646089</v>
      </c>
      <c r="AT37" s="193">
        <v>76.03263074334005</v>
      </c>
      <c r="AU37" s="192">
        <v>72.754354771334363</v>
      </c>
      <c r="AV37" s="193">
        <v>58.839494822132046</v>
      </c>
      <c r="AW37" s="193">
        <v>65.745767387815647</v>
      </c>
      <c r="AX37" s="193">
        <v>53.106722265739137</v>
      </c>
      <c r="AY37" s="192">
        <v>64.449952846134593</v>
      </c>
      <c r="AZ37" s="193">
        <v>33.491003846631088</v>
      </c>
      <c r="BA37" s="193">
        <v>49.940673988006232</v>
      </c>
      <c r="BB37" s="194">
        <v>24.695802040894243</v>
      </c>
    </row>
    <row r="38" spans="1:54" ht="15.75" customHeight="1" x14ac:dyDescent="0.3">
      <c r="A38" s="101"/>
      <c r="B38" s="156" t="s">
        <v>12</v>
      </c>
      <c r="C38" s="97">
        <v>82.343754434912171</v>
      </c>
      <c r="D38" s="131">
        <v>51.707650377771344</v>
      </c>
      <c r="E38" s="131">
        <v>80.178188498254556</v>
      </c>
      <c r="F38" s="131">
        <v>49.497939926874118</v>
      </c>
      <c r="G38" s="97">
        <v>84.08232387427995</v>
      </c>
      <c r="H38" s="131">
        <v>38.235496848406513</v>
      </c>
      <c r="I38" s="131">
        <v>81.468803934155616</v>
      </c>
      <c r="J38" s="131">
        <v>40.681317572477155</v>
      </c>
      <c r="K38" s="97">
        <v>75.595623317607561</v>
      </c>
      <c r="L38" s="131">
        <v>37.192913211868031</v>
      </c>
      <c r="M38" s="131">
        <v>77.124983947962406</v>
      </c>
      <c r="N38" s="131">
        <v>33.91090006410635</v>
      </c>
      <c r="O38" s="97">
        <v>82.56646205904886</v>
      </c>
      <c r="P38" s="131">
        <v>69.726796068318109</v>
      </c>
      <c r="Q38" s="131">
        <v>80.085182007429637</v>
      </c>
      <c r="R38" s="131">
        <v>63.916485897656216</v>
      </c>
      <c r="S38" s="97">
        <v>89.634070649623695</v>
      </c>
      <c r="T38" s="131">
        <v>61.428167257839853</v>
      </c>
      <c r="U38" s="131">
        <v>84.941163611463935</v>
      </c>
      <c r="V38" s="131">
        <v>58.963067603666374</v>
      </c>
      <c r="W38" s="97">
        <v>80.294687694596107</v>
      </c>
      <c r="X38" s="131">
        <v>63.036387629888594</v>
      </c>
      <c r="Y38" s="131">
        <v>74.517028722008732</v>
      </c>
      <c r="Z38" s="131">
        <v>62.932422685843278</v>
      </c>
      <c r="AA38" s="97">
        <v>85.243827920886034</v>
      </c>
      <c r="AB38" s="131">
        <v>56.835142565680918</v>
      </c>
      <c r="AC38" s="131">
        <v>85.392863461326243</v>
      </c>
      <c r="AD38" s="131">
        <v>53.233914588349975</v>
      </c>
      <c r="AE38" s="97">
        <v>46.300014725649888</v>
      </c>
      <c r="AF38" s="131">
        <v>21.574353324868429</v>
      </c>
      <c r="AG38" s="131">
        <v>49.228594515718854</v>
      </c>
      <c r="AH38" s="131">
        <v>23.091395602174742</v>
      </c>
      <c r="AI38" s="97">
        <v>80.298764357822989</v>
      </c>
      <c r="AJ38" s="131">
        <v>61.047776300547653</v>
      </c>
      <c r="AK38" s="131">
        <v>77.069720353832082</v>
      </c>
      <c r="AL38" s="131">
        <v>55.173093479423095</v>
      </c>
      <c r="AM38" s="97">
        <v>98.303020288192783</v>
      </c>
      <c r="AN38" s="131">
        <v>77.235467539549802</v>
      </c>
      <c r="AO38" s="131">
        <v>97.604479083794246</v>
      </c>
      <c r="AP38" s="131">
        <v>68.597388182041314</v>
      </c>
      <c r="AQ38" s="97">
        <v>86.634630192830443</v>
      </c>
      <c r="AR38" s="131">
        <v>86.660290992517773</v>
      </c>
      <c r="AS38" s="131">
        <v>87.182355964581788</v>
      </c>
      <c r="AT38" s="131">
        <v>78.266901977894065</v>
      </c>
      <c r="AU38" s="97">
        <v>77.108313133369847</v>
      </c>
      <c r="AV38" s="131">
        <v>78.907810276229512</v>
      </c>
      <c r="AW38" s="131">
        <v>72.329830958879896</v>
      </c>
      <c r="AX38" s="131">
        <v>71.656991110215145</v>
      </c>
      <c r="AY38" s="97">
        <v>62.872922605670546</v>
      </c>
      <c r="AZ38" s="131">
        <v>40.632336518178427</v>
      </c>
      <c r="BA38" s="131">
        <v>48.886776955213506</v>
      </c>
      <c r="BB38" s="191">
        <v>30.6188676363914</v>
      </c>
    </row>
    <row r="39" spans="1:54" ht="15.75" customHeight="1" x14ac:dyDescent="0.3">
      <c r="A39" s="173"/>
      <c r="B39" s="109" t="s">
        <v>13</v>
      </c>
      <c r="C39" s="192">
        <v>87.562450783155299</v>
      </c>
      <c r="D39" s="193">
        <v>58.79766478276327</v>
      </c>
      <c r="E39" s="193">
        <v>85.756861087427353</v>
      </c>
      <c r="F39" s="193">
        <v>60.141095174669466</v>
      </c>
      <c r="G39" s="192">
        <v>87.732061575680703</v>
      </c>
      <c r="H39" s="193">
        <v>40.136252075994165</v>
      </c>
      <c r="I39" s="193">
        <v>85.543031975624373</v>
      </c>
      <c r="J39" s="193">
        <v>43.971480554991274</v>
      </c>
      <c r="K39" s="192">
        <v>81.586214729376877</v>
      </c>
      <c r="L39" s="193">
        <v>47.504709894402417</v>
      </c>
      <c r="M39" s="193">
        <v>82.933464899334126</v>
      </c>
      <c r="N39" s="193">
        <v>48.410706703231263</v>
      </c>
      <c r="O39" s="192">
        <v>89.263007870225991</v>
      </c>
      <c r="P39" s="193">
        <v>76.837049624471348</v>
      </c>
      <c r="Q39" s="193">
        <v>88.485491654415441</v>
      </c>
      <c r="R39" s="193">
        <v>76.846516196941195</v>
      </c>
      <c r="S39" s="192">
        <v>95.145415008369085</v>
      </c>
      <c r="T39" s="193">
        <v>73.552847180601162</v>
      </c>
      <c r="U39" s="193">
        <v>91.924604924574794</v>
      </c>
      <c r="V39" s="193">
        <v>76.749502485213796</v>
      </c>
      <c r="W39" s="192">
        <v>85.579050982538007</v>
      </c>
      <c r="X39" s="193">
        <v>70.365060878537406</v>
      </c>
      <c r="Y39" s="193">
        <v>78.980798511610431</v>
      </c>
      <c r="Z39" s="193">
        <v>75.219452511515399</v>
      </c>
      <c r="AA39" s="192">
        <v>86.292649163188912</v>
      </c>
      <c r="AB39" s="193">
        <v>66.010838858885094</v>
      </c>
      <c r="AC39" s="193">
        <v>86.477046961022069</v>
      </c>
      <c r="AD39" s="193">
        <v>63.495364619113346</v>
      </c>
      <c r="AE39" s="192">
        <v>76.764471366244976</v>
      </c>
      <c r="AF39" s="193">
        <v>40.923234983265296</v>
      </c>
      <c r="AG39" s="193">
        <v>80.026802254420431</v>
      </c>
      <c r="AH39" s="193">
        <v>41.026260326913068</v>
      </c>
      <c r="AI39" s="192">
        <v>84.397773307681604</v>
      </c>
      <c r="AJ39" s="193">
        <v>64.965628856343443</v>
      </c>
      <c r="AK39" s="193">
        <v>80.592382522285178</v>
      </c>
      <c r="AL39" s="193">
        <v>60.648406298597102</v>
      </c>
      <c r="AM39" s="192">
        <v>100.64990331714331</v>
      </c>
      <c r="AN39" s="193">
        <v>75.375147709806683</v>
      </c>
      <c r="AO39" s="193">
        <v>98.754010950394573</v>
      </c>
      <c r="AP39" s="193">
        <v>70.297226808681685</v>
      </c>
      <c r="AQ39" s="192">
        <v>89.443531327190271</v>
      </c>
      <c r="AR39" s="193">
        <v>88.975096676512635</v>
      </c>
      <c r="AS39" s="193">
        <v>85.431343346039768</v>
      </c>
      <c r="AT39" s="193">
        <v>89.7973492219799</v>
      </c>
      <c r="AU39" s="192">
        <v>83.522283034927923</v>
      </c>
      <c r="AV39" s="193">
        <v>89.140121409541422</v>
      </c>
      <c r="AW39" s="193">
        <v>77.860394240871329</v>
      </c>
      <c r="AX39" s="193">
        <v>83.498840282999694</v>
      </c>
      <c r="AY39" s="192">
        <v>70.298850536711015</v>
      </c>
      <c r="AZ39" s="193">
        <v>36.758903089713364</v>
      </c>
      <c r="BA39" s="193">
        <v>61.773895153483153</v>
      </c>
      <c r="BB39" s="194">
        <v>31.875473817977539</v>
      </c>
    </row>
    <row r="40" spans="1:54" ht="15.75" customHeight="1" x14ac:dyDescent="0.3">
      <c r="A40" s="366" t="s">
        <v>124</v>
      </c>
      <c r="B40" s="96" t="s">
        <v>54</v>
      </c>
      <c r="C40" s="97">
        <v>88.453367771404672</v>
      </c>
      <c r="D40" s="131">
        <v>57.834139132489263</v>
      </c>
      <c r="E40" s="131">
        <v>87.321919860892621</v>
      </c>
      <c r="F40" s="131">
        <v>60.468936214693926</v>
      </c>
      <c r="G40" s="97">
        <v>84.291615580123363</v>
      </c>
      <c r="H40" s="131">
        <v>30.5707850956498</v>
      </c>
      <c r="I40" s="131">
        <v>81.05277455074652</v>
      </c>
      <c r="J40" s="131">
        <v>32.931604568579267</v>
      </c>
      <c r="K40" s="97">
        <v>83.064494327661222</v>
      </c>
      <c r="L40" s="131">
        <v>59.251323411624789</v>
      </c>
      <c r="M40" s="131">
        <v>85.217259525669888</v>
      </c>
      <c r="N40" s="131">
        <v>61.13824185834811</v>
      </c>
      <c r="O40" s="97">
        <v>89.828588363111763</v>
      </c>
      <c r="P40" s="131">
        <v>72.389745275773791</v>
      </c>
      <c r="Q40" s="131">
        <v>89.255151409008178</v>
      </c>
      <c r="R40" s="131">
        <v>72.883961499320677</v>
      </c>
      <c r="S40" s="97">
        <v>97.528827028908523</v>
      </c>
      <c r="T40" s="131">
        <v>85.339208692017223</v>
      </c>
      <c r="U40" s="131">
        <v>94.025430182838051</v>
      </c>
      <c r="V40" s="131">
        <v>87.805682385693828</v>
      </c>
      <c r="W40" s="97">
        <v>86.61552429495319</v>
      </c>
      <c r="X40" s="131">
        <v>72.650281088573337</v>
      </c>
      <c r="Y40" s="131">
        <v>83.862973390783651</v>
      </c>
      <c r="Z40" s="131">
        <v>80.172186281159696</v>
      </c>
      <c r="AA40" s="97">
        <v>87.72257777578281</v>
      </c>
      <c r="AB40" s="131">
        <v>61.827749074528761</v>
      </c>
      <c r="AC40" s="131">
        <v>90.858134425337525</v>
      </c>
      <c r="AD40" s="131">
        <v>58.688686207180965</v>
      </c>
      <c r="AE40" s="97">
        <v>89.985734401106996</v>
      </c>
      <c r="AF40" s="131">
        <v>55.329854644659108</v>
      </c>
      <c r="AG40" s="131">
        <v>90.056337266453639</v>
      </c>
      <c r="AH40" s="131">
        <v>54.230270366836017</v>
      </c>
      <c r="AI40" s="97">
        <v>85.587702091060564</v>
      </c>
      <c r="AJ40" s="131">
        <v>49.203476153066674</v>
      </c>
      <c r="AK40" s="131">
        <v>80.837542779503622</v>
      </c>
      <c r="AL40" s="131">
        <v>47.014451121864418</v>
      </c>
      <c r="AM40" s="97">
        <v>100.84602582145459</v>
      </c>
      <c r="AN40" s="131">
        <v>70.137732817580968</v>
      </c>
      <c r="AO40" s="131">
        <v>99.609377012475704</v>
      </c>
      <c r="AP40" s="131">
        <v>68.581323552374315</v>
      </c>
      <c r="AQ40" s="97">
        <v>92.618611348096096</v>
      </c>
      <c r="AR40" s="131">
        <v>85.124370605582669</v>
      </c>
      <c r="AS40" s="131">
        <v>90.298148798722693</v>
      </c>
      <c r="AT40" s="131">
        <v>87.920395143781064</v>
      </c>
      <c r="AU40" s="97">
        <v>83.025346200732997</v>
      </c>
      <c r="AV40" s="131">
        <v>77.854993971174963</v>
      </c>
      <c r="AW40" s="131">
        <v>80.590873999591977</v>
      </c>
      <c r="AX40" s="131">
        <v>80.941889622459556</v>
      </c>
      <c r="AY40" s="97">
        <v>78.502383315879669</v>
      </c>
      <c r="AZ40" s="131">
        <v>39.288249162427093</v>
      </c>
      <c r="BA40" s="131">
        <v>62.954892860807874</v>
      </c>
      <c r="BB40" s="191">
        <v>37.194234010177198</v>
      </c>
    </row>
    <row r="41" spans="1:54" ht="15.75" customHeight="1" x14ac:dyDescent="0.3">
      <c r="A41" s="371"/>
      <c r="B41" s="111" t="s">
        <v>48</v>
      </c>
      <c r="C41" s="192">
        <v>81.48505861770316</v>
      </c>
      <c r="D41" s="193">
        <v>52.573162103554807</v>
      </c>
      <c r="E41" s="193">
        <v>80.711970622322866</v>
      </c>
      <c r="F41" s="193">
        <v>50.851523787980177</v>
      </c>
      <c r="G41" s="192">
        <v>79.282222785200403</v>
      </c>
      <c r="H41" s="193">
        <v>33.544709682093725</v>
      </c>
      <c r="I41" s="193">
        <v>76.416264728466231</v>
      </c>
      <c r="J41" s="193">
        <v>34.019312694014751</v>
      </c>
      <c r="K41" s="192">
        <v>78.098134931938162</v>
      </c>
      <c r="L41" s="193">
        <v>44.992778157524974</v>
      </c>
      <c r="M41" s="193">
        <v>79.446351307037887</v>
      </c>
      <c r="N41" s="193">
        <v>44.885754685314055</v>
      </c>
      <c r="O41" s="192">
        <v>82.564967393488729</v>
      </c>
      <c r="P41" s="193">
        <v>61.609169240161066</v>
      </c>
      <c r="Q41" s="193">
        <v>84.022133536855179</v>
      </c>
      <c r="R41" s="193">
        <v>54.485845371875911</v>
      </c>
      <c r="S41" s="192">
        <v>88.036097183458011</v>
      </c>
      <c r="T41" s="193">
        <v>64.941071601678303</v>
      </c>
      <c r="U41" s="193">
        <v>84.502266436260655</v>
      </c>
      <c r="V41" s="193">
        <v>62.610410056801555</v>
      </c>
      <c r="W41" s="192">
        <v>78.723883240488775</v>
      </c>
      <c r="X41" s="193">
        <v>55.297108075733391</v>
      </c>
      <c r="Y41" s="193">
        <v>76.400706180684836</v>
      </c>
      <c r="Z41" s="193">
        <v>54.107213544949317</v>
      </c>
      <c r="AA41" s="192">
        <v>80.803559113189991</v>
      </c>
      <c r="AB41" s="193">
        <v>60.630192826192854</v>
      </c>
      <c r="AC41" s="193">
        <v>84.487072811853722</v>
      </c>
      <c r="AD41" s="193">
        <v>55.714174727815681</v>
      </c>
      <c r="AE41" s="192">
        <v>85.695286727287581</v>
      </c>
      <c r="AF41" s="193">
        <v>58.169913514509794</v>
      </c>
      <c r="AG41" s="193">
        <v>84.984890802430442</v>
      </c>
      <c r="AH41" s="193">
        <v>57.202442631559556</v>
      </c>
      <c r="AI41" s="192">
        <v>77.538031871968357</v>
      </c>
      <c r="AJ41" s="193">
        <v>54.187347417439277</v>
      </c>
      <c r="AK41" s="193">
        <v>73.13435530011084</v>
      </c>
      <c r="AL41" s="193">
        <v>50.032866015831544</v>
      </c>
      <c r="AM41" s="192">
        <v>90.568074603481563</v>
      </c>
      <c r="AN41" s="193">
        <v>69.722076949751283</v>
      </c>
      <c r="AO41" s="193">
        <v>90.958571189788444</v>
      </c>
      <c r="AP41" s="193">
        <v>62.764577353096044</v>
      </c>
      <c r="AQ41" s="192">
        <v>85.645773971531213</v>
      </c>
      <c r="AR41" s="193">
        <v>74.784396256423122</v>
      </c>
      <c r="AS41" s="193">
        <v>83.5329263848392</v>
      </c>
      <c r="AT41" s="193">
        <v>66.790280382042141</v>
      </c>
      <c r="AU41" s="192">
        <v>78.423521623289574</v>
      </c>
      <c r="AV41" s="193">
        <v>74.75338782603049</v>
      </c>
      <c r="AW41" s="193">
        <v>75.841006139060127</v>
      </c>
      <c r="AX41" s="193">
        <v>73.936367305690283</v>
      </c>
      <c r="AY41" s="192">
        <v>55.360704340717881</v>
      </c>
      <c r="AZ41" s="193">
        <v>31.994043926045414</v>
      </c>
      <c r="BA41" s="193">
        <v>45.772068596448356</v>
      </c>
      <c r="BB41" s="194">
        <v>23.166494865040278</v>
      </c>
    </row>
    <row r="42" spans="1:54" ht="15.75" customHeight="1" x14ac:dyDescent="0.3">
      <c r="A42" s="371"/>
      <c r="B42" s="96" t="s">
        <v>49</v>
      </c>
      <c r="C42" s="97">
        <v>90.298425770357042</v>
      </c>
      <c r="D42" s="131">
        <v>65.322707296724644</v>
      </c>
      <c r="E42" s="131">
        <v>89.455612137682238</v>
      </c>
      <c r="F42" s="131">
        <v>65.981756669119349</v>
      </c>
      <c r="G42" s="97">
        <v>87.473044782777507</v>
      </c>
      <c r="H42" s="131">
        <v>39.908305485921254</v>
      </c>
      <c r="I42" s="131">
        <v>85.255640937799157</v>
      </c>
      <c r="J42" s="131">
        <v>41.304683639131937</v>
      </c>
      <c r="K42" s="97">
        <v>87.004969276013469</v>
      </c>
      <c r="L42" s="131">
        <v>65.533128850374737</v>
      </c>
      <c r="M42" s="131">
        <v>88.094107668589871</v>
      </c>
      <c r="N42" s="131">
        <v>65.871556677136198</v>
      </c>
      <c r="O42" s="97">
        <v>92.972643632883461</v>
      </c>
      <c r="P42" s="131">
        <v>81.190840415909435</v>
      </c>
      <c r="Q42" s="131">
        <v>94.783882468495321</v>
      </c>
      <c r="R42" s="131">
        <v>76.63392823969761</v>
      </c>
      <c r="S42" s="97">
        <v>95.397666586232944</v>
      </c>
      <c r="T42" s="131">
        <v>76.542450352892317</v>
      </c>
      <c r="U42" s="131">
        <v>92.329910305664953</v>
      </c>
      <c r="V42" s="131">
        <v>77.425693909125172</v>
      </c>
      <c r="W42" s="97">
        <v>86.636030503466557</v>
      </c>
      <c r="X42" s="131">
        <v>67.71779105786284</v>
      </c>
      <c r="Y42" s="131">
        <v>83.200543320624661</v>
      </c>
      <c r="Z42" s="131">
        <v>67.070283819820759</v>
      </c>
      <c r="AA42" s="97">
        <v>90.548395160166166</v>
      </c>
      <c r="AB42" s="131">
        <v>71.608432945984575</v>
      </c>
      <c r="AC42" s="131">
        <v>93.413247536681496</v>
      </c>
      <c r="AD42" s="131">
        <v>71.624411681814379</v>
      </c>
      <c r="AE42" s="97">
        <v>95.118015135075183</v>
      </c>
      <c r="AF42" s="131">
        <v>68.590301812952859</v>
      </c>
      <c r="AG42" s="131">
        <v>91.635407829788335</v>
      </c>
      <c r="AH42" s="131">
        <v>67.9899047145407</v>
      </c>
      <c r="AI42" s="97">
        <v>86.247969839520863</v>
      </c>
      <c r="AJ42" s="131">
        <v>72.042094493482338</v>
      </c>
      <c r="AK42" s="131">
        <v>82.188113409386816</v>
      </c>
      <c r="AL42" s="131">
        <v>67.740802550669841</v>
      </c>
      <c r="AM42" s="97">
        <v>98.871480354489165</v>
      </c>
      <c r="AN42" s="131">
        <v>82.346484495713852</v>
      </c>
      <c r="AO42" s="131">
        <v>98.956386943169449</v>
      </c>
      <c r="AP42" s="131">
        <v>81.69425062830355</v>
      </c>
      <c r="AQ42" s="97">
        <v>96.275476902109588</v>
      </c>
      <c r="AR42" s="131">
        <v>96.906634132578347</v>
      </c>
      <c r="AS42" s="131">
        <v>95.941945275855261</v>
      </c>
      <c r="AT42" s="131">
        <v>91.680030511337335</v>
      </c>
      <c r="AU42" s="97">
        <v>86.417949785612919</v>
      </c>
      <c r="AV42" s="131">
        <v>83.179838457502811</v>
      </c>
      <c r="AW42" s="131">
        <v>82.257979533806548</v>
      </c>
      <c r="AX42" s="131">
        <v>80.044507704814066</v>
      </c>
      <c r="AY42" s="97">
        <v>65.602474317467426</v>
      </c>
      <c r="AZ42" s="131">
        <v>32.071472887455016</v>
      </c>
      <c r="BA42" s="131">
        <v>56.197291238996669</v>
      </c>
      <c r="BB42" s="191">
        <v>23.751165796750495</v>
      </c>
    </row>
    <row r="43" spans="1:54" ht="15.75" customHeight="1" x14ac:dyDescent="0.3">
      <c r="A43" s="371"/>
      <c r="B43" s="111" t="s">
        <v>14</v>
      </c>
      <c r="C43" s="192">
        <v>88.053435168538059</v>
      </c>
      <c r="D43" s="193">
        <v>52.107762307643902</v>
      </c>
      <c r="E43" s="193">
        <v>87.329701860833396</v>
      </c>
      <c r="F43" s="193">
        <v>52.269592321380543</v>
      </c>
      <c r="G43" s="192">
        <v>83.958560364289156</v>
      </c>
      <c r="H43" s="193">
        <v>33.217699183388035</v>
      </c>
      <c r="I43" s="193">
        <v>82.708169235543266</v>
      </c>
      <c r="J43" s="193">
        <v>36.022894530054266</v>
      </c>
      <c r="K43" s="192">
        <v>87.261111431620279</v>
      </c>
      <c r="L43" s="193">
        <v>51.8989542259892</v>
      </c>
      <c r="M43" s="193">
        <v>87.858341863285432</v>
      </c>
      <c r="N43" s="193">
        <v>54.158034471565472</v>
      </c>
      <c r="O43" s="192">
        <v>90.436850392023729</v>
      </c>
      <c r="P43" s="193">
        <v>62.598151286855916</v>
      </c>
      <c r="Q43" s="193">
        <v>91.676805313642959</v>
      </c>
      <c r="R43" s="193">
        <v>56.983679761275809</v>
      </c>
      <c r="S43" s="192">
        <v>93.262865925843613</v>
      </c>
      <c r="T43" s="193">
        <v>49.205056831836124</v>
      </c>
      <c r="U43" s="193">
        <v>88.114685459129689</v>
      </c>
      <c r="V43" s="193">
        <v>51.697525557457183</v>
      </c>
      <c r="W43" s="192">
        <v>84.175632065668978</v>
      </c>
      <c r="X43" s="193">
        <v>60.521635738435954</v>
      </c>
      <c r="Y43" s="193">
        <v>80.814127697513115</v>
      </c>
      <c r="Z43" s="193">
        <v>58.868721306931228</v>
      </c>
      <c r="AA43" s="192">
        <v>87.45422289923016</v>
      </c>
      <c r="AB43" s="193">
        <v>51.132622710854257</v>
      </c>
      <c r="AC43" s="193">
        <v>91.727345642814569</v>
      </c>
      <c r="AD43" s="193">
        <v>48.062387218800481</v>
      </c>
      <c r="AE43" s="192">
        <v>95.360335447491991</v>
      </c>
      <c r="AF43" s="193">
        <v>69.940385815020193</v>
      </c>
      <c r="AG43" s="193">
        <v>91.656085979822222</v>
      </c>
      <c r="AH43" s="193">
        <v>65.335759316269588</v>
      </c>
      <c r="AI43" s="192">
        <v>84.22576578481214</v>
      </c>
      <c r="AJ43" s="193">
        <v>61.06964997298077</v>
      </c>
      <c r="AK43" s="193">
        <v>81.507689409355137</v>
      </c>
      <c r="AL43" s="193">
        <v>55.988368013243715</v>
      </c>
      <c r="AM43" s="192">
        <v>96.570657692268298</v>
      </c>
      <c r="AN43" s="193">
        <v>74.797793058361194</v>
      </c>
      <c r="AO43" s="193">
        <v>96.618260364301506</v>
      </c>
      <c r="AP43" s="193">
        <v>71.177111503417336</v>
      </c>
      <c r="AQ43" s="192">
        <v>93.35637868561713</v>
      </c>
      <c r="AR43" s="193">
        <v>82.753403746495664</v>
      </c>
      <c r="AS43" s="193">
        <v>93.05902417529019</v>
      </c>
      <c r="AT43" s="193">
        <v>78.849100867972368</v>
      </c>
      <c r="AU43" s="192">
        <v>84.987881360111359</v>
      </c>
      <c r="AV43" s="193">
        <v>65.893511073161477</v>
      </c>
      <c r="AW43" s="193">
        <v>80.002028395574456</v>
      </c>
      <c r="AX43" s="193">
        <v>63.84963780342153</v>
      </c>
      <c r="AY43" s="192">
        <v>63.73582594479236</v>
      </c>
      <c r="AZ43" s="193">
        <v>34.003226206725394</v>
      </c>
      <c r="BA43" s="193">
        <v>54.480195744929894</v>
      </c>
      <c r="BB43" s="194">
        <v>27.970395580062291</v>
      </c>
    </row>
    <row r="44" spans="1:54" ht="15.75" customHeight="1" x14ac:dyDescent="0.3">
      <c r="A44" s="371"/>
      <c r="B44" s="96" t="s">
        <v>15</v>
      </c>
      <c r="C44" s="97">
        <v>90.294510540106231</v>
      </c>
      <c r="D44" s="131">
        <v>47.491597418634051</v>
      </c>
      <c r="E44" s="131">
        <v>89.495540195871172</v>
      </c>
      <c r="F44" s="131">
        <v>47.008233646650346</v>
      </c>
      <c r="G44" s="97">
        <v>85.986853988225789</v>
      </c>
      <c r="H44" s="131">
        <v>34.44495774026619</v>
      </c>
      <c r="I44" s="131">
        <v>84.316082792006071</v>
      </c>
      <c r="J44" s="131">
        <v>36.524622062200521</v>
      </c>
      <c r="K44" s="97">
        <v>90.773029080945648</v>
      </c>
      <c r="L44" s="131">
        <v>41.800196561007063</v>
      </c>
      <c r="M44" s="131">
        <v>91.315687415006394</v>
      </c>
      <c r="N44" s="131">
        <v>42.367139265085427</v>
      </c>
      <c r="O44" s="97">
        <v>90.921399000278811</v>
      </c>
      <c r="P44" s="131">
        <v>47.778304206914939</v>
      </c>
      <c r="Q44" s="131">
        <v>91.769724284123313</v>
      </c>
      <c r="R44" s="131">
        <v>47.684336184740225</v>
      </c>
      <c r="S44" s="97">
        <v>97.07884046703677</v>
      </c>
      <c r="T44" s="131">
        <v>56.624690985142287</v>
      </c>
      <c r="U44" s="131">
        <v>92.584641060143753</v>
      </c>
      <c r="V44" s="131">
        <v>56.36433883345299</v>
      </c>
      <c r="W44" s="97">
        <v>86.6764219578411</v>
      </c>
      <c r="X44" s="131">
        <v>37.8832558005655</v>
      </c>
      <c r="Y44" s="131">
        <v>83.50085051785274</v>
      </c>
      <c r="Z44" s="131">
        <v>41.16749550886955</v>
      </c>
      <c r="AA44" s="97">
        <v>89.665388252918859</v>
      </c>
      <c r="AB44" s="131">
        <v>54.546898041923399</v>
      </c>
      <c r="AC44" s="131">
        <v>93.499268278738583</v>
      </c>
      <c r="AD44" s="131">
        <v>49.63129180132843</v>
      </c>
      <c r="AE44" s="97">
        <v>98.598331079619129</v>
      </c>
      <c r="AF44" s="131">
        <v>69.4693101821168</v>
      </c>
      <c r="AG44" s="131">
        <v>94.752211251848593</v>
      </c>
      <c r="AH44" s="131">
        <v>63.485882538437764</v>
      </c>
      <c r="AI44" s="97">
        <v>84.948698449660512</v>
      </c>
      <c r="AJ44" s="131">
        <v>37.775793161927396</v>
      </c>
      <c r="AK44" s="131">
        <v>82.194744741191712</v>
      </c>
      <c r="AL44" s="131">
        <v>36.514552781602561</v>
      </c>
      <c r="AM44" s="97">
        <v>98.517879212868635</v>
      </c>
      <c r="AN44" s="131">
        <v>65.437668820279598</v>
      </c>
      <c r="AO44" s="131">
        <v>98.366440841517729</v>
      </c>
      <c r="AP44" s="131">
        <v>59.848708580347186</v>
      </c>
      <c r="AQ44" s="97">
        <v>95.191558222754452</v>
      </c>
      <c r="AR44" s="131">
        <v>70.684103963677273</v>
      </c>
      <c r="AS44" s="131">
        <v>95.798049858336981</v>
      </c>
      <c r="AT44" s="131">
        <v>64.220080337229717</v>
      </c>
      <c r="AU44" s="97">
        <v>87.609024433932134</v>
      </c>
      <c r="AV44" s="131">
        <v>61.90091900915948</v>
      </c>
      <c r="AW44" s="131">
        <v>82.434756639204707</v>
      </c>
      <c r="AX44" s="131">
        <v>60.791550938071062</v>
      </c>
      <c r="AY44" s="97">
        <v>65.860353476285439</v>
      </c>
      <c r="AZ44" s="131">
        <v>26.242461843901221</v>
      </c>
      <c r="BA44" s="131">
        <v>56.296202269760883</v>
      </c>
      <c r="BB44" s="191">
        <v>20.068611570157788</v>
      </c>
    </row>
    <row r="45" spans="1:54" ht="15.75" customHeight="1" x14ac:dyDescent="0.3">
      <c r="A45" s="371"/>
      <c r="B45" s="111" t="s">
        <v>16</v>
      </c>
      <c r="C45" s="192">
        <v>88.467671404496144</v>
      </c>
      <c r="D45" s="193">
        <v>65.693522208913009</v>
      </c>
      <c r="E45" s="193">
        <v>88.08370729228379</v>
      </c>
      <c r="F45" s="193">
        <v>67.983939650458368</v>
      </c>
      <c r="G45" s="192">
        <v>83.570741299066896</v>
      </c>
      <c r="H45" s="193">
        <v>42.56352469948763</v>
      </c>
      <c r="I45" s="193">
        <v>81.770336719677445</v>
      </c>
      <c r="J45" s="193">
        <v>44.677702001025295</v>
      </c>
      <c r="K45" s="192">
        <v>87.679421361390879</v>
      </c>
      <c r="L45" s="193">
        <v>65.919482602063894</v>
      </c>
      <c r="M45" s="193">
        <v>88.413830144432708</v>
      </c>
      <c r="N45" s="193">
        <v>69.357101755224491</v>
      </c>
      <c r="O45" s="192">
        <v>91.28703335365293</v>
      </c>
      <c r="P45" s="193">
        <v>80.678296739147541</v>
      </c>
      <c r="Q45" s="193">
        <v>93.385207854777136</v>
      </c>
      <c r="R45" s="193">
        <v>82.581927447898877</v>
      </c>
      <c r="S45" s="192">
        <v>96.169228521201617</v>
      </c>
      <c r="T45" s="193">
        <v>87.357513652635717</v>
      </c>
      <c r="U45" s="193">
        <v>92.136283548426519</v>
      </c>
      <c r="V45" s="193">
        <v>91.873086875932117</v>
      </c>
      <c r="W45" s="192">
        <v>84.541148011923681</v>
      </c>
      <c r="X45" s="193">
        <v>62.60847760480209</v>
      </c>
      <c r="Y45" s="193">
        <v>82.722370104422296</v>
      </c>
      <c r="Z45" s="193">
        <v>66.482100258563932</v>
      </c>
      <c r="AA45" s="192">
        <v>87.2931159158437</v>
      </c>
      <c r="AB45" s="193">
        <v>67.524199538145837</v>
      </c>
      <c r="AC45" s="193">
        <v>91.294536453116024</v>
      </c>
      <c r="AD45" s="193">
        <v>65.102423485230403</v>
      </c>
      <c r="AE45" s="192">
        <v>95.360335447491991</v>
      </c>
      <c r="AF45" s="193">
        <v>85.136154536541525</v>
      </c>
      <c r="AG45" s="193">
        <v>91.635259066119019</v>
      </c>
      <c r="AH45" s="193">
        <v>78.029383396193566</v>
      </c>
      <c r="AI45" s="192">
        <v>84.528552263622004</v>
      </c>
      <c r="AJ45" s="193">
        <v>54.510952553434947</v>
      </c>
      <c r="AK45" s="193">
        <v>82.008422627274371</v>
      </c>
      <c r="AL45" s="193">
        <v>53.308428100156249</v>
      </c>
      <c r="AM45" s="192">
        <v>96.889347613131321</v>
      </c>
      <c r="AN45" s="193">
        <v>75.773153153859269</v>
      </c>
      <c r="AO45" s="193">
        <v>96.705232950118457</v>
      </c>
      <c r="AP45" s="193">
        <v>74.387302295130084</v>
      </c>
      <c r="AQ45" s="192">
        <v>92.345002873071309</v>
      </c>
      <c r="AR45" s="193">
        <v>97.469913168385744</v>
      </c>
      <c r="AS45" s="193">
        <v>93.055264612639888</v>
      </c>
      <c r="AT45" s="193">
        <v>92.645090933203875</v>
      </c>
      <c r="AU45" s="192">
        <v>85.112777990518566</v>
      </c>
      <c r="AV45" s="193">
        <v>81.664684622162497</v>
      </c>
      <c r="AW45" s="193">
        <v>80.171026036691913</v>
      </c>
      <c r="AX45" s="193">
        <v>78.001755576852005</v>
      </c>
      <c r="AY45" s="192">
        <v>65.092667057342553</v>
      </c>
      <c r="AZ45" s="193">
        <v>39.087728005956066</v>
      </c>
      <c r="BA45" s="193">
        <v>55.667128114100485</v>
      </c>
      <c r="BB45" s="194">
        <v>28.707779068562488</v>
      </c>
    </row>
    <row r="46" spans="1:54" ht="15.75" customHeight="1" x14ac:dyDescent="0.3">
      <c r="A46" s="371"/>
      <c r="B46" s="96" t="s">
        <v>8</v>
      </c>
      <c r="C46" s="97">
        <v>91.549800216743307</v>
      </c>
      <c r="D46" s="131">
        <v>81.423429036054415</v>
      </c>
      <c r="E46" s="131">
        <v>91.490386829306118</v>
      </c>
      <c r="F46" s="131">
        <v>83.575803103840713</v>
      </c>
      <c r="G46" s="97">
        <v>86.596465771711479</v>
      </c>
      <c r="H46" s="131">
        <v>51.530179849134285</v>
      </c>
      <c r="I46" s="131">
        <v>85.444960428447231</v>
      </c>
      <c r="J46" s="131">
        <v>52.739962790996529</v>
      </c>
      <c r="K46" s="97">
        <v>91.11583972950001</v>
      </c>
      <c r="L46" s="131">
        <v>84.573132184971826</v>
      </c>
      <c r="M46" s="131">
        <v>91.40406374551678</v>
      </c>
      <c r="N46" s="131">
        <v>87.339724866911794</v>
      </c>
      <c r="O46" s="97">
        <v>94.17463170998883</v>
      </c>
      <c r="P46" s="131">
        <v>94.984245854748636</v>
      </c>
      <c r="Q46" s="131">
        <v>97.033971790500502</v>
      </c>
      <c r="R46" s="131">
        <v>98.174346571148689</v>
      </c>
      <c r="S46" s="97">
        <v>99.593336818682189</v>
      </c>
      <c r="T46" s="131">
        <v>106.9301737574413</v>
      </c>
      <c r="U46" s="131">
        <v>96.445540771488098</v>
      </c>
      <c r="V46" s="131">
        <v>107.60478530374054</v>
      </c>
      <c r="W46" s="97">
        <v>87.426790338519098</v>
      </c>
      <c r="X46" s="131">
        <v>82.706731290837553</v>
      </c>
      <c r="Y46" s="131">
        <v>85.250760411121917</v>
      </c>
      <c r="Z46" s="131">
        <v>87.258012075975088</v>
      </c>
      <c r="AA46" s="97">
        <v>89.153988913022246</v>
      </c>
      <c r="AB46" s="131">
        <v>90.120767112222566</v>
      </c>
      <c r="AC46" s="131">
        <v>93.208019320691776</v>
      </c>
      <c r="AD46" s="131">
        <v>87.679740836274746</v>
      </c>
      <c r="AE46" s="97">
        <v>99.243406956895214</v>
      </c>
      <c r="AF46" s="131">
        <v>95.286910048712315</v>
      </c>
      <c r="AG46" s="131">
        <v>95.058552837872327</v>
      </c>
      <c r="AH46" s="131">
        <v>89.207663794750687</v>
      </c>
      <c r="AI46" s="97">
        <v>88.518970210194297</v>
      </c>
      <c r="AJ46" s="131">
        <v>74.686539317632722</v>
      </c>
      <c r="AK46" s="131">
        <v>86.657925594825215</v>
      </c>
      <c r="AL46" s="131">
        <v>76.000205002680659</v>
      </c>
      <c r="AM46" s="97">
        <v>99.314567420455177</v>
      </c>
      <c r="AN46" s="131">
        <v>89.366476068217111</v>
      </c>
      <c r="AO46" s="131">
        <v>99.199965312473054</v>
      </c>
      <c r="AP46" s="131">
        <v>86.301337138065435</v>
      </c>
      <c r="AQ46" s="97">
        <v>95.732453884033063</v>
      </c>
      <c r="AR46" s="131">
        <v>102.12444605782258</v>
      </c>
      <c r="AS46" s="131">
        <v>96.563083999220311</v>
      </c>
      <c r="AT46" s="131">
        <v>98.744874916821317</v>
      </c>
      <c r="AU46" s="97">
        <v>87.68755153424604</v>
      </c>
      <c r="AV46" s="131">
        <v>94.969567985759923</v>
      </c>
      <c r="AW46" s="131">
        <v>82.404330705587597</v>
      </c>
      <c r="AX46" s="131">
        <v>94.851309345964935</v>
      </c>
      <c r="AY46" s="97">
        <v>76.532583279677368</v>
      </c>
      <c r="AZ46" s="131">
        <v>58.981015014269758</v>
      </c>
      <c r="BA46" s="131">
        <v>70.041373659910107</v>
      </c>
      <c r="BB46" s="191">
        <v>47.348528232733941</v>
      </c>
    </row>
    <row r="47" spans="1:54" ht="15.75" customHeight="1" x14ac:dyDescent="0.3">
      <c r="A47" s="371"/>
      <c r="B47" s="111" t="s">
        <v>9</v>
      </c>
      <c r="C47" s="192">
        <v>92.426270944051879</v>
      </c>
      <c r="D47" s="193">
        <v>85.729535158425335</v>
      </c>
      <c r="E47" s="193">
        <v>92.184525204417497</v>
      </c>
      <c r="F47" s="193">
        <v>85.844085612964335</v>
      </c>
      <c r="G47" s="192">
        <v>87.886615584881724</v>
      </c>
      <c r="H47" s="193">
        <v>59.362143351732755</v>
      </c>
      <c r="I47" s="193">
        <v>86.432699424465582</v>
      </c>
      <c r="J47" s="193">
        <v>60.654069314004964</v>
      </c>
      <c r="K47" s="192">
        <v>92.14859783217257</v>
      </c>
      <c r="L47" s="193">
        <v>87.59348669089745</v>
      </c>
      <c r="M47" s="193">
        <v>92.818379302816098</v>
      </c>
      <c r="N47" s="193">
        <v>90.470060515214456</v>
      </c>
      <c r="O47" s="192">
        <v>94.842623057833094</v>
      </c>
      <c r="P47" s="193">
        <v>91.979582805617383</v>
      </c>
      <c r="Q47" s="193">
        <v>97.703881894139016</v>
      </c>
      <c r="R47" s="193">
        <v>90.182340262943669</v>
      </c>
      <c r="S47" s="192">
        <v>99.452526993634251</v>
      </c>
      <c r="T47" s="193">
        <v>107.97799872287695</v>
      </c>
      <c r="U47" s="193">
        <v>96.303050357755353</v>
      </c>
      <c r="V47" s="193">
        <v>107.7860681002913</v>
      </c>
      <c r="W47" s="192">
        <v>88.804663140697897</v>
      </c>
      <c r="X47" s="193">
        <v>84.380808038313944</v>
      </c>
      <c r="Y47" s="193">
        <v>86.102946950513655</v>
      </c>
      <c r="Z47" s="193">
        <v>81.839438512120282</v>
      </c>
      <c r="AA47" s="192">
        <v>90.411778946453211</v>
      </c>
      <c r="AB47" s="193">
        <v>94.689916865136496</v>
      </c>
      <c r="AC47" s="193">
        <v>94.497544367511381</v>
      </c>
      <c r="AD47" s="193">
        <v>91.561050984456756</v>
      </c>
      <c r="AE47" s="192">
        <v>98.782110404605788</v>
      </c>
      <c r="AF47" s="193">
        <v>95.699396095504028</v>
      </c>
      <c r="AG47" s="193">
        <v>94.586544310614812</v>
      </c>
      <c r="AH47" s="193">
        <v>88.665828853035322</v>
      </c>
      <c r="AI47" s="192">
        <v>88.475424200080511</v>
      </c>
      <c r="AJ47" s="193">
        <v>80.629369598673577</v>
      </c>
      <c r="AK47" s="193">
        <v>86.333491865682447</v>
      </c>
      <c r="AL47" s="193">
        <v>78.690778123892343</v>
      </c>
      <c r="AM47" s="192">
        <v>100.11179234841674</v>
      </c>
      <c r="AN47" s="193">
        <v>99.758046945772634</v>
      </c>
      <c r="AO47" s="193">
        <v>99.558408924530113</v>
      </c>
      <c r="AP47" s="193">
        <v>93.925458041022225</v>
      </c>
      <c r="AQ47" s="192">
        <v>98.409945149903805</v>
      </c>
      <c r="AR47" s="193">
        <v>108.61035976628106</v>
      </c>
      <c r="AS47" s="193">
        <v>97.47320777164019</v>
      </c>
      <c r="AT47" s="193">
        <v>102.79634463704328</v>
      </c>
      <c r="AU47" s="192">
        <v>87.321252319898434</v>
      </c>
      <c r="AV47" s="193">
        <v>96.773223380141872</v>
      </c>
      <c r="AW47" s="193">
        <v>81.92884835269922</v>
      </c>
      <c r="AX47" s="193">
        <v>89.847523447966893</v>
      </c>
      <c r="AY47" s="192">
        <v>86.522425155120089</v>
      </c>
      <c r="AZ47" s="193">
        <v>74.218637548082881</v>
      </c>
      <c r="BA47" s="193">
        <v>80.366201606232721</v>
      </c>
      <c r="BB47" s="194">
        <v>65.396970837355681</v>
      </c>
    </row>
    <row r="48" spans="1:54" ht="15.75" customHeight="1" x14ac:dyDescent="0.3">
      <c r="A48" s="371"/>
      <c r="B48" s="96" t="s">
        <v>10</v>
      </c>
      <c r="C48" s="97">
        <v>89.286099446552655</v>
      </c>
      <c r="D48" s="131">
        <v>86.125121010932986</v>
      </c>
      <c r="E48" s="131">
        <v>88.676800115981237</v>
      </c>
      <c r="F48" s="131">
        <v>83.545458486795354</v>
      </c>
      <c r="G48" s="97">
        <v>84.177136294837808</v>
      </c>
      <c r="H48" s="131">
        <v>63.012874400729132</v>
      </c>
      <c r="I48" s="131">
        <v>81.827940140633558</v>
      </c>
      <c r="J48" s="131">
        <v>65.172502964229139</v>
      </c>
      <c r="K48" s="97">
        <v>90.109715606719448</v>
      </c>
      <c r="L48" s="131">
        <v>86.033818494898966</v>
      </c>
      <c r="M48" s="131">
        <v>91.223028250299151</v>
      </c>
      <c r="N48" s="131">
        <v>86.558130972935032</v>
      </c>
      <c r="O48" s="97">
        <v>92.29981969223779</v>
      </c>
      <c r="P48" s="131">
        <v>97.763677336786301</v>
      </c>
      <c r="Q48" s="131">
        <v>95.52558183940279</v>
      </c>
      <c r="R48" s="131">
        <v>91.437431241771421</v>
      </c>
      <c r="S48" s="97">
        <v>96.731532677745221</v>
      </c>
      <c r="T48" s="131">
        <v>104.58057576154502</v>
      </c>
      <c r="U48" s="131">
        <v>93.621420822664177</v>
      </c>
      <c r="V48" s="131">
        <v>101.27273405403008</v>
      </c>
      <c r="W48" s="97">
        <v>86.495851794988212</v>
      </c>
      <c r="X48" s="131">
        <v>80.469735650533494</v>
      </c>
      <c r="Y48" s="131">
        <v>83.89369790812593</v>
      </c>
      <c r="Z48" s="131">
        <v>73.782138229466881</v>
      </c>
      <c r="AA48" s="97">
        <v>84.319986641452587</v>
      </c>
      <c r="AB48" s="131">
        <v>91.332647123813274</v>
      </c>
      <c r="AC48" s="131">
        <v>85.798301976497413</v>
      </c>
      <c r="AD48" s="131">
        <v>84.971774211103536</v>
      </c>
      <c r="AE48" s="97">
        <v>96.152667823691559</v>
      </c>
      <c r="AF48" s="131">
        <v>93.640531707142145</v>
      </c>
      <c r="AG48" s="131">
        <v>91.968991762754172</v>
      </c>
      <c r="AH48" s="131">
        <v>85.535232663300292</v>
      </c>
      <c r="AI48" s="97">
        <v>86.444655000628075</v>
      </c>
      <c r="AJ48" s="131">
        <v>85.059199131418268</v>
      </c>
      <c r="AK48" s="131">
        <v>84.369574788934301</v>
      </c>
      <c r="AL48" s="131">
        <v>78.872355243410794</v>
      </c>
      <c r="AM48" s="97">
        <v>97.949858281424639</v>
      </c>
      <c r="AN48" s="131">
        <v>100.06559396796763</v>
      </c>
      <c r="AO48" s="131">
        <v>97.031924874114623</v>
      </c>
      <c r="AP48" s="131">
        <v>92.426288797032711</v>
      </c>
      <c r="AQ48" s="97">
        <v>97.964507027229303</v>
      </c>
      <c r="AR48" s="131">
        <v>119.03694517765307</v>
      </c>
      <c r="AS48" s="131">
        <v>93.55353198256266</v>
      </c>
      <c r="AT48" s="131">
        <v>99.327682006314703</v>
      </c>
      <c r="AU48" s="97">
        <v>84.834922130972359</v>
      </c>
      <c r="AV48" s="131">
        <v>95.632325282751452</v>
      </c>
      <c r="AW48" s="131">
        <v>79.875051081954098</v>
      </c>
      <c r="AX48" s="131">
        <v>80.173367568243052</v>
      </c>
      <c r="AY48" s="97">
        <v>80.948267952976707</v>
      </c>
      <c r="AZ48" s="131">
        <v>66.364561359970224</v>
      </c>
      <c r="BA48" s="131">
        <v>85.422533498899426</v>
      </c>
      <c r="BB48" s="191">
        <v>68.161068115254352</v>
      </c>
    </row>
    <row r="49" spans="1:54" s="109" customFormat="1" ht="15.75" customHeight="1" x14ac:dyDescent="0.3">
      <c r="A49" s="365"/>
      <c r="B49" s="401" t="s">
        <v>11</v>
      </c>
      <c r="C49" s="192">
        <v>92.941920277619545</v>
      </c>
      <c r="D49" s="193">
        <v>98.172402065678412</v>
      </c>
      <c r="E49" s="193">
        <v>90.384107138523191</v>
      </c>
      <c r="F49" s="193">
        <v>97.193708588976662</v>
      </c>
      <c r="G49" s="192">
        <v>86.440717453792487</v>
      </c>
      <c r="H49" s="193">
        <v>71.664471077769605</v>
      </c>
      <c r="I49" s="193">
        <v>83.881166178600424</v>
      </c>
      <c r="J49" s="193">
        <v>71.261951027493424</v>
      </c>
      <c r="K49" s="192">
        <v>93.449501167990647</v>
      </c>
      <c r="L49" s="193">
        <v>100.58762103031515</v>
      </c>
      <c r="M49" s="193">
        <v>94.132024827418078</v>
      </c>
      <c r="N49" s="193">
        <v>100.98604370105546</v>
      </c>
      <c r="O49" s="192">
        <v>96.187158296710592</v>
      </c>
      <c r="P49" s="193">
        <v>123.32861811779698</v>
      </c>
      <c r="Q49" s="193">
        <v>97.569088483331896</v>
      </c>
      <c r="R49" s="193">
        <v>119.40970129796781</v>
      </c>
      <c r="S49" s="192">
        <v>99.535216500523063</v>
      </c>
      <c r="T49" s="193">
        <v>124.94086798803463</v>
      </c>
      <c r="U49" s="193">
        <v>96.436396738018743</v>
      </c>
      <c r="V49" s="193">
        <v>121.17043148796967</v>
      </c>
      <c r="W49" s="192">
        <v>88.254475789887636</v>
      </c>
      <c r="X49" s="193">
        <v>98.15028440982465</v>
      </c>
      <c r="Y49" s="193">
        <v>85.929965718030715</v>
      </c>
      <c r="Z49" s="193">
        <v>98.122034869753207</v>
      </c>
      <c r="AA49" s="192">
        <v>90.095383105102087</v>
      </c>
      <c r="AB49" s="193">
        <v>99.203405631895563</v>
      </c>
      <c r="AC49" s="193">
        <v>86.799206383060266</v>
      </c>
      <c r="AD49" s="193">
        <v>93.597847570998155</v>
      </c>
      <c r="AE49" s="192">
        <v>99.164173719275254</v>
      </c>
      <c r="AF49" s="193">
        <v>97.839506904307299</v>
      </c>
      <c r="AG49" s="193">
        <v>97.453833868327251</v>
      </c>
      <c r="AH49" s="193">
        <v>89.920609903490245</v>
      </c>
      <c r="AI49" s="192">
        <v>94.60634541258402</v>
      </c>
      <c r="AJ49" s="193">
        <v>93.714912614222129</v>
      </c>
      <c r="AK49" s="193">
        <v>83.633385507638323</v>
      </c>
      <c r="AL49" s="193">
        <v>88.013454955101096</v>
      </c>
      <c r="AM49" s="192">
        <v>100.49669404645367</v>
      </c>
      <c r="AN49" s="193">
        <v>114.50294389037687</v>
      </c>
      <c r="AO49" s="193">
        <v>96.29621502880201</v>
      </c>
      <c r="AP49" s="193">
        <v>118.27794786819939</v>
      </c>
      <c r="AQ49" s="192">
        <v>96.300032677719955</v>
      </c>
      <c r="AR49" s="193">
        <v>113.6918930900906</v>
      </c>
      <c r="AS49" s="193">
        <v>93.226037217262231</v>
      </c>
      <c r="AT49" s="193">
        <v>106.72683335695035</v>
      </c>
      <c r="AU49" s="192">
        <v>88.783879783413525</v>
      </c>
      <c r="AV49" s="193">
        <v>108.7170654184942</v>
      </c>
      <c r="AW49" s="193">
        <v>83.962598542413275</v>
      </c>
      <c r="AX49" s="193">
        <v>100.04939736950844</v>
      </c>
      <c r="AY49" s="192">
        <v>86.150484060671019</v>
      </c>
      <c r="AZ49" s="193">
        <v>69.525251271869962</v>
      </c>
      <c r="BA49" s="193">
        <v>75.618472129550383</v>
      </c>
      <c r="BB49" s="194">
        <v>56.444742597531516</v>
      </c>
    </row>
    <row r="50" spans="1:54" s="109" customFormat="1" ht="15" customHeight="1" x14ac:dyDescent="0.3">
      <c r="A50" s="132"/>
      <c r="B50" s="133"/>
      <c r="C50" s="133"/>
      <c r="D50" s="133"/>
      <c r="E50" s="133"/>
      <c r="F50" s="133"/>
      <c r="G50" s="134"/>
      <c r="H50" s="134"/>
      <c r="I50" s="134"/>
      <c r="J50" s="134"/>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5"/>
    </row>
    <row r="51" spans="1:54" s="109" customFormat="1" x14ac:dyDescent="0.3">
      <c r="A51" s="108"/>
      <c r="B51" s="109" t="s">
        <v>84</v>
      </c>
      <c r="C51" s="140"/>
      <c r="D51" s="140"/>
      <c r="E51" s="140"/>
      <c r="F51" s="140"/>
      <c r="G51" s="140"/>
      <c r="H51" s="140"/>
      <c r="I51" s="141"/>
      <c r="J51" s="141"/>
      <c r="K51" s="140"/>
      <c r="L51" s="140"/>
      <c r="M51" s="140"/>
      <c r="N51" s="140"/>
      <c r="O51" s="140"/>
      <c r="P51" s="140"/>
      <c r="Q51" s="140"/>
      <c r="R51" s="140"/>
      <c r="BB51" s="111"/>
    </row>
    <row r="52" spans="1:54" s="114" customFormat="1" ht="14.25" customHeight="1" x14ac:dyDescent="0.3">
      <c r="A52" s="113"/>
      <c r="B52" s="140" t="s">
        <v>17</v>
      </c>
      <c r="C52" s="140"/>
      <c r="D52" s="140"/>
      <c r="E52" s="140"/>
      <c r="F52" s="140"/>
      <c r="G52" s="140"/>
      <c r="H52" s="140"/>
      <c r="I52" s="140"/>
      <c r="J52" s="140"/>
      <c r="K52" s="140"/>
      <c r="L52" s="140"/>
      <c r="M52" s="140"/>
      <c r="N52" s="140"/>
      <c r="O52" s="140"/>
      <c r="P52" s="140"/>
      <c r="Q52" s="140"/>
      <c r="R52" s="140"/>
      <c r="S52" s="112"/>
      <c r="T52" s="112"/>
      <c r="U52" s="112"/>
      <c r="V52" s="112"/>
      <c r="W52" s="112"/>
      <c r="X52" s="112"/>
      <c r="Y52" s="112"/>
      <c r="Z52" s="112"/>
      <c r="AA52" s="112"/>
      <c r="AB52" s="112"/>
      <c r="AC52" s="112"/>
      <c r="AD52" s="112"/>
      <c r="AE52" s="112"/>
      <c r="AF52" s="112"/>
      <c r="AG52" s="112"/>
      <c r="AH52" s="112"/>
      <c r="AI52" s="112"/>
      <c r="AJ52" s="136"/>
      <c r="AK52" s="136"/>
      <c r="AL52" s="136"/>
      <c r="BB52" s="115"/>
    </row>
    <row r="53" spans="1:54" ht="15" customHeight="1" x14ac:dyDescent="0.3">
      <c r="A53" s="123"/>
      <c r="B53" s="124" t="str">
        <f>'1.1 V.A Ing.real'!B45</f>
        <v>Actualizado el 15 de diciembre de 2021</v>
      </c>
      <c r="C53" s="124"/>
      <c r="D53" s="124"/>
      <c r="E53" s="124"/>
      <c r="F53" s="124"/>
      <c r="G53" s="124"/>
      <c r="H53" s="124"/>
      <c r="I53" s="124"/>
      <c r="J53" s="124"/>
      <c r="K53" s="124"/>
      <c r="L53" s="124"/>
      <c r="M53" s="143"/>
      <c r="N53" s="143"/>
      <c r="O53" s="143"/>
      <c r="P53" s="83"/>
      <c r="Q53" s="83"/>
      <c r="R53" s="83"/>
      <c r="S53" s="124"/>
      <c r="T53" s="195"/>
      <c r="U53" s="195"/>
      <c r="V53" s="195"/>
      <c r="W53" s="195"/>
      <c r="X53" s="195"/>
      <c r="Y53" s="195"/>
      <c r="Z53" s="195"/>
      <c r="AA53" s="124"/>
      <c r="AB53" s="124"/>
      <c r="AC53" s="124"/>
      <c r="AD53" s="124"/>
      <c r="AE53" s="124"/>
      <c r="AF53" s="144"/>
      <c r="AG53" s="144"/>
      <c r="AH53" s="144"/>
      <c r="BB53" s="102"/>
    </row>
    <row r="54" spans="1:54" s="83" customFormat="1" x14ac:dyDescent="0.3">
      <c r="A54" s="125"/>
      <c r="B54" s="126"/>
      <c r="C54" s="126"/>
      <c r="D54" s="126"/>
      <c r="E54" s="126"/>
      <c r="F54" s="126"/>
      <c r="G54" s="126"/>
      <c r="H54" s="126"/>
      <c r="I54" s="126"/>
      <c r="J54" s="126"/>
      <c r="K54" s="126"/>
      <c r="L54" s="126"/>
      <c r="M54" s="126"/>
      <c r="N54" s="126"/>
      <c r="O54" s="126"/>
      <c r="P54" s="126"/>
      <c r="Q54" s="126"/>
      <c r="R54" s="126"/>
      <c r="S54" s="126"/>
      <c r="T54" s="196"/>
      <c r="U54" s="196"/>
      <c r="V54" s="196"/>
      <c r="W54" s="196"/>
      <c r="X54" s="196"/>
      <c r="Y54" s="196"/>
      <c r="Z54" s="19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7"/>
    </row>
  </sheetData>
  <mergeCells count="16">
    <mergeCell ref="A7:F8"/>
    <mergeCell ref="G14:J14"/>
    <mergeCell ref="K14:N14"/>
    <mergeCell ref="AY14:BB14"/>
    <mergeCell ref="AQ14:AT14"/>
    <mergeCell ref="AU14:AX14"/>
    <mergeCell ref="AE14:AH14"/>
    <mergeCell ref="AA14:AD14"/>
    <mergeCell ref="AM14:AP14"/>
    <mergeCell ref="AI14:AL14"/>
    <mergeCell ref="A14:A15"/>
    <mergeCell ref="B14:B15"/>
    <mergeCell ref="O14:R14"/>
    <mergeCell ref="S14:V14"/>
    <mergeCell ref="W14:Z14"/>
    <mergeCell ref="C14:F14"/>
  </mergeCells>
  <hyperlinks>
    <hyperlink ref="G3" location="Contenido!A1" display="Inicio" xr:uid="{00000000-0004-0000-15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BB56"/>
  <sheetViews>
    <sheetView showGridLines="0" zoomScale="90" zoomScaleNormal="90" workbookViewId="0">
      <pane ySplit="16" topLeftCell="A47" activePane="bottomLeft" state="frozen"/>
      <selection pane="bottomLeft" activeCell="A7" sqref="A7:F8"/>
    </sheetView>
  </sheetViews>
  <sheetFormatPr baseColWidth="10" defaultColWidth="9.140625" defaultRowHeight="12" x14ac:dyDescent="0.2"/>
  <cols>
    <col min="1" max="1" width="8.7109375" style="9" customWidth="1"/>
    <col min="2" max="2" width="15.85546875" style="51" customWidth="1"/>
    <col min="3" max="4" width="12.85546875" style="11" bestFit="1" customWidth="1"/>
    <col min="5" max="5" width="12.7109375" style="11" customWidth="1"/>
    <col min="6" max="6" width="14.42578125" style="11" customWidth="1"/>
    <col min="7" max="7" width="12.85546875" style="9" bestFit="1" customWidth="1"/>
    <col min="8" max="8" width="11" style="9" bestFit="1" customWidth="1"/>
    <col min="9" max="9" width="11.42578125" style="9" bestFit="1" customWidth="1"/>
    <col min="10" max="10" width="10.42578125" style="9" customWidth="1"/>
    <col min="11" max="11" width="12.85546875" style="9" bestFit="1" customWidth="1"/>
    <col min="12" max="12" width="11" style="9" bestFit="1" customWidth="1"/>
    <col min="13" max="13" width="11.42578125" style="9" bestFit="1" customWidth="1"/>
    <col min="14" max="14" width="11" style="9" bestFit="1" customWidth="1"/>
    <col min="15" max="15" width="12.85546875" style="9" bestFit="1" customWidth="1"/>
    <col min="16" max="16" width="11" style="9" bestFit="1" customWidth="1"/>
    <col min="17" max="17" width="11.42578125" style="9" bestFit="1" customWidth="1"/>
    <col min="18" max="18" width="11" style="9" bestFit="1" customWidth="1"/>
    <col min="19" max="19" width="12.85546875" style="9" bestFit="1" customWidth="1"/>
    <col min="20" max="20" width="11" style="9" bestFit="1" customWidth="1"/>
    <col min="21" max="21" width="11.42578125" style="9" bestFit="1" customWidth="1"/>
    <col min="22" max="22" width="11" style="9" bestFit="1" customWidth="1"/>
    <col min="23" max="23" width="12.85546875" style="9" bestFit="1" customWidth="1"/>
    <col min="24" max="24" width="11" style="9" bestFit="1" customWidth="1"/>
    <col min="25" max="25" width="11.42578125" style="9" bestFit="1" customWidth="1"/>
    <col min="26" max="26" width="9.140625" style="9"/>
    <col min="27" max="27" width="12.85546875" style="9" bestFit="1" customWidth="1"/>
    <col min="28" max="28" width="11" style="9" bestFit="1" customWidth="1"/>
    <col min="29" max="29" width="11.42578125" style="9" bestFit="1" customWidth="1"/>
    <col min="30" max="30" width="11" style="9" bestFit="1" customWidth="1"/>
    <col min="31" max="31" width="12.85546875" style="9" bestFit="1" customWidth="1"/>
    <col min="32" max="32" width="11" style="9" bestFit="1" customWidth="1"/>
    <col min="33" max="33" width="11.42578125" style="9" bestFit="1" customWidth="1"/>
    <col min="34" max="34" width="11" style="9" bestFit="1" customWidth="1"/>
    <col min="35" max="35" width="12.85546875" style="9" bestFit="1" customWidth="1"/>
    <col min="36" max="36" width="11" style="9" bestFit="1" customWidth="1"/>
    <col min="37" max="37" width="11.42578125" style="9" bestFit="1" customWidth="1"/>
    <col min="38" max="38" width="11" style="9" bestFit="1" customWidth="1"/>
    <col min="39" max="39" width="12.85546875" style="9" bestFit="1" customWidth="1"/>
    <col min="40" max="40" width="11" style="9" bestFit="1" customWidth="1"/>
    <col min="41" max="41" width="11.42578125" style="9" bestFit="1" customWidth="1"/>
    <col min="42" max="42" width="11" style="9" bestFit="1" customWidth="1"/>
    <col min="43" max="43" width="12.85546875" style="9" bestFit="1" customWidth="1"/>
    <col min="44" max="44" width="11" style="9" bestFit="1" customWidth="1"/>
    <col min="45" max="45" width="11.42578125" style="9" bestFit="1" customWidth="1"/>
    <col min="46" max="46" width="11" style="9" bestFit="1" customWidth="1"/>
    <col min="47" max="47" width="12.85546875" style="9" bestFit="1" customWidth="1"/>
    <col min="48" max="48" width="11" style="9" bestFit="1" customWidth="1"/>
    <col min="49" max="49" width="11.42578125" style="9" bestFit="1" customWidth="1"/>
    <col min="50" max="50" width="11" style="9" bestFit="1" customWidth="1"/>
    <col min="51" max="51" width="12.85546875" style="9" bestFit="1" customWidth="1"/>
    <col min="52" max="52" width="11" style="9" bestFit="1" customWidth="1"/>
    <col min="53" max="53" width="11.42578125" style="9" bestFit="1" customWidth="1"/>
    <col min="54" max="54" width="11" style="9" bestFit="1" customWidth="1"/>
    <col min="55" max="16384" width="9.140625" style="9"/>
  </cols>
  <sheetData>
    <row r="1" spans="1:54" s="3" customFormat="1" ht="12" customHeight="1" x14ac:dyDescent="0.2">
      <c r="A1" s="5"/>
      <c r="B1" s="5"/>
      <c r="C1" s="5"/>
      <c r="D1" s="5"/>
      <c r="E1" s="5"/>
      <c r="F1" s="5"/>
    </row>
    <row r="2" spans="1:54" s="6" customFormat="1" ht="16.5" x14ac:dyDescent="0.3">
      <c r="A2" s="5"/>
      <c r="B2" s="5"/>
      <c r="C2" s="5"/>
      <c r="D2" s="5"/>
      <c r="E2" s="5"/>
      <c r="F2" s="5"/>
      <c r="G2" s="85"/>
    </row>
    <row r="3" spans="1:54" s="6" customFormat="1" ht="16.5" x14ac:dyDescent="0.3">
      <c r="A3" s="5"/>
      <c r="B3" s="5"/>
      <c r="C3" s="5"/>
      <c r="D3" s="5"/>
      <c r="E3" s="5"/>
      <c r="F3" s="5"/>
      <c r="G3" s="88" t="s">
        <v>0</v>
      </c>
    </row>
    <row r="4" spans="1:54" s="6" customFormat="1" ht="16.5" x14ac:dyDescent="0.3">
      <c r="A4" s="5"/>
      <c r="B4" s="5"/>
      <c r="C4" s="5"/>
      <c r="D4" s="5"/>
      <c r="E4" s="5"/>
      <c r="F4" s="5"/>
      <c r="G4" s="85"/>
    </row>
    <row r="5" spans="1:54" s="6" customFormat="1" ht="16.5" x14ac:dyDescent="0.3">
      <c r="A5" s="5"/>
      <c r="B5" s="5"/>
      <c r="C5" s="5"/>
      <c r="D5" s="5"/>
      <c r="E5" s="5"/>
      <c r="F5" s="5"/>
      <c r="G5" s="85"/>
    </row>
    <row r="6" spans="1:54" s="6" customFormat="1" x14ac:dyDescent="0.2">
      <c r="A6" s="5"/>
      <c r="B6" s="5"/>
      <c r="C6" s="5"/>
      <c r="D6" s="5"/>
      <c r="E6" s="5"/>
      <c r="F6" s="5"/>
      <c r="G6" s="52"/>
    </row>
    <row r="7" spans="1:54" s="6" customFormat="1" ht="15" customHeight="1" x14ac:dyDescent="0.2">
      <c r="A7" s="439" t="s">
        <v>4</v>
      </c>
      <c r="B7" s="439"/>
      <c r="C7" s="439"/>
      <c r="D7" s="439"/>
      <c r="E7" s="439"/>
      <c r="F7" s="439"/>
    </row>
    <row r="8" spans="1:54" s="6" customFormat="1" ht="15" customHeight="1" x14ac:dyDescent="0.2">
      <c r="A8" s="439"/>
      <c r="B8" s="439"/>
      <c r="C8" s="439"/>
      <c r="D8" s="439"/>
      <c r="E8" s="439"/>
      <c r="F8" s="439"/>
    </row>
    <row r="9" spans="1:54" s="3" customFormat="1" ht="15" customHeight="1" x14ac:dyDescent="0.2">
      <c r="A9" s="250"/>
      <c r="B9" s="441"/>
      <c r="C9" s="441"/>
      <c r="D9" s="441"/>
      <c r="E9" s="441"/>
      <c r="F9" s="441"/>
      <c r="G9" s="387"/>
      <c r="H9" s="387"/>
      <c r="I9" s="387"/>
      <c r="J9" s="387"/>
      <c r="K9" s="387"/>
    </row>
    <row r="10" spans="1:54" ht="15" customHeight="1" x14ac:dyDescent="0.2">
      <c r="A10" s="7" t="s">
        <v>166</v>
      </c>
      <c r="B10" s="251"/>
      <c r="C10" s="8"/>
      <c r="D10" s="8"/>
      <c r="E10" s="8"/>
      <c r="F10" s="8"/>
      <c r="G10" s="390"/>
      <c r="H10" s="388"/>
      <c r="I10" s="388"/>
      <c r="J10" s="388"/>
      <c r="K10" s="388"/>
    </row>
    <row r="11" spans="1:54" ht="15" customHeight="1" x14ac:dyDescent="0.2">
      <c r="A11" s="7" t="s">
        <v>79</v>
      </c>
      <c r="B11" s="251"/>
      <c r="C11" s="8"/>
      <c r="D11" s="8"/>
      <c r="E11" s="8"/>
      <c r="F11" s="8"/>
      <c r="G11" s="390"/>
      <c r="H11" s="388"/>
      <c r="I11" s="388"/>
      <c r="J11" s="388"/>
      <c r="K11" s="388"/>
    </row>
    <row r="12" spans="1:54" ht="15" customHeight="1" x14ac:dyDescent="0.2">
      <c r="A12" s="249" t="str">
        <f>'5.2 Porc Mens Ocupación.reg'!A12</f>
        <v>Enero 2019 - octubre 2021</v>
      </c>
      <c r="B12" s="251"/>
      <c r="C12" s="10"/>
      <c r="D12" s="10"/>
      <c r="E12" s="10"/>
      <c r="F12" s="10"/>
      <c r="G12" s="390"/>
      <c r="H12" s="389"/>
      <c r="I12" s="389"/>
      <c r="J12" s="389"/>
      <c r="K12" s="389"/>
    </row>
    <row r="13" spans="1:54" ht="15" customHeight="1" x14ac:dyDescent="0.2">
      <c r="A13" s="249" t="s">
        <v>53</v>
      </c>
      <c r="B13" s="251"/>
      <c r="C13" s="8"/>
      <c r="D13" s="8"/>
      <c r="E13" s="8"/>
      <c r="F13" s="8"/>
      <c r="G13" s="390"/>
      <c r="H13" s="388"/>
      <c r="I13" s="388"/>
      <c r="J13" s="388"/>
      <c r="K13" s="388"/>
    </row>
    <row r="14" spans="1:54" ht="15" customHeight="1" x14ac:dyDescent="0.2">
      <c r="A14" s="249"/>
      <c r="B14" s="251"/>
      <c r="C14" s="8"/>
      <c r="D14" s="8"/>
      <c r="E14" s="8"/>
      <c r="F14" s="8"/>
      <c r="G14" s="390"/>
      <c r="H14" s="388"/>
      <c r="I14" s="388"/>
      <c r="J14" s="388"/>
      <c r="K14" s="388"/>
    </row>
    <row r="15" spans="1:54" s="95" customFormat="1" ht="30.6" customHeight="1" x14ac:dyDescent="0.3">
      <c r="A15" s="442" t="s">
        <v>25</v>
      </c>
      <c r="B15" s="442" t="s">
        <v>43</v>
      </c>
      <c r="C15" s="440" t="s">
        <v>24</v>
      </c>
      <c r="D15" s="440"/>
      <c r="E15" s="440"/>
      <c r="F15" s="440"/>
      <c r="G15" s="440" t="s">
        <v>5</v>
      </c>
      <c r="H15" s="440"/>
      <c r="I15" s="440"/>
      <c r="J15" s="440"/>
      <c r="K15" s="440" t="s">
        <v>6</v>
      </c>
      <c r="L15" s="440"/>
      <c r="M15" s="440"/>
      <c r="N15" s="440"/>
      <c r="O15" s="440" t="s">
        <v>20</v>
      </c>
      <c r="P15" s="440"/>
      <c r="Q15" s="440"/>
      <c r="R15" s="440"/>
      <c r="S15" s="440" t="s">
        <v>21</v>
      </c>
      <c r="T15" s="440"/>
      <c r="U15" s="440"/>
      <c r="V15" s="440"/>
      <c r="W15" s="440" t="s">
        <v>22</v>
      </c>
      <c r="X15" s="440"/>
      <c r="Y15" s="440"/>
      <c r="Z15" s="440"/>
      <c r="AA15" s="440" t="s">
        <v>3</v>
      </c>
      <c r="AB15" s="440"/>
      <c r="AC15" s="440"/>
      <c r="AD15" s="440"/>
      <c r="AE15" s="440" t="s">
        <v>7</v>
      </c>
      <c r="AF15" s="440"/>
      <c r="AG15" s="440"/>
      <c r="AH15" s="440"/>
      <c r="AI15" s="440" t="s">
        <v>41</v>
      </c>
      <c r="AJ15" s="440"/>
      <c r="AK15" s="440"/>
      <c r="AL15" s="440"/>
      <c r="AM15" s="440" t="s">
        <v>38</v>
      </c>
      <c r="AN15" s="440"/>
      <c r="AO15" s="440"/>
      <c r="AP15" s="440"/>
      <c r="AQ15" s="440" t="s">
        <v>42</v>
      </c>
      <c r="AR15" s="440"/>
      <c r="AS15" s="440"/>
      <c r="AT15" s="440"/>
      <c r="AU15" s="440" t="s">
        <v>23</v>
      </c>
      <c r="AV15" s="440"/>
      <c r="AW15" s="440"/>
      <c r="AX15" s="440"/>
      <c r="AY15" s="440" t="s">
        <v>40</v>
      </c>
      <c r="AZ15" s="440"/>
      <c r="BA15" s="440"/>
      <c r="BB15" s="443"/>
    </row>
    <row r="16" spans="1:54" s="15" customFormat="1" ht="44.45" customHeight="1" x14ac:dyDescent="0.25">
      <c r="A16" s="442"/>
      <c r="B16" s="442"/>
      <c r="C16" s="13" t="s">
        <v>44</v>
      </c>
      <c r="D16" s="13" t="s">
        <v>45</v>
      </c>
      <c r="E16" s="13" t="s">
        <v>46</v>
      </c>
      <c r="F16" s="14" t="s">
        <v>162</v>
      </c>
      <c r="G16" s="13" t="s">
        <v>44</v>
      </c>
      <c r="H16" s="13" t="s">
        <v>45</v>
      </c>
      <c r="I16" s="13" t="s">
        <v>46</v>
      </c>
      <c r="J16" s="14" t="s">
        <v>162</v>
      </c>
      <c r="K16" s="13" t="s">
        <v>44</v>
      </c>
      <c r="L16" s="13" t="s">
        <v>45</v>
      </c>
      <c r="M16" s="13" t="s">
        <v>46</v>
      </c>
      <c r="N16" s="14" t="s">
        <v>162</v>
      </c>
      <c r="O16" s="13" t="s">
        <v>44</v>
      </c>
      <c r="P16" s="13" t="s">
        <v>45</v>
      </c>
      <c r="Q16" s="13" t="s">
        <v>46</v>
      </c>
      <c r="R16" s="14" t="s">
        <v>162</v>
      </c>
      <c r="S16" s="13" t="s">
        <v>44</v>
      </c>
      <c r="T16" s="13" t="s">
        <v>45</v>
      </c>
      <c r="U16" s="13" t="s">
        <v>46</v>
      </c>
      <c r="V16" s="14" t="s">
        <v>162</v>
      </c>
      <c r="W16" s="13" t="s">
        <v>44</v>
      </c>
      <c r="X16" s="13" t="s">
        <v>45</v>
      </c>
      <c r="Y16" s="13" t="s">
        <v>46</v>
      </c>
      <c r="Z16" s="14" t="s">
        <v>162</v>
      </c>
      <c r="AA16" s="13" t="s">
        <v>44</v>
      </c>
      <c r="AB16" s="13" t="s">
        <v>45</v>
      </c>
      <c r="AC16" s="13" t="s">
        <v>46</v>
      </c>
      <c r="AD16" s="14" t="s">
        <v>162</v>
      </c>
      <c r="AE16" s="13" t="s">
        <v>44</v>
      </c>
      <c r="AF16" s="13" t="s">
        <v>45</v>
      </c>
      <c r="AG16" s="13" t="s">
        <v>46</v>
      </c>
      <c r="AH16" s="14" t="s">
        <v>162</v>
      </c>
      <c r="AI16" s="13" t="s">
        <v>44</v>
      </c>
      <c r="AJ16" s="13" t="s">
        <v>45</v>
      </c>
      <c r="AK16" s="13" t="s">
        <v>46</v>
      </c>
      <c r="AL16" s="14" t="s">
        <v>162</v>
      </c>
      <c r="AM16" s="13" t="s">
        <v>44</v>
      </c>
      <c r="AN16" s="13" t="s">
        <v>45</v>
      </c>
      <c r="AO16" s="13" t="s">
        <v>46</v>
      </c>
      <c r="AP16" s="14" t="s">
        <v>162</v>
      </c>
      <c r="AQ16" s="13" t="s">
        <v>44</v>
      </c>
      <c r="AR16" s="13" t="s">
        <v>45</v>
      </c>
      <c r="AS16" s="13" t="s">
        <v>46</v>
      </c>
      <c r="AT16" s="14" t="s">
        <v>162</v>
      </c>
      <c r="AU16" s="13" t="s">
        <v>44</v>
      </c>
      <c r="AV16" s="13" t="s">
        <v>45</v>
      </c>
      <c r="AW16" s="13" t="s">
        <v>46</v>
      </c>
      <c r="AX16" s="14" t="s">
        <v>162</v>
      </c>
      <c r="AY16" s="13" t="s">
        <v>44</v>
      </c>
      <c r="AZ16" s="13" t="s">
        <v>45</v>
      </c>
      <c r="BA16" s="13" t="s">
        <v>46</v>
      </c>
      <c r="BB16" s="14" t="s">
        <v>162</v>
      </c>
    </row>
    <row r="17" spans="1:54" s="24" customFormat="1" ht="15" customHeight="1" x14ac:dyDescent="0.2">
      <c r="A17" s="63" t="s">
        <v>51</v>
      </c>
      <c r="B17" s="64" t="s">
        <v>47</v>
      </c>
      <c r="C17" s="65">
        <v>100.46744870886923</v>
      </c>
      <c r="D17" s="65">
        <v>98.039945461202592</v>
      </c>
      <c r="E17" s="65">
        <v>99.528267131947331</v>
      </c>
      <c r="F17" s="66">
        <v>99.265227080128312</v>
      </c>
      <c r="G17" s="65">
        <v>70.977635726170661</v>
      </c>
      <c r="H17" s="65">
        <v>68.952768922401845</v>
      </c>
      <c r="I17" s="65">
        <v>94.221705163080813</v>
      </c>
      <c r="J17" s="66">
        <v>93.118125883347844</v>
      </c>
      <c r="K17" s="65">
        <v>122.91871708049669</v>
      </c>
      <c r="L17" s="65">
        <v>119.82030059303406</v>
      </c>
      <c r="M17" s="65">
        <v>100.67944851510309</v>
      </c>
      <c r="N17" s="66">
        <v>102.43950908045514</v>
      </c>
      <c r="O17" s="65">
        <v>119.69632894688391</v>
      </c>
      <c r="P17" s="65">
        <v>117.52111880449858</v>
      </c>
      <c r="Q17" s="65">
        <v>102.68651298757075</v>
      </c>
      <c r="R17" s="66">
        <v>103.43162655063789</v>
      </c>
      <c r="S17" s="65">
        <v>112.36069157530677</v>
      </c>
      <c r="T17" s="65">
        <v>110.10183640635887</v>
      </c>
      <c r="U17" s="65">
        <v>99.933019198299235</v>
      </c>
      <c r="V17" s="66">
        <v>102.12734317630554</v>
      </c>
      <c r="W17" s="65">
        <v>124.07725922134507</v>
      </c>
      <c r="X17" s="65">
        <v>121.705179051241</v>
      </c>
      <c r="Y17" s="65">
        <v>103.29136450798526</v>
      </c>
      <c r="Z17" s="66">
        <v>101.90879569400026</v>
      </c>
      <c r="AA17" s="65">
        <v>95.03770513157535</v>
      </c>
      <c r="AB17" s="65">
        <v>92.27130083864914</v>
      </c>
      <c r="AC17" s="65">
        <v>98.652532871266956</v>
      </c>
      <c r="AD17" s="66">
        <v>98.122132114773066</v>
      </c>
      <c r="AE17" s="65">
        <v>114.79045558591503</v>
      </c>
      <c r="AF17" s="65">
        <v>112.86072512320249</v>
      </c>
      <c r="AG17" s="65">
        <v>103.98853583679362</v>
      </c>
      <c r="AH17" s="66">
        <v>100.24879341249915</v>
      </c>
      <c r="AI17" s="65">
        <v>81.90127516571998</v>
      </c>
      <c r="AJ17" s="65">
        <v>79.689827267448322</v>
      </c>
      <c r="AK17" s="65">
        <v>98.781352094172945</v>
      </c>
      <c r="AL17" s="66">
        <v>102.42847046817903</v>
      </c>
      <c r="AM17" s="65">
        <v>84.871694101017027</v>
      </c>
      <c r="AN17" s="65">
        <v>82.839363250113493</v>
      </c>
      <c r="AO17" s="65">
        <v>99.468490087101728</v>
      </c>
      <c r="AP17" s="66">
        <v>99.884181243488797</v>
      </c>
      <c r="AQ17" s="65">
        <v>118.62480346326787</v>
      </c>
      <c r="AR17" s="65">
        <v>115.94241010228346</v>
      </c>
      <c r="AS17" s="65">
        <v>111.505099795617</v>
      </c>
      <c r="AT17" s="66">
        <v>100.36804995198345</v>
      </c>
      <c r="AU17" s="65">
        <v>110.60187485268361</v>
      </c>
      <c r="AV17" s="65">
        <v>107.4917935574134</v>
      </c>
      <c r="AW17" s="65">
        <v>97.625939910762071</v>
      </c>
      <c r="AX17" s="66">
        <v>99.198595060267905</v>
      </c>
      <c r="AY17" s="65">
        <v>103.62385714067159</v>
      </c>
      <c r="AZ17" s="65">
        <v>101.64885797533884</v>
      </c>
      <c r="BA17" s="65">
        <v>100.86900024364496</v>
      </c>
      <c r="BB17" s="66">
        <v>101.77870347021802</v>
      </c>
    </row>
    <row r="18" spans="1:54" s="24" customFormat="1" ht="15" customHeight="1" x14ac:dyDescent="0.2">
      <c r="A18" s="16"/>
      <c r="B18" s="20" t="s">
        <v>48</v>
      </c>
      <c r="C18" s="21">
        <v>88.51938482803871</v>
      </c>
      <c r="D18" s="21">
        <v>89.30367969384298</v>
      </c>
      <c r="E18" s="21">
        <v>97.560932860637621</v>
      </c>
      <c r="F18" s="22">
        <v>98.915429821648772</v>
      </c>
      <c r="G18" s="21">
        <v>91.244780026059175</v>
      </c>
      <c r="H18" s="21">
        <v>91.888640238126058</v>
      </c>
      <c r="I18" s="21">
        <v>96.20620488085406</v>
      </c>
      <c r="J18" s="22">
        <v>97.560240397970645</v>
      </c>
      <c r="K18" s="21">
        <v>98.769145436042322</v>
      </c>
      <c r="L18" s="21">
        <v>99.838680255034149</v>
      </c>
      <c r="M18" s="21">
        <v>98.616578312739151</v>
      </c>
      <c r="N18" s="22">
        <v>102.42205029153952</v>
      </c>
      <c r="O18" s="21">
        <v>74.123196936204153</v>
      </c>
      <c r="P18" s="21">
        <v>74.863916876127192</v>
      </c>
      <c r="Q18" s="21">
        <v>97.063280893249441</v>
      </c>
      <c r="R18" s="22">
        <v>100.88341951401772</v>
      </c>
      <c r="S18" s="21">
        <v>79.322338898610752</v>
      </c>
      <c r="T18" s="21">
        <v>80.090354237487631</v>
      </c>
      <c r="U18" s="21">
        <v>96.917130417360113</v>
      </c>
      <c r="V18" s="22">
        <v>97.103665727209304</v>
      </c>
      <c r="W18" s="21">
        <v>78.635319114786</v>
      </c>
      <c r="X18" s="21">
        <v>79.358693700045023</v>
      </c>
      <c r="Y18" s="21">
        <v>97.986324110308402</v>
      </c>
      <c r="Z18" s="22">
        <v>96.442901438612168</v>
      </c>
      <c r="AA18" s="21">
        <v>86.530248721631082</v>
      </c>
      <c r="AB18" s="21">
        <v>87.296010762256799</v>
      </c>
      <c r="AC18" s="21">
        <v>95.744650823643823</v>
      </c>
      <c r="AD18" s="22">
        <v>98.238564277722588</v>
      </c>
      <c r="AE18" s="21">
        <v>88.32167440026501</v>
      </c>
      <c r="AF18" s="21">
        <v>89.03268625194552</v>
      </c>
      <c r="AG18" s="21">
        <v>101.56075103809347</v>
      </c>
      <c r="AH18" s="22">
        <v>97.245385667623864</v>
      </c>
      <c r="AI18" s="21">
        <v>85.462513236024336</v>
      </c>
      <c r="AJ18" s="21">
        <v>86.170318340366777</v>
      </c>
      <c r="AK18" s="21">
        <v>97.463022822999307</v>
      </c>
      <c r="AL18" s="22">
        <v>98.093832680530028</v>
      </c>
      <c r="AM18" s="21">
        <v>83.709921965402273</v>
      </c>
      <c r="AN18" s="21">
        <v>84.419644395606483</v>
      </c>
      <c r="AO18" s="21">
        <v>97.03790493499514</v>
      </c>
      <c r="AP18" s="22">
        <v>99.714754276635247</v>
      </c>
      <c r="AQ18" s="21">
        <v>93.714078385255419</v>
      </c>
      <c r="AR18" s="21">
        <v>94.609455074562604</v>
      </c>
      <c r="AS18" s="21">
        <v>105.96387604025071</v>
      </c>
      <c r="AT18" s="22">
        <v>101.84722656781079</v>
      </c>
      <c r="AU18" s="21">
        <v>82.697029417619504</v>
      </c>
      <c r="AV18" s="21">
        <v>83.464995710280618</v>
      </c>
      <c r="AW18" s="21">
        <v>96.387608405751664</v>
      </c>
      <c r="AX18" s="22">
        <v>99.085705530468644</v>
      </c>
      <c r="AY18" s="21">
        <v>75.55709215497231</v>
      </c>
      <c r="AZ18" s="21">
        <v>76.098811172956289</v>
      </c>
      <c r="BA18" s="21">
        <v>98.676195890522223</v>
      </c>
      <c r="BB18" s="22">
        <v>101.36350324368277</v>
      </c>
    </row>
    <row r="19" spans="1:54" s="24" customFormat="1" ht="15" customHeight="1" x14ac:dyDescent="0.2">
      <c r="A19" s="16"/>
      <c r="B19" s="64" t="s">
        <v>49</v>
      </c>
      <c r="C19" s="65">
        <v>97.96904607398433</v>
      </c>
      <c r="D19" s="65">
        <v>98.167528570295133</v>
      </c>
      <c r="E19" s="65">
        <v>98.83249721241188</v>
      </c>
      <c r="F19" s="66">
        <v>99.086584754515329</v>
      </c>
      <c r="G19" s="65">
        <v>98.77354241970265</v>
      </c>
      <c r="H19" s="65">
        <v>98.730964702372603</v>
      </c>
      <c r="I19" s="65">
        <v>97.567054986721203</v>
      </c>
      <c r="J19" s="66">
        <v>98.766515506408055</v>
      </c>
      <c r="K19" s="65">
        <v>106.88139172448643</v>
      </c>
      <c r="L19" s="65">
        <v>107.26150932875132</v>
      </c>
      <c r="M19" s="65">
        <v>100.10471850847435</v>
      </c>
      <c r="N19" s="66">
        <v>100.33263369361309</v>
      </c>
      <c r="O19" s="65">
        <v>81.987084510848703</v>
      </c>
      <c r="P19" s="65">
        <v>82.274539423667164</v>
      </c>
      <c r="Q19" s="65">
        <v>97.692775419626628</v>
      </c>
      <c r="R19" s="66">
        <v>98.635284851788015</v>
      </c>
      <c r="S19" s="65">
        <v>103.38782507844368</v>
      </c>
      <c r="T19" s="65">
        <v>103.70132300104689</v>
      </c>
      <c r="U19" s="65">
        <v>98.327748163182932</v>
      </c>
      <c r="V19" s="66">
        <v>98.518394384784429</v>
      </c>
      <c r="W19" s="65">
        <v>89.970216140909798</v>
      </c>
      <c r="X19" s="65">
        <v>90.298533676715095</v>
      </c>
      <c r="Y19" s="65">
        <v>96.981325558830704</v>
      </c>
      <c r="Z19" s="66">
        <v>101.53581952331461</v>
      </c>
      <c r="AA19" s="65">
        <v>94.379038242749402</v>
      </c>
      <c r="AB19" s="65">
        <v>94.469673151464988</v>
      </c>
      <c r="AC19" s="65">
        <v>98.606430772366949</v>
      </c>
      <c r="AD19" s="66">
        <v>97.185128542751798</v>
      </c>
      <c r="AE19" s="65">
        <v>95.100301706498826</v>
      </c>
      <c r="AF19" s="65">
        <v>95.518399584584941</v>
      </c>
      <c r="AG19" s="65">
        <v>103.33047481494853</v>
      </c>
      <c r="AH19" s="66">
        <v>98.599000070153565</v>
      </c>
      <c r="AI19" s="65">
        <v>91.181684288733507</v>
      </c>
      <c r="AJ19" s="65">
        <v>91.278770031734155</v>
      </c>
      <c r="AK19" s="65">
        <v>99.102867711880535</v>
      </c>
      <c r="AL19" s="66">
        <v>99.381309842832749</v>
      </c>
      <c r="AM19" s="65">
        <v>90.312332387138198</v>
      </c>
      <c r="AN19" s="65">
        <v>90.463889536534893</v>
      </c>
      <c r="AO19" s="65">
        <v>97.476519801958744</v>
      </c>
      <c r="AP19" s="66">
        <v>99.151363686552045</v>
      </c>
      <c r="AQ19" s="65">
        <v>105.50044162842029</v>
      </c>
      <c r="AR19" s="65">
        <v>105.80927744508253</v>
      </c>
      <c r="AS19" s="65">
        <v>103.79291798276924</v>
      </c>
      <c r="AT19" s="66">
        <v>101.46188738957062</v>
      </c>
      <c r="AU19" s="65">
        <v>96.753032884161513</v>
      </c>
      <c r="AV19" s="65">
        <v>96.868788530018989</v>
      </c>
      <c r="AW19" s="65">
        <v>96.884360298879045</v>
      </c>
      <c r="AX19" s="66">
        <v>99.537868552444436</v>
      </c>
      <c r="AY19" s="65">
        <v>74.060738728259096</v>
      </c>
      <c r="AZ19" s="65">
        <v>74.477721507973683</v>
      </c>
      <c r="BA19" s="65">
        <v>99.845691545520992</v>
      </c>
      <c r="BB19" s="66">
        <v>99.943142215166588</v>
      </c>
    </row>
    <row r="20" spans="1:54" s="24" customFormat="1" ht="15" customHeight="1" x14ac:dyDescent="0.2">
      <c r="A20" s="16"/>
      <c r="B20" s="20" t="s">
        <v>14</v>
      </c>
      <c r="C20" s="21">
        <v>90.280507644682856</v>
      </c>
      <c r="D20" s="21">
        <v>90.60558241590077</v>
      </c>
      <c r="E20" s="21">
        <v>99.397654360771554</v>
      </c>
      <c r="F20" s="22">
        <v>100.1200886174739</v>
      </c>
      <c r="G20" s="21">
        <v>88.708497496552241</v>
      </c>
      <c r="H20" s="21">
        <v>88.810215281530759</v>
      </c>
      <c r="I20" s="21">
        <v>99.092069739900239</v>
      </c>
      <c r="J20" s="22">
        <v>98.924271853666085</v>
      </c>
      <c r="K20" s="21">
        <v>92.037437597520395</v>
      </c>
      <c r="L20" s="21">
        <v>92.536299232002463</v>
      </c>
      <c r="M20" s="21">
        <v>99.151988896372657</v>
      </c>
      <c r="N20" s="22">
        <v>101.4306915964641</v>
      </c>
      <c r="O20" s="21">
        <v>90.665674420398219</v>
      </c>
      <c r="P20" s="21">
        <v>91.045690339711015</v>
      </c>
      <c r="Q20" s="21">
        <v>99.421701644246298</v>
      </c>
      <c r="R20" s="22">
        <v>100.78615106814708</v>
      </c>
      <c r="S20" s="21">
        <v>91.646709019905472</v>
      </c>
      <c r="T20" s="21">
        <v>92.03998843770988</v>
      </c>
      <c r="U20" s="21">
        <v>99.006354068972001</v>
      </c>
      <c r="V20" s="22">
        <v>99.483770171557168</v>
      </c>
      <c r="W20" s="21">
        <v>92.938497647910879</v>
      </c>
      <c r="X20" s="21">
        <v>93.391655535975389</v>
      </c>
      <c r="Y20" s="21">
        <v>98.278097883318097</v>
      </c>
      <c r="Z20" s="22">
        <v>102.72414197030655</v>
      </c>
      <c r="AA20" s="21">
        <v>85.63938043293642</v>
      </c>
      <c r="AB20" s="21">
        <v>85.899693816924596</v>
      </c>
      <c r="AC20" s="21">
        <v>98.434567165583417</v>
      </c>
      <c r="AD20" s="22">
        <v>99.700157170104447</v>
      </c>
      <c r="AE20" s="21">
        <v>91.014095585446981</v>
      </c>
      <c r="AF20" s="21">
        <v>91.533215633432292</v>
      </c>
      <c r="AG20" s="21">
        <v>101.79635313233433</v>
      </c>
      <c r="AH20" s="22">
        <v>98.693296816842945</v>
      </c>
      <c r="AI20" s="21">
        <v>87.246540852767168</v>
      </c>
      <c r="AJ20" s="21">
        <v>87.476502021677433</v>
      </c>
      <c r="AK20" s="21">
        <v>99.228477756074511</v>
      </c>
      <c r="AL20" s="22">
        <v>99.588003850559176</v>
      </c>
      <c r="AM20" s="21">
        <v>92.966737344457684</v>
      </c>
      <c r="AN20" s="21">
        <v>93.217089641102731</v>
      </c>
      <c r="AO20" s="21">
        <v>99.763211539211667</v>
      </c>
      <c r="AP20" s="22">
        <v>101.35556959983812</v>
      </c>
      <c r="AQ20" s="21">
        <v>112.9241881645524</v>
      </c>
      <c r="AR20" s="21">
        <v>113.38534596441181</v>
      </c>
      <c r="AS20" s="21">
        <v>107.35563617872263</v>
      </c>
      <c r="AT20" s="22">
        <v>100.75559464434416</v>
      </c>
      <c r="AU20" s="21">
        <v>93.328521002560535</v>
      </c>
      <c r="AV20" s="21">
        <v>93.643595753924885</v>
      </c>
      <c r="AW20" s="21">
        <v>99.155226096032777</v>
      </c>
      <c r="AX20" s="22">
        <v>103.11975126793462</v>
      </c>
      <c r="AY20" s="21">
        <v>78.304871314389999</v>
      </c>
      <c r="AZ20" s="21">
        <v>78.965552622380514</v>
      </c>
      <c r="BA20" s="21">
        <v>97.604158206773334</v>
      </c>
      <c r="BB20" s="22">
        <v>106.89912997605715</v>
      </c>
    </row>
    <row r="21" spans="1:54" s="24" customFormat="1" ht="15" customHeight="1" x14ac:dyDescent="0.2">
      <c r="A21" s="16"/>
      <c r="B21" s="64" t="s">
        <v>15</v>
      </c>
      <c r="C21" s="65">
        <v>91.748914544246901</v>
      </c>
      <c r="D21" s="65">
        <v>93.715961156468452</v>
      </c>
      <c r="E21" s="65">
        <v>98.822152884455122</v>
      </c>
      <c r="F21" s="66">
        <v>99.031373179220537</v>
      </c>
      <c r="G21" s="65">
        <v>107.36142236358415</v>
      </c>
      <c r="H21" s="65">
        <v>109.49785217035736</v>
      </c>
      <c r="I21" s="65">
        <v>100.719632382687</v>
      </c>
      <c r="J21" s="66">
        <v>98.964064122643123</v>
      </c>
      <c r="K21" s="65">
        <v>84.545261287239825</v>
      </c>
      <c r="L21" s="65">
        <v>86.541728570048534</v>
      </c>
      <c r="M21" s="65">
        <v>99.171182106241545</v>
      </c>
      <c r="N21" s="66">
        <v>99.817543119930846</v>
      </c>
      <c r="O21" s="65">
        <v>75.793845774249107</v>
      </c>
      <c r="P21" s="65">
        <v>77.301653732948623</v>
      </c>
      <c r="Q21" s="65">
        <v>97.141603755226924</v>
      </c>
      <c r="R21" s="66">
        <v>96.73082147526469</v>
      </c>
      <c r="S21" s="65">
        <v>79.718709589037644</v>
      </c>
      <c r="T21" s="65">
        <v>81.386947069737303</v>
      </c>
      <c r="U21" s="65">
        <v>96.343480575395674</v>
      </c>
      <c r="V21" s="66">
        <v>97.144462642610179</v>
      </c>
      <c r="W21" s="65">
        <v>83.972620276487646</v>
      </c>
      <c r="X21" s="65">
        <v>85.688038506049338</v>
      </c>
      <c r="Y21" s="65">
        <v>97.623503768457184</v>
      </c>
      <c r="Z21" s="66">
        <v>98.166356011559557</v>
      </c>
      <c r="AA21" s="65">
        <v>92.397020645940714</v>
      </c>
      <c r="AB21" s="65">
        <v>94.573597376834627</v>
      </c>
      <c r="AC21" s="65">
        <v>97.605670244544967</v>
      </c>
      <c r="AD21" s="66">
        <v>99.94759801488749</v>
      </c>
      <c r="AE21" s="65">
        <v>88.805879541828844</v>
      </c>
      <c r="AF21" s="65">
        <v>90.594700012073787</v>
      </c>
      <c r="AG21" s="65">
        <v>101.03809351868567</v>
      </c>
      <c r="AH21" s="66">
        <v>98.610994261513071</v>
      </c>
      <c r="AI21" s="65">
        <v>98.175798981347768</v>
      </c>
      <c r="AJ21" s="65">
        <v>100.213116215638</v>
      </c>
      <c r="AK21" s="65">
        <v>99.894556706020637</v>
      </c>
      <c r="AL21" s="66">
        <v>98.830585659079716</v>
      </c>
      <c r="AM21" s="65">
        <v>89.52497051529825</v>
      </c>
      <c r="AN21" s="65">
        <v>91.276003162584502</v>
      </c>
      <c r="AO21" s="65">
        <v>98.693546033612705</v>
      </c>
      <c r="AP21" s="66">
        <v>100.61322955355621</v>
      </c>
      <c r="AQ21" s="65">
        <v>92.339966959073479</v>
      </c>
      <c r="AR21" s="65">
        <v>94.362120396706416</v>
      </c>
      <c r="AS21" s="65">
        <v>98.892420227070474</v>
      </c>
      <c r="AT21" s="66">
        <v>101.16652193634729</v>
      </c>
      <c r="AU21" s="65">
        <v>88.705489264237912</v>
      </c>
      <c r="AV21" s="65">
        <v>90.902667991145023</v>
      </c>
      <c r="AW21" s="65">
        <v>99.666170900392359</v>
      </c>
      <c r="AX21" s="66">
        <v>98.696129337464612</v>
      </c>
      <c r="AY21" s="65">
        <v>81.128355280781776</v>
      </c>
      <c r="AZ21" s="65">
        <v>83.000943615319827</v>
      </c>
      <c r="BA21" s="65">
        <v>98.822382847397066</v>
      </c>
      <c r="BB21" s="66">
        <v>104.85237743418485</v>
      </c>
    </row>
    <row r="22" spans="1:54" s="24" customFormat="1" ht="14.25" customHeight="1" x14ac:dyDescent="0.2">
      <c r="A22" s="16"/>
      <c r="B22" s="20" t="s">
        <v>16</v>
      </c>
      <c r="C22" s="21">
        <v>94.163852277535952</v>
      </c>
      <c r="D22" s="21">
        <v>94.547793783000856</v>
      </c>
      <c r="E22" s="21">
        <v>99.952191302792102</v>
      </c>
      <c r="F22" s="22">
        <v>99.697424461215746</v>
      </c>
      <c r="G22" s="21">
        <v>93.746781688017251</v>
      </c>
      <c r="H22" s="21">
        <v>93.960880804811808</v>
      </c>
      <c r="I22" s="21">
        <v>100.44279709271598</v>
      </c>
      <c r="J22" s="22">
        <v>100.34115513421835</v>
      </c>
      <c r="K22" s="21">
        <v>81.544869167114499</v>
      </c>
      <c r="L22" s="21">
        <v>82.013191520040749</v>
      </c>
      <c r="M22" s="21">
        <v>99.296604401287397</v>
      </c>
      <c r="N22" s="22">
        <v>98.073831841787296</v>
      </c>
      <c r="O22" s="21">
        <v>112.20319140111997</v>
      </c>
      <c r="P22" s="21">
        <v>112.74857237355556</v>
      </c>
      <c r="Q22" s="21">
        <v>101.23593864417981</v>
      </c>
      <c r="R22" s="22">
        <v>100.0647176363225</v>
      </c>
      <c r="S22" s="21">
        <v>95.871659542809368</v>
      </c>
      <c r="T22" s="21">
        <v>96.308202739497361</v>
      </c>
      <c r="U22" s="21">
        <v>99.532165390686387</v>
      </c>
      <c r="V22" s="22">
        <v>99.563769935197783</v>
      </c>
      <c r="W22" s="21">
        <v>103.80664277619336</v>
      </c>
      <c r="X22" s="21">
        <v>104.30191252397873</v>
      </c>
      <c r="Y22" s="21">
        <v>99.894234881336146</v>
      </c>
      <c r="Z22" s="22">
        <v>97.948561749973308</v>
      </c>
      <c r="AA22" s="21">
        <v>96.755220838835328</v>
      </c>
      <c r="AB22" s="21">
        <v>97.155677203204831</v>
      </c>
      <c r="AC22" s="21">
        <v>99.832056639721571</v>
      </c>
      <c r="AD22" s="22">
        <v>98.343623802462403</v>
      </c>
      <c r="AE22" s="21">
        <v>99.536990424493965</v>
      </c>
      <c r="AF22" s="21">
        <v>99.964630756408752</v>
      </c>
      <c r="AG22" s="21">
        <v>100.08079075645422</v>
      </c>
      <c r="AH22" s="22">
        <v>102.86483262399537</v>
      </c>
      <c r="AI22" s="21">
        <v>97.959302764715218</v>
      </c>
      <c r="AJ22" s="21">
        <v>98.292859535008276</v>
      </c>
      <c r="AK22" s="21">
        <v>100.3969968827966</v>
      </c>
      <c r="AL22" s="22">
        <v>101.32750723624453</v>
      </c>
      <c r="AM22" s="21">
        <v>102.10356344735622</v>
      </c>
      <c r="AN22" s="21">
        <v>102.43995106427948</v>
      </c>
      <c r="AO22" s="21">
        <v>99.31592839424485</v>
      </c>
      <c r="AP22" s="22">
        <v>99.70378627074939</v>
      </c>
      <c r="AQ22" s="21">
        <v>79.554806800959028</v>
      </c>
      <c r="AR22" s="21">
        <v>79.933450882499642</v>
      </c>
      <c r="AS22" s="21">
        <v>98.322103677915891</v>
      </c>
      <c r="AT22" s="22">
        <v>101.10468590940347</v>
      </c>
      <c r="AU22" s="21">
        <v>101.55463265366829</v>
      </c>
      <c r="AV22" s="21">
        <v>102.04646779758322</v>
      </c>
      <c r="AW22" s="21">
        <v>101.0286903786846</v>
      </c>
      <c r="AX22" s="22">
        <v>100.95996437265211</v>
      </c>
      <c r="AY22" s="21">
        <v>93.760897359614688</v>
      </c>
      <c r="AZ22" s="21">
        <v>94.328658848881503</v>
      </c>
      <c r="BA22" s="21">
        <v>99.066027775521803</v>
      </c>
      <c r="BB22" s="22">
        <v>103.62767047027353</v>
      </c>
    </row>
    <row r="23" spans="1:54" s="24" customFormat="1" ht="15" customHeight="1" x14ac:dyDescent="0.2">
      <c r="A23" s="16"/>
      <c r="B23" s="64" t="s">
        <v>8</v>
      </c>
      <c r="C23" s="65">
        <v>100.64144143268645</v>
      </c>
      <c r="D23" s="65">
        <v>101.02294023084752</v>
      </c>
      <c r="E23" s="65">
        <v>100.36949016498139</v>
      </c>
      <c r="F23" s="66">
        <v>101.53608750718499</v>
      </c>
      <c r="G23" s="65">
        <v>100.73023740614275</v>
      </c>
      <c r="H23" s="65">
        <v>100.93488978180622</v>
      </c>
      <c r="I23" s="65">
        <v>102.76046742178981</v>
      </c>
      <c r="J23" s="66">
        <v>103.3763348283272</v>
      </c>
      <c r="K23" s="65">
        <v>94.384957957160609</v>
      </c>
      <c r="L23" s="65">
        <v>94.904026795215259</v>
      </c>
      <c r="M23" s="65">
        <v>99.136660985713505</v>
      </c>
      <c r="N23" s="66">
        <v>99.902052701010945</v>
      </c>
      <c r="O23" s="65">
        <v>104.97928283719664</v>
      </c>
      <c r="P23" s="65">
        <v>105.46314137527119</v>
      </c>
      <c r="Q23" s="65">
        <v>100.97098026351223</v>
      </c>
      <c r="R23" s="66">
        <v>102.59778738463994</v>
      </c>
      <c r="S23" s="65">
        <v>101.11978604714128</v>
      </c>
      <c r="T23" s="65">
        <v>101.54626646402127</v>
      </c>
      <c r="U23" s="65">
        <v>99.67774295661988</v>
      </c>
      <c r="V23" s="66">
        <v>101.36830633476252</v>
      </c>
      <c r="W23" s="65">
        <v>102.59994141771311</v>
      </c>
      <c r="X23" s="65">
        <v>103.0281556978014</v>
      </c>
      <c r="Y23" s="65">
        <v>99.989423488133639</v>
      </c>
      <c r="Z23" s="66">
        <v>100.47844610126897</v>
      </c>
      <c r="AA23" s="65">
        <v>108.47482947745041</v>
      </c>
      <c r="AB23" s="65">
        <v>108.92256769968303</v>
      </c>
      <c r="AC23" s="65">
        <v>101.05360545071076</v>
      </c>
      <c r="AD23" s="66">
        <v>102.38978320782195</v>
      </c>
      <c r="AE23" s="65">
        <v>101.88931467961137</v>
      </c>
      <c r="AF23" s="65">
        <v>102.2485028894061</v>
      </c>
      <c r="AG23" s="65">
        <v>98.927152915688737</v>
      </c>
      <c r="AH23" s="66">
        <v>101.76697880859101</v>
      </c>
      <c r="AI23" s="65">
        <v>102.30604517391764</v>
      </c>
      <c r="AJ23" s="65">
        <v>102.65748209305363</v>
      </c>
      <c r="AK23" s="65">
        <v>100.39930165424971</v>
      </c>
      <c r="AL23" s="66">
        <v>100.13415804796233</v>
      </c>
      <c r="AM23" s="65">
        <v>98.639263780916366</v>
      </c>
      <c r="AN23" s="65">
        <v>98.96531565853023</v>
      </c>
      <c r="AO23" s="65">
        <v>99.282988937832556</v>
      </c>
      <c r="AP23" s="66">
        <v>99.536827905715143</v>
      </c>
      <c r="AQ23" s="65">
        <v>83.419517457464153</v>
      </c>
      <c r="AR23" s="65">
        <v>83.801886509796702</v>
      </c>
      <c r="AS23" s="65">
        <v>93.743142412892738</v>
      </c>
      <c r="AT23" s="66">
        <v>95.89071306601177</v>
      </c>
      <c r="AU23" s="65">
        <v>99.744373153302192</v>
      </c>
      <c r="AV23" s="65">
        <v>100.19930240565789</v>
      </c>
      <c r="AW23" s="65">
        <v>100.92934000005913</v>
      </c>
      <c r="AX23" s="66">
        <v>96.976709796062437</v>
      </c>
      <c r="AY23" s="65">
        <v>123.96628144759794</v>
      </c>
      <c r="AZ23" s="65">
        <v>124.35902745580927</v>
      </c>
      <c r="BA23" s="65">
        <v>99.358401689271503</v>
      </c>
      <c r="BB23" s="66">
        <v>108.10149864511838</v>
      </c>
    </row>
    <row r="24" spans="1:54" s="24" customFormat="1" ht="15" customHeight="1" x14ac:dyDescent="0.2">
      <c r="A24" s="16"/>
      <c r="B24" s="20" t="s">
        <v>9</v>
      </c>
      <c r="C24" s="21">
        <v>106.78259220707889</v>
      </c>
      <c r="D24" s="21">
        <v>107.18790666796663</v>
      </c>
      <c r="E24" s="21">
        <v>100.14313087864195</v>
      </c>
      <c r="F24" s="22">
        <v>101.49135890485795</v>
      </c>
      <c r="G24" s="21">
        <v>105.80968295381513</v>
      </c>
      <c r="H24" s="21">
        <v>106.03160758961864</v>
      </c>
      <c r="I24" s="21">
        <v>101.37100953556002</v>
      </c>
      <c r="J24" s="22">
        <v>103.05946543842681</v>
      </c>
      <c r="K24" s="21">
        <v>104.04149314792153</v>
      </c>
      <c r="L24" s="21">
        <v>104.64085790249953</v>
      </c>
      <c r="M24" s="21">
        <v>99.132395827964842</v>
      </c>
      <c r="N24" s="22">
        <v>100.63923931000238</v>
      </c>
      <c r="O24" s="21">
        <v>101.88181339258044</v>
      </c>
      <c r="P24" s="21">
        <v>102.32316594636359</v>
      </c>
      <c r="Q24" s="21">
        <v>99.753045201608586</v>
      </c>
      <c r="R24" s="22">
        <v>99.838320545884869</v>
      </c>
      <c r="S24" s="21">
        <v>110.28301540446077</v>
      </c>
      <c r="T24" s="21">
        <v>110.74403558167367</v>
      </c>
      <c r="U24" s="21">
        <v>99.969104289005173</v>
      </c>
      <c r="V24" s="22">
        <v>102.22723969366814</v>
      </c>
      <c r="W24" s="21">
        <v>109.38293715236307</v>
      </c>
      <c r="X24" s="21">
        <v>109.81504644021021</v>
      </c>
      <c r="Y24" s="21">
        <v>101.64901615447228</v>
      </c>
      <c r="Z24" s="22">
        <v>99.458042668192377</v>
      </c>
      <c r="AA24" s="21">
        <v>116.69803193191002</v>
      </c>
      <c r="AB24" s="21">
        <v>117.22989402243861</v>
      </c>
      <c r="AC24" s="21">
        <v>101.0369836055291</v>
      </c>
      <c r="AD24" s="22">
        <v>102.98540060187678</v>
      </c>
      <c r="AE24" s="21">
        <v>102.3195368290543</v>
      </c>
      <c r="AF24" s="21">
        <v>102.57872654475877</v>
      </c>
      <c r="AG24" s="21">
        <v>98.285340314136121</v>
      </c>
      <c r="AH24" s="22">
        <v>100.43595136337034</v>
      </c>
      <c r="AI24" s="21">
        <v>112.61610249440655</v>
      </c>
      <c r="AJ24" s="21">
        <v>112.99768089961802</v>
      </c>
      <c r="AK24" s="21">
        <v>100.85679878769018</v>
      </c>
      <c r="AL24" s="22">
        <v>100.64249545334896</v>
      </c>
      <c r="AM24" s="21">
        <v>107.82213849354842</v>
      </c>
      <c r="AN24" s="21">
        <v>108.18331550827661</v>
      </c>
      <c r="AO24" s="21">
        <v>100.44973915706774</v>
      </c>
      <c r="AP24" s="22">
        <v>101.18669124849029</v>
      </c>
      <c r="AQ24" s="21">
        <v>82.611223495287817</v>
      </c>
      <c r="AR24" s="21">
        <v>82.995767595177256</v>
      </c>
      <c r="AS24" s="21">
        <v>92.931086750310513</v>
      </c>
      <c r="AT24" s="22">
        <v>96.767943051907253</v>
      </c>
      <c r="AU24" s="21">
        <v>103.3694238309381</v>
      </c>
      <c r="AV24" s="21">
        <v>103.87810790492867</v>
      </c>
      <c r="AW24" s="21">
        <v>101.04288328991682</v>
      </c>
      <c r="AX24" s="22">
        <v>100.48887895242562</v>
      </c>
      <c r="AY24" s="21">
        <v>112.29152512952814</v>
      </c>
      <c r="AZ24" s="21">
        <v>112.56902476348833</v>
      </c>
      <c r="BA24" s="21">
        <v>100.9177292292699</v>
      </c>
      <c r="BB24" s="22">
        <v>95.335371711531209</v>
      </c>
    </row>
    <row r="25" spans="1:54" s="24" customFormat="1" ht="15" customHeight="1" x14ac:dyDescent="0.2">
      <c r="A25" s="16"/>
      <c r="B25" s="64" t="s">
        <v>10</v>
      </c>
      <c r="C25" s="65">
        <v>100.24321699168659</v>
      </c>
      <c r="D25" s="65">
        <v>101.53688553303941</v>
      </c>
      <c r="E25" s="65">
        <v>99.808850874754114</v>
      </c>
      <c r="F25" s="66">
        <v>99.39407855988452</v>
      </c>
      <c r="G25" s="65">
        <v>111.90592656105053</v>
      </c>
      <c r="H25" s="65">
        <v>113.16313365160764</v>
      </c>
      <c r="I25" s="65">
        <v>101.90223401090985</v>
      </c>
      <c r="J25" s="66">
        <v>101.57619012428114</v>
      </c>
      <c r="K25" s="65">
        <v>88.811216223688987</v>
      </c>
      <c r="L25" s="65">
        <v>90.160925545541389</v>
      </c>
      <c r="M25" s="65">
        <v>98.600317398822426</v>
      </c>
      <c r="N25" s="66">
        <v>98.405632005201099</v>
      </c>
      <c r="O25" s="65">
        <v>89.442298448771382</v>
      </c>
      <c r="P25" s="65">
        <v>90.504842031464563</v>
      </c>
      <c r="Q25" s="65">
        <v>98.009851987260689</v>
      </c>
      <c r="R25" s="66">
        <v>98.37699928647416</v>
      </c>
      <c r="S25" s="65">
        <v>96.888052250694699</v>
      </c>
      <c r="T25" s="65">
        <v>98.092824965660895</v>
      </c>
      <c r="U25" s="65">
        <v>100.25139279858438</v>
      </c>
      <c r="V25" s="66">
        <v>98.141871270026215</v>
      </c>
      <c r="W25" s="65">
        <v>87.66664377541467</v>
      </c>
      <c r="X25" s="65">
        <v>88.737940309719704</v>
      </c>
      <c r="Y25" s="65">
        <v>97.891135503510952</v>
      </c>
      <c r="Z25" s="66">
        <v>99.141398098110159</v>
      </c>
      <c r="AA25" s="65">
        <v>104.3607527813266</v>
      </c>
      <c r="AB25" s="65">
        <v>105.92651317687741</v>
      </c>
      <c r="AC25" s="65">
        <v>101.25306759289028</v>
      </c>
      <c r="AD25" s="66">
        <v>99.886428599651893</v>
      </c>
      <c r="AE25" s="65">
        <v>99.253891099456283</v>
      </c>
      <c r="AF25" s="65">
        <v>100.3521572339309</v>
      </c>
      <c r="AG25" s="65">
        <v>97.509478245170612</v>
      </c>
      <c r="AH25" s="66">
        <v>97.455607284604056</v>
      </c>
      <c r="AI25" s="65">
        <v>107.78958019457751</v>
      </c>
      <c r="AJ25" s="65">
        <v>109.18662154274207</v>
      </c>
      <c r="AK25" s="65">
        <v>100.48803535519406</v>
      </c>
      <c r="AL25" s="66">
        <v>99.05786688393114</v>
      </c>
      <c r="AM25" s="65">
        <v>106.93804801393094</v>
      </c>
      <c r="AN25" s="65">
        <v>108.2180274145456</v>
      </c>
      <c r="AO25" s="65">
        <v>100.52775365909683</v>
      </c>
      <c r="AP25" s="66">
        <v>100.057246488262</v>
      </c>
      <c r="AQ25" s="65">
        <v>91.609848653674092</v>
      </c>
      <c r="AR25" s="65">
        <v>92.831179997231573</v>
      </c>
      <c r="AS25" s="65">
        <v>93.184560772156971</v>
      </c>
      <c r="AT25" s="66">
        <v>96.526204804593633</v>
      </c>
      <c r="AU25" s="65">
        <v>94.71793338617212</v>
      </c>
      <c r="AV25" s="65">
        <v>96.185882878002744</v>
      </c>
      <c r="AW25" s="65">
        <v>100.44678101816396</v>
      </c>
      <c r="AX25" s="66">
        <v>100.46883840305776</v>
      </c>
      <c r="AY25" s="65">
        <v>106.64623140066089</v>
      </c>
      <c r="AZ25" s="65">
        <v>108.02760242823592</v>
      </c>
      <c r="BA25" s="65">
        <v>101.45374807114432</v>
      </c>
      <c r="BB25" s="66">
        <v>94.034461267518736</v>
      </c>
    </row>
    <row r="26" spans="1:54" s="24" customFormat="1" ht="15" customHeight="1" x14ac:dyDescent="0.2">
      <c r="A26" s="16"/>
      <c r="B26" s="20" t="s">
        <v>11</v>
      </c>
      <c r="C26" s="21">
        <v>101.8925985914082</v>
      </c>
      <c r="D26" s="21">
        <v>102.68646328027245</v>
      </c>
      <c r="E26" s="21">
        <v>100.87592855915364</v>
      </c>
      <c r="F26" s="22">
        <v>99.701324288767935</v>
      </c>
      <c r="G26" s="21">
        <v>112.42162786219791</v>
      </c>
      <c r="H26" s="21">
        <v>113.10977517343372</v>
      </c>
      <c r="I26" s="21">
        <v>101.3793718098199</v>
      </c>
      <c r="J26" s="22">
        <v>102.65278931718606</v>
      </c>
      <c r="K26" s="21">
        <v>90.042015106569067</v>
      </c>
      <c r="L26" s="21">
        <v>90.950569082961835</v>
      </c>
      <c r="M26" s="21">
        <v>100.66985191016865</v>
      </c>
      <c r="N26" s="22">
        <v>97.72551730910817</v>
      </c>
      <c r="O26" s="21">
        <v>105.47784441136778</v>
      </c>
      <c r="P26" s="21">
        <v>106.26442479010221</v>
      </c>
      <c r="Q26" s="21">
        <v>99.631339044334936</v>
      </c>
      <c r="R26" s="22">
        <v>98.871529239638107</v>
      </c>
      <c r="S26" s="21">
        <v>93.626415412644818</v>
      </c>
      <c r="T26" s="21">
        <v>94.342778821048782</v>
      </c>
      <c r="U26" s="21">
        <v>102.71940680234893</v>
      </c>
      <c r="V26" s="22">
        <v>98.123649221206122</v>
      </c>
      <c r="W26" s="21">
        <v>101.58299970183371</v>
      </c>
      <c r="X26" s="21">
        <v>102.35996364569392</v>
      </c>
      <c r="Y26" s="21">
        <v>99.591424748118101</v>
      </c>
      <c r="Z26" s="22">
        <v>99.927219914872424</v>
      </c>
      <c r="AA26" s="21">
        <v>99.430098930803894</v>
      </c>
      <c r="AB26" s="21">
        <v>100.32094399261389</v>
      </c>
      <c r="AC26" s="21">
        <v>102.67815560242433</v>
      </c>
      <c r="AD26" s="22">
        <v>99.942631294903421</v>
      </c>
      <c r="AE26" s="21">
        <v>100.96476045798077</v>
      </c>
      <c r="AF26" s="21">
        <v>101.63724226880709</v>
      </c>
      <c r="AG26" s="21">
        <v>97.887254016970587</v>
      </c>
      <c r="AH26" s="22">
        <v>97.805502538901365</v>
      </c>
      <c r="AI26" s="21">
        <v>108.5219718767077</v>
      </c>
      <c r="AJ26" s="21">
        <v>109.32093084781656</v>
      </c>
      <c r="AK26" s="21">
        <v>100.47651149792858</v>
      </c>
      <c r="AL26" s="22">
        <v>100.33557201088792</v>
      </c>
      <c r="AM26" s="21">
        <v>109.41275539535759</v>
      </c>
      <c r="AN26" s="21">
        <v>110.16644734206309</v>
      </c>
      <c r="AO26" s="21">
        <v>101.59048454229327</v>
      </c>
      <c r="AP26" s="22">
        <v>99.036834610620787</v>
      </c>
      <c r="AQ26" s="21">
        <v>99.666011459957517</v>
      </c>
      <c r="AR26" s="21">
        <v>100.49095811041117</v>
      </c>
      <c r="AS26" s="21">
        <v>92.832513519592368</v>
      </c>
      <c r="AT26" s="22">
        <v>99.121053186426806</v>
      </c>
      <c r="AU26" s="21">
        <v>109.05103104665766</v>
      </c>
      <c r="AV26" s="21">
        <v>110.09603353893407</v>
      </c>
      <c r="AW26" s="21">
        <v>102.11444808794872</v>
      </c>
      <c r="AX26" s="22">
        <v>100.40076956275139</v>
      </c>
      <c r="AY26" s="21">
        <v>114.52273219858581</v>
      </c>
      <c r="AZ26" s="21">
        <v>115.49191342093738</v>
      </c>
      <c r="BA26" s="21">
        <v>101.01518720051979</v>
      </c>
      <c r="BB26" s="22">
        <v>95.311599882265355</v>
      </c>
    </row>
    <row r="27" spans="1:54" s="24" customFormat="1" ht="15" customHeight="1" x14ac:dyDescent="0.2">
      <c r="A27" s="16"/>
      <c r="B27" s="64" t="s">
        <v>12</v>
      </c>
      <c r="C27" s="65">
        <v>109.04565878947432</v>
      </c>
      <c r="D27" s="65">
        <v>109.29279609286323</v>
      </c>
      <c r="E27" s="65">
        <v>101.7495185967005</v>
      </c>
      <c r="F27" s="66">
        <v>100.80389611265601</v>
      </c>
      <c r="G27" s="65">
        <v>116.97719549603572</v>
      </c>
      <c r="H27" s="65">
        <v>117.08455810619614</v>
      </c>
      <c r="I27" s="65">
        <v>102.6477967791307</v>
      </c>
      <c r="J27" s="66">
        <v>102.36289812529105</v>
      </c>
      <c r="K27" s="65">
        <v>105.20204101420931</v>
      </c>
      <c r="L27" s="65">
        <v>105.66711525738228</v>
      </c>
      <c r="M27" s="65">
        <v>101.78585709233536</v>
      </c>
      <c r="N27" s="66">
        <v>99.700419519195862</v>
      </c>
      <c r="O27" s="65">
        <v>112.77503600165018</v>
      </c>
      <c r="P27" s="65">
        <v>112.9870177945826</v>
      </c>
      <c r="Q27" s="65">
        <v>100.93400255544111</v>
      </c>
      <c r="R27" s="66">
        <v>100.31651766558474</v>
      </c>
      <c r="S27" s="65">
        <v>106.93863024891638</v>
      </c>
      <c r="T27" s="65">
        <v>107.17831992041849</v>
      </c>
      <c r="U27" s="65">
        <v>102.77095693192875</v>
      </c>
      <c r="V27" s="66">
        <v>100.46520293052723</v>
      </c>
      <c r="W27" s="65">
        <v>102.2766849538724</v>
      </c>
      <c r="X27" s="65">
        <v>102.47198126543128</v>
      </c>
      <c r="Y27" s="65">
        <v>101.27033104482146</v>
      </c>
      <c r="Z27" s="66">
        <v>100.99746598229369</v>
      </c>
      <c r="AA27" s="65">
        <v>106.48740597640094</v>
      </c>
      <c r="AB27" s="65">
        <v>106.80771257815171</v>
      </c>
      <c r="AC27" s="65">
        <v>103.26023380350161</v>
      </c>
      <c r="AD27" s="66">
        <v>101.28849213458977</v>
      </c>
      <c r="AE27" s="65">
        <v>101.1061822436474</v>
      </c>
      <c r="AF27" s="65">
        <v>101.18445280565709</v>
      </c>
      <c r="AG27" s="65">
        <v>97.554161400974905</v>
      </c>
      <c r="AH27" s="66">
        <v>101.79262379588667</v>
      </c>
      <c r="AI27" s="65">
        <v>110.0819819571675</v>
      </c>
      <c r="AJ27" s="65">
        <v>110.3061761718587</v>
      </c>
      <c r="AK27" s="65">
        <v>100.84757970187781</v>
      </c>
      <c r="AL27" s="66">
        <v>98.132302177549732</v>
      </c>
      <c r="AM27" s="65">
        <v>111.8438048234508</v>
      </c>
      <c r="AN27" s="65">
        <v>112.00176563634072</v>
      </c>
      <c r="AO27" s="65">
        <v>102.3723632181849</v>
      </c>
      <c r="AP27" s="66">
        <v>99.937744692490554</v>
      </c>
      <c r="AQ27" s="65">
        <v>106.09180232823319</v>
      </c>
      <c r="AR27" s="65">
        <v>106.3644768503808</v>
      </c>
      <c r="AS27" s="65">
        <v>96.360026990289342</v>
      </c>
      <c r="AT27" s="66">
        <v>103.76634064118475</v>
      </c>
      <c r="AU27" s="65">
        <v>102.86851525196603</v>
      </c>
      <c r="AV27" s="65">
        <v>103.2612290226697</v>
      </c>
      <c r="AW27" s="65">
        <v>101.66382315632603</v>
      </c>
      <c r="AX27" s="66">
        <v>99.756522918657112</v>
      </c>
      <c r="AY27" s="65">
        <v>111.33357258983081</v>
      </c>
      <c r="AZ27" s="65">
        <v>111.62203639950611</v>
      </c>
      <c r="BA27" s="65">
        <v>103.20799155364251</v>
      </c>
      <c r="BB27" s="66">
        <v>94.026867429442504</v>
      </c>
    </row>
    <row r="28" spans="1:54" s="24" customFormat="1" ht="15" customHeight="1" x14ac:dyDescent="0.2">
      <c r="A28" s="16"/>
      <c r="B28" s="20" t="s">
        <v>13</v>
      </c>
      <c r="C28" s="21">
        <v>118.24533791030763</v>
      </c>
      <c r="D28" s="21">
        <v>113.89251711429982</v>
      </c>
      <c r="E28" s="21">
        <v>102.95938517275292</v>
      </c>
      <c r="F28" s="22">
        <v>100.95712671244614</v>
      </c>
      <c r="G28" s="21">
        <v>101.34267000067187</v>
      </c>
      <c r="H28" s="21">
        <v>97.834713577737219</v>
      </c>
      <c r="I28" s="21">
        <v>101.6896561968303</v>
      </c>
      <c r="J28" s="22">
        <v>99.29794926823358</v>
      </c>
      <c r="K28" s="21">
        <v>130.82145425755047</v>
      </c>
      <c r="L28" s="21">
        <v>125.66479591748838</v>
      </c>
      <c r="M28" s="21">
        <v>103.65439604477704</v>
      </c>
      <c r="N28" s="22">
        <v>99.11087953169158</v>
      </c>
      <c r="O28" s="21">
        <v>130.97440291872951</v>
      </c>
      <c r="P28" s="21">
        <v>126.70191651170775</v>
      </c>
      <c r="Q28" s="21">
        <v>105.45896760374265</v>
      </c>
      <c r="R28" s="22">
        <v>99.46682478160028</v>
      </c>
      <c r="S28" s="21">
        <v>128.83616693202856</v>
      </c>
      <c r="T28" s="21">
        <v>124.4671223553389</v>
      </c>
      <c r="U28" s="21">
        <v>104.55149840761651</v>
      </c>
      <c r="V28" s="22">
        <v>105.7323245121454</v>
      </c>
      <c r="W28" s="21">
        <v>123.09023782117032</v>
      </c>
      <c r="X28" s="21">
        <v>118.84289964713879</v>
      </c>
      <c r="Y28" s="21">
        <v>105.55381835070796</v>
      </c>
      <c r="Z28" s="22">
        <v>101.27085084749588</v>
      </c>
      <c r="AA28" s="21">
        <v>113.81026688844005</v>
      </c>
      <c r="AB28" s="21">
        <v>109.12641538090017</v>
      </c>
      <c r="AC28" s="21">
        <v>101.84204542781652</v>
      </c>
      <c r="AD28" s="22">
        <v>101.97006023845425</v>
      </c>
      <c r="AE28" s="21">
        <v>116.89691744580111</v>
      </c>
      <c r="AF28" s="21">
        <v>112.49456089579243</v>
      </c>
      <c r="AG28" s="21">
        <v>98.041614009749068</v>
      </c>
      <c r="AH28" s="22">
        <v>104.48103335601853</v>
      </c>
      <c r="AI28" s="21">
        <v>116.75720301391496</v>
      </c>
      <c r="AJ28" s="21">
        <v>112.40971503303791</v>
      </c>
      <c r="AK28" s="21">
        <v>102.06449902911498</v>
      </c>
      <c r="AL28" s="22">
        <v>102.04789568889447</v>
      </c>
      <c r="AM28" s="21">
        <v>121.85476973212619</v>
      </c>
      <c r="AN28" s="21">
        <v>117.8091873900221</v>
      </c>
      <c r="AO28" s="21">
        <v>104.02106969439986</v>
      </c>
      <c r="AP28" s="22">
        <v>99.821770423601492</v>
      </c>
      <c r="AQ28" s="21">
        <v>133.94331120385476</v>
      </c>
      <c r="AR28" s="21">
        <v>129.47367107145601</v>
      </c>
      <c r="AS28" s="21">
        <v>105.11661565241197</v>
      </c>
      <c r="AT28" s="22">
        <v>101.223778850416</v>
      </c>
      <c r="AU28" s="21">
        <v>116.60814325603238</v>
      </c>
      <c r="AV28" s="21">
        <v>111.9611349094408</v>
      </c>
      <c r="AW28" s="21">
        <v>103.0547284570827</v>
      </c>
      <c r="AX28" s="22">
        <v>101.31026624581321</v>
      </c>
      <c r="AY28" s="21">
        <v>124.80384525510668</v>
      </c>
      <c r="AZ28" s="21">
        <v>119.40984978917228</v>
      </c>
      <c r="BA28" s="21">
        <v>99.163485746771713</v>
      </c>
      <c r="BB28" s="22">
        <v>94.725674254540863</v>
      </c>
    </row>
    <row r="29" spans="1:54" s="24" customFormat="1" ht="15" customHeight="1" x14ac:dyDescent="0.2">
      <c r="A29" s="69" t="s">
        <v>52</v>
      </c>
      <c r="B29" s="64" t="s">
        <v>47</v>
      </c>
      <c r="C29" s="65">
        <v>112.52106327909424</v>
      </c>
      <c r="D29" s="65">
        <v>106.03926096280991</v>
      </c>
      <c r="E29" s="65">
        <v>101.69509581658649</v>
      </c>
      <c r="F29" s="66">
        <v>101.65931862410974</v>
      </c>
      <c r="G29" s="65">
        <v>76.357596170725259</v>
      </c>
      <c r="H29" s="65">
        <v>71.820932836372606</v>
      </c>
      <c r="I29" s="65">
        <v>95.491450491485296</v>
      </c>
      <c r="J29" s="66">
        <v>97.019861783559676</v>
      </c>
      <c r="K29" s="65">
        <v>140.62927201644536</v>
      </c>
      <c r="L29" s="65">
        <v>132.34119056971389</v>
      </c>
      <c r="M29" s="65">
        <v>104.69962626555225</v>
      </c>
      <c r="N29" s="66">
        <v>103.1157236965611</v>
      </c>
      <c r="O29" s="65">
        <v>128.70628456032415</v>
      </c>
      <c r="P29" s="65">
        <v>122.05545791310952</v>
      </c>
      <c r="Q29" s="65">
        <v>104.74561811732997</v>
      </c>
      <c r="R29" s="66">
        <v>105.65892360176778</v>
      </c>
      <c r="S29" s="65">
        <v>130.35710733987287</v>
      </c>
      <c r="T29" s="65">
        <v>123.25693248755307</v>
      </c>
      <c r="U29" s="65">
        <v>104.69728217406831</v>
      </c>
      <c r="V29" s="66">
        <v>103.34641352495947</v>
      </c>
      <c r="W29" s="65">
        <v>150.81877613655467</v>
      </c>
      <c r="X29" s="65">
        <v>142.74718168868986</v>
      </c>
      <c r="Y29" s="65">
        <v>107.5989938518277</v>
      </c>
      <c r="Z29" s="66">
        <v>107.30604816606022</v>
      </c>
      <c r="AA29" s="65">
        <v>108.67875091120092</v>
      </c>
      <c r="AB29" s="65">
        <v>101.9190281811193</v>
      </c>
      <c r="AC29" s="65">
        <v>102.61699975694476</v>
      </c>
      <c r="AD29" s="66">
        <v>102.11292883034453</v>
      </c>
      <c r="AE29" s="65">
        <v>121.59504929625842</v>
      </c>
      <c r="AF29" s="65">
        <v>115.01813934271009</v>
      </c>
      <c r="AG29" s="65">
        <v>96.856833363423007</v>
      </c>
      <c r="AH29" s="66">
        <v>103.66638894468272</v>
      </c>
      <c r="AI29" s="65">
        <v>91.659807563139069</v>
      </c>
      <c r="AJ29" s="65">
        <v>86.333352374486267</v>
      </c>
      <c r="AK29" s="65">
        <v>100.66435037135631</v>
      </c>
      <c r="AL29" s="66">
        <v>103.39332293709909</v>
      </c>
      <c r="AM29" s="65">
        <v>98.526447926716529</v>
      </c>
      <c r="AN29" s="65">
        <v>93.013472236294376</v>
      </c>
      <c r="AO29" s="65">
        <v>101.93374835122131</v>
      </c>
      <c r="AP29" s="66">
        <v>99.714455794472627</v>
      </c>
      <c r="AQ29" s="65">
        <v>121.89764511779779</v>
      </c>
      <c r="AR29" s="65">
        <v>115.60024267898996</v>
      </c>
      <c r="AS29" s="65">
        <v>102.34717726557072</v>
      </c>
      <c r="AT29" s="66">
        <v>102.90584758414043</v>
      </c>
      <c r="AU29" s="65">
        <v>122.92651383809627</v>
      </c>
      <c r="AV29" s="65">
        <v>115.44016909915946</v>
      </c>
      <c r="AW29" s="65">
        <v>103.54083566678591</v>
      </c>
      <c r="AX29" s="66">
        <v>102.15531323499934</v>
      </c>
      <c r="AY29" s="65">
        <v>123.15695459656261</v>
      </c>
      <c r="AZ29" s="65">
        <v>115.82776080320467</v>
      </c>
      <c r="BA29" s="65">
        <v>101.84357995614393</v>
      </c>
      <c r="BB29" s="66">
        <v>97.611361275385292</v>
      </c>
    </row>
    <row r="30" spans="1:54" s="24" customFormat="1" ht="15" customHeight="1" x14ac:dyDescent="0.2">
      <c r="A30" s="26"/>
      <c r="B30" s="28" t="s">
        <v>48</v>
      </c>
      <c r="C30" s="29">
        <v>102.0050072939126</v>
      </c>
      <c r="D30" s="29">
        <v>98.600702496895394</v>
      </c>
      <c r="E30" s="29">
        <v>99.936450165946468</v>
      </c>
      <c r="F30" s="30">
        <v>100.62024965741514</v>
      </c>
      <c r="G30" s="29">
        <v>101.69635859209001</v>
      </c>
      <c r="H30" s="29">
        <v>98.245977703259996</v>
      </c>
      <c r="I30" s="29">
        <v>98.172659691013934</v>
      </c>
      <c r="J30" s="30">
        <v>100.92728423533157</v>
      </c>
      <c r="K30" s="29">
        <v>113.17508285807448</v>
      </c>
      <c r="L30" s="29">
        <v>109.44544117246808</v>
      </c>
      <c r="M30" s="29">
        <v>102.69806770582497</v>
      </c>
      <c r="N30" s="30">
        <v>100.86967812836293</v>
      </c>
      <c r="O30" s="29">
        <v>82.069196670470618</v>
      </c>
      <c r="P30" s="29">
        <v>79.548046994556714</v>
      </c>
      <c r="Q30" s="29">
        <v>99.379483001172915</v>
      </c>
      <c r="R30" s="30">
        <v>99.772910104037422</v>
      </c>
      <c r="S30" s="29">
        <v>107.00260300509629</v>
      </c>
      <c r="T30" s="29">
        <v>103.55056554117155</v>
      </c>
      <c r="U30" s="29">
        <v>99.603510770024911</v>
      </c>
      <c r="V30" s="30">
        <v>101.42009150346544</v>
      </c>
      <c r="W30" s="29">
        <v>87.235276914748965</v>
      </c>
      <c r="X30" s="29">
        <v>84.447668440890453</v>
      </c>
      <c r="Y30" s="29">
        <v>104.4791527754147</v>
      </c>
      <c r="Z30" s="30">
        <v>100.00909309935122</v>
      </c>
      <c r="AA30" s="29">
        <v>103.24844197108463</v>
      </c>
      <c r="AB30" s="29">
        <v>99.675649112508196</v>
      </c>
      <c r="AC30" s="29">
        <v>99.544153736386974</v>
      </c>
      <c r="AD30" s="30">
        <v>100.15843727770731</v>
      </c>
      <c r="AE30" s="29">
        <v>101.84893755021953</v>
      </c>
      <c r="AF30" s="29">
        <v>98.31294624181632</v>
      </c>
      <c r="AG30" s="29">
        <v>97.246795450442335</v>
      </c>
      <c r="AH30" s="30">
        <v>99.637060528875395</v>
      </c>
      <c r="AI30" s="29">
        <v>95.309881979222951</v>
      </c>
      <c r="AJ30" s="29">
        <v>92.099124711888578</v>
      </c>
      <c r="AK30" s="29">
        <v>99.415164243775664</v>
      </c>
      <c r="AL30" s="30">
        <v>101.3775456477036</v>
      </c>
      <c r="AM30" s="29">
        <v>91.306797508622793</v>
      </c>
      <c r="AN30" s="29">
        <v>88.430850417056334</v>
      </c>
      <c r="AO30" s="29">
        <v>100.77046544318739</v>
      </c>
      <c r="AP30" s="30">
        <v>97.733321461446835</v>
      </c>
      <c r="AQ30" s="29">
        <v>93.816187732261753</v>
      </c>
      <c r="AR30" s="29">
        <v>90.853328233668222</v>
      </c>
      <c r="AS30" s="29">
        <v>97.317595517264948</v>
      </c>
      <c r="AT30" s="30">
        <v>101.7816963019508</v>
      </c>
      <c r="AU30" s="29">
        <v>89.572700126798281</v>
      </c>
      <c r="AV30" s="29">
        <v>86.549501916434082</v>
      </c>
      <c r="AW30" s="29">
        <v>99.495855965605813</v>
      </c>
      <c r="AX30" s="30">
        <v>101.39565994043598</v>
      </c>
      <c r="AY30" s="29">
        <v>83.382276357761441</v>
      </c>
      <c r="AZ30" s="29">
        <v>80.345105483788828</v>
      </c>
      <c r="BA30" s="29">
        <v>101.30756111426946</v>
      </c>
      <c r="BB30" s="30">
        <v>94.954907996075775</v>
      </c>
    </row>
    <row r="31" spans="1:54" s="24" customFormat="1" ht="15" customHeight="1" x14ac:dyDescent="0.2">
      <c r="A31" s="26"/>
      <c r="B31" s="64" t="s">
        <v>49</v>
      </c>
      <c r="C31" s="65">
        <v>54.484759017647619</v>
      </c>
      <c r="D31" s="65">
        <v>53.867309924196235</v>
      </c>
      <c r="E31" s="65">
        <v>92.26501326906093</v>
      </c>
      <c r="F31" s="66">
        <v>92.755268812824099</v>
      </c>
      <c r="G31" s="65">
        <v>57.117779088303436</v>
      </c>
      <c r="H31" s="65">
        <v>56.428587515816609</v>
      </c>
      <c r="I31" s="65">
        <v>91.461714537630371</v>
      </c>
      <c r="J31" s="66">
        <v>94.845788820164984</v>
      </c>
      <c r="K31" s="65">
        <v>54.356178655753752</v>
      </c>
      <c r="L31" s="65">
        <v>53.853615287330904</v>
      </c>
      <c r="M31" s="65">
        <v>93.938633265742439</v>
      </c>
      <c r="N31" s="66">
        <v>89.201367528177173</v>
      </c>
      <c r="O31" s="65">
        <v>39.389296238986901</v>
      </c>
      <c r="P31" s="65">
        <v>38.930278154625512</v>
      </c>
      <c r="Q31" s="65">
        <v>92.064302390303112</v>
      </c>
      <c r="R31" s="66">
        <v>91.030018188426425</v>
      </c>
      <c r="S31" s="65">
        <v>51.040289936918995</v>
      </c>
      <c r="T31" s="65">
        <v>50.452382721116962</v>
      </c>
      <c r="U31" s="65">
        <v>91.693452686775572</v>
      </c>
      <c r="V31" s="66">
        <v>92.020214720374838</v>
      </c>
      <c r="W31" s="65">
        <v>44.067502526809378</v>
      </c>
      <c r="X31" s="65">
        <v>43.534489703830104</v>
      </c>
      <c r="Y31" s="65">
        <v>90.426417367552204</v>
      </c>
      <c r="Z31" s="66">
        <v>90.161878838390891</v>
      </c>
      <c r="AA31" s="65">
        <v>54.605363706775009</v>
      </c>
      <c r="AB31" s="65">
        <v>54.055597039213097</v>
      </c>
      <c r="AC31" s="65">
        <v>92.480810393357586</v>
      </c>
      <c r="AD31" s="66">
        <v>91.404674020005999</v>
      </c>
      <c r="AE31" s="65">
        <v>65.802149777937728</v>
      </c>
      <c r="AF31" s="65">
        <v>64.820677291821781</v>
      </c>
      <c r="AG31" s="65">
        <v>90.965426972377699</v>
      </c>
      <c r="AH31" s="66">
        <v>96.224380356259545</v>
      </c>
      <c r="AI31" s="65">
        <v>53.288143393107376</v>
      </c>
      <c r="AJ31" s="65">
        <v>52.653402862086139</v>
      </c>
      <c r="AK31" s="65">
        <v>92.947975546374877</v>
      </c>
      <c r="AL31" s="66">
        <v>94.044485104560948</v>
      </c>
      <c r="AM31" s="65">
        <v>55.044375196257434</v>
      </c>
      <c r="AN31" s="65">
        <v>54.450102340856233</v>
      </c>
      <c r="AO31" s="65">
        <v>93.40416279603977</v>
      </c>
      <c r="AP31" s="66">
        <v>94.108772985586072</v>
      </c>
      <c r="AQ31" s="65">
        <v>61.869549732839481</v>
      </c>
      <c r="AR31" s="65">
        <v>61.281125352487884</v>
      </c>
      <c r="AS31" s="65">
        <v>91.255341828103127</v>
      </c>
      <c r="AT31" s="66">
        <v>95.817665652964081</v>
      </c>
      <c r="AU31" s="65">
        <v>52.658814878031833</v>
      </c>
      <c r="AV31" s="65">
        <v>52.20924764026401</v>
      </c>
      <c r="AW31" s="65">
        <v>93.907397167922824</v>
      </c>
      <c r="AX31" s="66">
        <v>96.155847704533997</v>
      </c>
      <c r="AY31" s="65">
        <v>37.53838441225065</v>
      </c>
      <c r="AZ31" s="65">
        <v>37.111135652955724</v>
      </c>
      <c r="BA31" s="65">
        <v>94.777877040526278</v>
      </c>
      <c r="BB31" s="66">
        <v>96.461863778488834</v>
      </c>
    </row>
    <row r="32" spans="1:54" s="24" customFormat="1" ht="15" customHeight="1" x14ac:dyDescent="0.2">
      <c r="A32" s="26"/>
      <c r="B32" s="28" t="s">
        <v>14</v>
      </c>
      <c r="C32" s="29">
        <v>4.2710604814014212</v>
      </c>
      <c r="D32" s="29">
        <v>4.5812804912407668</v>
      </c>
      <c r="E32" s="29">
        <v>75.075184811159332</v>
      </c>
      <c r="F32" s="30">
        <v>64.173227141315081</v>
      </c>
      <c r="G32" s="29">
        <v>9.8657019992094028</v>
      </c>
      <c r="H32" s="29">
        <v>10.391683155579639</v>
      </c>
      <c r="I32" s="29">
        <v>74.673348661724347</v>
      </c>
      <c r="J32" s="30">
        <v>62.358213254464857</v>
      </c>
      <c r="K32" s="29">
        <v>0.89191535174399494</v>
      </c>
      <c r="L32" s="29">
        <v>0.9812764516054735</v>
      </c>
      <c r="M32" s="29">
        <v>74.406343355861679</v>
      </c>
      <c r="N32" s="30">
        <v>69.06185593935335</v>
      </c>
      <c r="O32" s="29">
        <v>2.1962180117070131</v>
      </c>
      <c r="P32" s="29">
        <v>2.337467756026864</v>
      </c>
      <c r="Q32" s="29">
        <v>77.824973152339922</v>
      </c>
      <c r="R32" s="30">
        <v>58.529829097597577</v>
      </c>
      <c r="S32" s="29">
        <v>2.9620054785227201</v>
      </c>
      <c r="T32" s="29">
        <v>3.2680127826077743</v>
      </c>
      <c r="U32" s="29">
        <v>74.585201882335809</v>
      </c>
      <c r="V32" s="30">
        <v>59.322481504929058</v>
      </c>
      <c r="W32" s="29">
        <v>1.9677848035600016</v>
      </c>
      <c r="X32" s="29">
        <v>2.1892338755791321</v>
      </c>
      <c r="Y32" s="29">
        <v>69.320068241493999</v>
      </c>
      <c r="Z32" s="30">
        <v>62.135388458138451</v>
      </c>
      <c r="AA32" s="29">
        <v>4.1736396719996733</v>
      </c>
      <c r="AB32" s="29">
        <v>4.6546232392832794</v>
      </c>
      <c r="AC32" s="29">
        <v>72.098351144319977</v>
      </c>
      <c r="AD32" s="30">
        <v>61.220748195722983</v>
      </c>
      <c r="AE32" s="29">
        <v>0</v>
      </c>
      <c r="AF32" s="29">
        <v>0</v>
      </c>
      <c r="AG32" s="29">
        <v>81.357194439429492</v>
      </c>
      <c r="AH32" s="30">
        <v>86.395159107108995</v>
      </c>
      <c r="AI32" s="29">
        <v>3.7710985364725671</v>
      </c>
      <c r="AJ32" s="29">
        <v>4.1282924321865169</v>
      </c>
      <c r="AK32" s="29">
        <v>78.227400275420194</v>
      </c>
      <c r="AL32" s="30">
        <v>54.457329749931006</v>
      </c>
      <c r="AM32" s="29">
        <v>6.7747416495839943</v>
      </c>
      <c r="AN32" s="29">
        <v>7.3058988838923593</v>
      </c>
      <c r="AO32" s="29">
        <v>74.919926781945151</v>
      </c>
      <c r="AP32" s="30">
        <v>58.870347245384067</v>
      </c>
      <c r="AQ32" s="29">
        <v>5.2854114596406889</v>
      </c>
      <c r="AR32" s="29">
        <v>5.8191414647813255</v>
      </c>
      <c r="AS32" s="29">
        <v>72.089889398488111</v>
      </c>
      <c r="AT32" s="30">
        <v>56.732727311385581</v>
      </c>
      <c r="AU32" s="29">
        <v>1.2358944042865632</v>
      </c>
      <c r="AV32" s="29">
        <v>1.3970096058497641</v>
      </c>
      <c r="AW32" s="29">
        <v>84.53652752685565</v>
      </c>
      <c r="AX32" s="30">
        <v>65.234254835157543</v>
      </c>
      <c r="AY32" s="29">
        <v>3.2888164365087071</v>
      </c>
      <c r="AZ32" s="29">
        <v>3.5156665261742401</v>
      </c>
      <c r="BA32" s="29">
        <v>75.627385689921226</v>
      </c>
      <c r="BB32" s="30">
        <v>69.223205973263362</v>
      </c>
    </row>
    <row r="33" spans="1:54" s="24" customFormat="1" ht="15" customHeight="1" x14ac:dyDescent="0.2">
      <c r="A33" s="26"/>
      <c r="B33" s="64" t="s">
        <v>15</v>
      </c>
      <c r="C33" s="65">
        <v>4.5976464602564082</v>
      </c>
      <c r="D33" s="65">
        <v>5.0217102537716336</v>
      </c>
      <c r="E33" s="65">
        <v>68.337041495316768</v>
      </c>
      <c r="F33" s="66">
        <v>62.889400653394581</v>
      </c>
      <c r="G33" s="65">
        <v>9.1227953637492458</v>
      </c>
      <c r="H33" s="65">
        <v>9.7902346681540262</v>
      </c>
      <c r="I33" s="65">
        <v>66.983577300239759</v>
      </c>
      <c r="J33" s="66">
        <v>58.042774330194192</v>
      </c>
      <c r="K33" s="65">
        <v>1.1250082816884643</v>
      </c>
      <c r="L33" s="65">
        <v>1.2594955079009196</v>
      </c>
      <c r="M33" s="65">
        <v>67.630207268895106</v>
      </c>
      <c r="N33" s="66">
        <v>59.276122950905453</v>
      </c>
      <c r="O33" s="65">
        <v>4.8627344181001568</v>
      </c>
      <c r="P33" s="65">
        <v>5.2828164232405754</v>
      </c>
      <c r="Q33" s="65">
        <v>73.192568936493004</v>
      </c>
      <c r="R33" s="66">
        <v>67.066115393148422</v>
      </c>
      <c r="S33" s="65">
        <v>3.1789424330934186</v>
      </c>
      <c r="T33" s="65">
        <v>3.568863806982784</v>
      </c>
      <c r="U33" s="65">
        <v>67.389422394544766</v>
      </c>
      <c r="V33" s="66">
        <v>66.146767985067328</v>
      </c>
      <c r="W33" s="65">
        <v>3.0468704165118878</v>
      </c>
      <c r="X33" s="65">
        <v>3.3745535647642564</v>
      </c>
      <c r="Y33" s="65">
        <v>61.729811508164644</v>
      </c>
      <c r="Z33" s="66">
        <v>67.69743399218946</v>
      </c>
      <c r="AA33" s="65">
        <v>5.1048182936021176</v>
      </c>
      <c r="AB33" s="65">
        <v>5.760135111888987</v>
      </c>
      <c r="AC33" s="65">
        <v>63.081156943148585</v>
      </c>
      <c r="AD33" s="66">
        <v>64.560209302227747</v>
      </c>
      <c r="AE33" s="65">
        <v>0</v>
      </c>
      <c r="AF33" s="65">
        <v>0</v>
      </c>
      <c r="AG33" s="65">
        <v>79.527893121502089</v>
      </c>
      <c r="AH33" s="66">
        <v>85.95351136398483</v>
      </c>
      <c r="AI33" s="65">
        <v>5.7886631283607475</v>
      </c>
      <c r="AJ33" s="65">
        <v>6.3981621270626414</v>
      </c>
      <c r="AK33" s="65">
        <v>74.12605947462734</v>
      </c>
      <c r="AL33" s="66">
        <v>53.586996594661393</v>
      </c>
      <c r="AM33" s="65">
        <v>7.0126590307137748</v>
      </c>
      <c r="AN33" s="65">
        <v>7.5736240469854943</v>
      </c>
      <c r="AO33" s="65">
        <v>65.802631978144376</v>
      </c>
      <c r="AP33" s="66">
        <v>52.566853361545519</v>
      </c>
      <c r="AQ33" s="65">
        <v>6.5353746419285725</v>
      </c>
      <c r="AR33" s="65">
        <v>7.3631066795993112</v>
      </c>
      <c r="AS33" s="65">
        <v>67.412354902746912</v>
      </c>
      <c r="AT33" s="66">
        <v>65.56294719277254</v>
      </c>
      <c r="AU33" s="65">
        <v>1.5347205637304016</v>
      </c>
      <c r="AV33" s="65">
        <v>1.7211180665156229</v>
      </c>
      <c r="AW33" s="65">
        <v>76.584949009009534</v>
      </c>
      <c r="AX33" s="66">
        <v>51.681263761473794</v>
      </c>
      <c r="AY33" s="65">
        <v>3.7715965489718046</v>
      </c>
      <c r="AZ33" s="65">
        <v>4.0158376194314132</v>
      </c>
      <c r="BA33" s="65">
        <v>68.123121903679049</v>
      </c>
      <c r="BB33" s="66">
        <v>51.005913793683533</v>
      </c>
    </row>
    <row r="34" spans="1:54" s="24" customFormat="1" ht="15" customHeight="1" x14ac:dyDescent="0.2">
      <c r="A34" s="26"/>
      <c r="B34" s="28" t="s">
        <v>16</v>
      </c>
      <c r="C34" s="29">
        <v>6.1447988505023625</v>
      </c>
      <c r="D34" s="29">
        <v>6.7165709085013265</v>
      </c>
      <c r="E34" s="29">
        <v>62.162786072776321</v>
      </c>
      <c r="F34" s="30">
        <v>64.921791075522137</v>
      </c>
      <c r="G34" s="29">
        <v>11.669866747426198</v>
      </c>
      <c r="H34" s="29">
        <v>12.510505567399195</v>
      </c>
      <c r="I34" s="29">
        <v>58.504231200745551</v>
      </c>
      <c r="J34" s="30">
        <v>60.07983625685678</v>
      </c>
      <c r="K34" s="29">
        <v>1.3150057943758189</v>
      </c>
      <c r="L34" s="29">
        <v>1.4603021304430566</v>
      </c>
      <c r="M34" s="29">
        <v>60.930444162865051</v>
      </c>
      <c r="N34" s="30">
        <v>63.451807815663187</v>
      </c>
      <c r="O34" s="29">
        <v>3.7194933550979434</v>
      </c>
      <c r="P34" s="29">
        <v>4.0774249809520571</v>
      </c>
      <c r="Q34" s="29">
        <v>68.588407537046876</v>
      </c>
      <c r="R34" s="30">
        <v>70.006144634870893</v>
      </c>
      <c r="S34" s="29">
        <v>5.1771342234632938</v>
      </c>
      <c r="T34" s="29">
        <v>5.7512470152404154</v>
      </c>
      <c r="U34" s="29">
        <v>61.1219576402275</v>
      </c>
      <c r="V34" s="30">
        <v>68.346946964939988</v>
      </c>
      <c r="W34" s="29">
        <v>2.824147532489734</v>
      </c>
      <c r="X34" s="29">
        <v>3.0874705392892912</v>
      </c>
      <c r="Y34" s="29">
        <v>54.132657049705045</v>
      </c>
      <c r="Z34" s="30">
        <v>73.069641299680896</v>
      </c>
      <c r="AA34" s="29">
        <v>7.8614213158885127</v>
      </c>
      <c r="AB34" s="29">
        <v>8.7911584961257443</v>
      </c>
      <c r="AC34" s="29">
        <v>58.234477783963079</v>
      </c>
      <c r="AD34" s="30">
        <v>68.176154589070691</v>
      </c>
      <c r="AE34" s="29">
        <v>0</v>
      </c>
      <c r="AF34" s="29">
        <v>0</v>
      </c>
      <c r="AG34" s="29">
        <v>73.446921827044605</v>
      </c>
      <c r="AH34" s="30">
        <v>74.794324754785919</v>
      </c>
      <c r="AI34" s="29">
        <v>7.5091479748305598</v>
      </c>
      <c r="AJ34" s="29">
        <v>8.3665931854714941</v>
      </c>
      <c r="AK34" s="29">
        <v>70.141109632216086</v>
      </c>
      <c r="AL34" s="30">
        <v>58.532484062989333</v>
      </c>
      <c r="AM34" s="29">
        <v>11.379667415889283</v>
      </c>
      <c r="AN34" s="29">
        <v>12.598890474099708</v>
      </c>
      <c r="AO34" s="29">
        <v>58.477937065412263</v>
      </c>
      <c r="AP34" s="30">
        <v>58.519990408892575</v>
      </c>
      <c r="AQ34" s="29">
        <v>13.324386451495783</v>
      </c>
      <c r="AR34" s="29">
        <v>14.86314035260482</v>
      </c>
      <c r="AS34" s="29">
        <v>68.149307151448738</v>
      </c>
      <c r="AT34" s="30">
        <v>68.190089109172973</v>
      </c>
      <c r="AU34" s="29">
        <v>5.793668403199554</v>
      </c>
      <c r="AV34" s="29">
        <v>6.5362983630698768</v>
      </c>
      <c r="AW34" s="29">
        <v>74.434722957329598</v>
      </c>
      <c r="AX34" s="30">
        <v>54.839537672844529</v>
      </c>
      <c r="AY34" s="29">
        <v>6.3905582254498992</v>
      </c>
      <c r="AZ34" s="29">
        <v>7.0532744924012416</v>
      </c>
      <c r="BA34" s="29">
        <v>67.294729148054927</v>
      </c>
      <c r="BB34" s="30">
        <v>54.537047373060766</v>
      </c>
    </row>
    <row r="35" spans="1:54" s="24" customFormat="1" ht="15" customHeight="1" x14ac:dyDescent="0.2">
      <c r="A35" s="26"/>
      <c r="B35" s="64" t="s">
        <v>8</v>
      </c>
      <c r="C35" s="65">
        <v>7.4667442055176005</v>
      </c>
      <c r="D35" s="65">
        <v>8.2501914342266343</v>
      </c>
      <c r="E35" s="65">
        <v>57.4836248923027</v>
      </c>
      <c r="F35" s="66">
        <v>64.435128679611338</v>
      </c>
      <c r="G35" s="65">
        <v>10.676946469590556</v>
      </c>
      <c r="H35" s="65">
        <v>11.466340576215261</v>
      </c>
      <c r="I35" s="65">
        <v>52.751866749360246</v>
      </c>
      <c r="J35" s="66">
        <v>59.289392165156315</v>
      </c>
      <c r="K35" s="65">
        <v>1.3539484549118594</v>
      </c>
      <c r="L35" s="65">
        <v>1.5102650338987853</v>
      </c>
      <c r="M35" s="65">
        <v>58.252991386158506</v>
      </c>
      <c r="N35" s="66">
        <v>62.185659576252839</v>
      </c>
      <c r="O35" s="65">
        <v>5.9874734154069662</v>
      </c>
      <c r="P35" s="65">
        <v>6.6868481329058262</v>
      </c>
      <c r="Q35" s="65">
        <v>67.005062840266518</v>
      </c>
      <c r="R35" s="66">
        <v>70.454322021713111</v>
      </c>
      <c r="S35" s="65">
        <v>6.9816949244846578</v>
      </c>
      <c r="T35" s="65">
        <v>7.879673233028063</v>
      </c>
      <c r="U35" s="65">
        <v>57.092593311748708</v>
      </c>
      <c r="V35" s="66">
        <v>65.376438596496854</v>
      </c>
      <c r="W35" s="65">
        <v>7.0853700328428317</v>
      </c>
      <c r="X35" s="65">
        <v>7.7690878585786178</v>
      </c>
      <c r="Y35" s="65">
        <v>51.131456845532377</v>
      </c>
      <c r="Z35" s="66">
        <v>72.748142825483669</v>
      </c>
      <c r="AA35" s="65">
        <v>12.916087800824904</v>
      </c>
      <c r="AB35" s="65">
        <v>14.65568844764309</v>
      </c>
      <c r="AC35" s="65">
        <v>53.075747002971575</v>
      </c>
      <c r="AD35" s="66">
        <v>75.464098148287121</v>
      </c>
      <c r="AE35" s="65">
        <v>0</v>
      </c>
      <c r="AF35" s="65">
        <v>0</v>
      </c>
      <c r="AG35" s="65">
        <v>61.964704820364702</v>
      </c>
      <c r="AH35" s="66">
        <v>63.101189497015028</v>
      </c>
      <c r="AI35" s="65">
        <v>11.327187008776615</v>
      </c>
      <c r="AJ35" s="65">
        <v>12.639601074324053</v>
      </c>
      <c r="AK35" s="65">
        <v>63.945883966281158</v>
      </c>
      <c r="AL35" s="66">
        <v>61.044820145288817</v>
      </c>
      <c r="AM35" s="65">
        <v>15.320753690768422</v>
      </c>
      <c r="AN35" s="65">
        <v>17.014181736018855</v>
      </c>
      <c r="AO35" s="65">
        <v>55.945066232867504</v>
      </c>
      <c r="AP35" s="66">
        <v>63.421065779197342</v>
      </c>
      <c r="AQ35" s="65">
        <v>20.345311707211785</v>
      </c>
      <c r="AR35" s="65">
        <v>22.779411588261294</v>
      </c>
      <c r="AS35" s="65">
        <v>62.213790473210153</v>
      </c>
      <c r="AT35" s="66">
        <v>76.456223430321288</v>
      </c>
      <c r="AU35" s="65">
        <v>10.19144071427057</v>
      </c>
      <c r="AV35" s="65">
        <v>11.603607907266325</v>
      </c>
      <c r="AW35" s="65">
        <v>66.206382670455383</v>
      </c>
      <c r="AX35" s="66">
        <v>57.566590438467081</v>
      </c>
      <c r="AY35" s="65">
        <v>10.350550824313967</v>
      </c>
      <c r="AZ35" s="65">
        <v>11.349922819042026</v>
      </c>
      <c r="BA35" s="65">
        <v>63.396410298058981</v>
      </c>
      <c r="BB35" s="66">
        <v>59.826283463526138</v>
      </c>
    </row>
    <row r="36" spans="1:54" s="24" customFormat="1" ht="15" customHeight="1" x14ac:dyDescent="0.2">
      <c r="A36" s="26"/>
      <c r="B36" s="28" t="s">
        <v>9</v>
      </c>
      <c r="C36" s="29">
        <v>8.391847419917676</v>
      </c>
      <c r="D36" s="29">
        <v>9.1522972811634578</v>
      </c>
      <c r="E36" s="29">
        <v>55.041761433982415</v>
      </c>
      <c r="F36" s="30">
        <v>64.412713986180094</v>
      </c>
      <c r="G36" s="29">
        <v>11.884560169688282</v>
      </c>
      <c r="H36" s="29">
        <v>12.536616498790803</v>
      </c>
      <c r="I36" s="29">
        <v>50.594399990317349</v>
      </c>
      <c r="J36" s="30">
        <v>59.422002818601371</v>
      </c>
      <c r="K36" s="29">
        <v>1.2891724274635181</v>
      </c>
      <c r="L36" s="29">
        <v>1.4140037439838409</v>
      </c>
      <c r="M36" s="29">
        <v>56.584781561723055</v>
      </c>
      <c r="N36" s="30">
        <v>57.182612148924314</v>
      </c>
      <c r="O36" s="29">
        <v>8.6608655572231896</v>
      </c>
      <c r="P36" s="29">
        <v>9.6380565186910392</v>
      </c>
      <c r="Q36" s="29">
        <v>64.866761359362684</v>
      </c>
      <c r="R36" s="30">
        <v>72.312002682339056</v>
      </c>
      <c r="S36" s="29">
        <v>7.1727870733446677</v>
      </c>
      <c r="T36" s="29">
        <v>8.0268199265184954</v>
      </c>
      <c r="U36" s="29">
        <v>52.941983078498112</v>
      </c>
      <c r="V36" s="30">
        <v>66.977748713208285</v>
      </c>
      <c r="W36" s="29">
        <v>14.046452502143984</v>
      </c>
      <c r="X36" s="29">
        <v>15.28827096750994</v>
      </c>
      <c r="Y36" s="29">
        <v>50.009196966840349</v>
      </c>
      <c r="Z36" s="30">
        <v>79.800747713903391</v>
      </c>
      <c r="AA36" s="29">
        <v>12.037941505033741</v>
      </c>
      <c r="AB36" s="29">
        <v>13.45571491910477</v>
      </c>
      <c r="AC36" s="29">
        <v>51.355229216813171</v>
      </c>
      <c r="AD36" s="30">
        <v>70.926135600677611</v>
      </c>
      <c r="AE36" s="29">
        <v>7.4563762206001777E-3</v>
      </c>
      <c r="AF36" s="29">
        <v>7.4863735686245122E-3</v>
      </c>
      <c r="AG36" s="29">
        <v>61.34861888427514</v>
      </c>
      <c r="AH36" s="30">
        <v>61.075188860096219</v>
      </c>
      <c r="AI36" s="29">
        <v>13.71667690240872</v>
      </c>
      <c r="AJ36" s="29">
        <v>15.224764165879442</v>
      </c>
      <c r="AK36" s="29">
        <v>57.864744487274791</v>
      </c>
      <c r="AL36" s="30">
        <v>69.94829747338153</v>
      </c>
      <c r="AM36" s="29">
        <v>18.32526138701644</v>
      </c>
      <c r="AN36" s="29">
        <v>20.2087464960379</v>
      </c>
      <c r="AO36" s="29">
        <v>54.010306582545844</v>
      </c>
      <c r="AP36" s="30">
        <v>66.069080755909766</v>
      </c>
      <c r="AQ36" s="29">
        <v>21.043821287062109</v>
      </c>
      <c r="AR36" s="29">
        <v>23.408694988858826</v>
      </c>
      <c r="AS36" s="29">
        <v>59.545272298770747</v>
      </c>
      <c r="AT36" s="30">
        <v>81.117407566259374</v>
      </c>
      <c r="AU36" s="29">
        <v>11.805381431737892</v>
      </c>
      <c r="AV36" s="29">
        <v>13.302671611494812</v>
      </c>
      <c r="AW36" s="29">
        <v>63.797135988787602</v>
      </c>
      <c r="AX36" s="30">
        <v>66.270560042387388</v>
      </c>
      <c r="AY36" s="29">
        <v>10.89566135614387</v>
      </c>
      <c r="AZ36" s="29">
        <v>12.239533597212638</v>
      </c>
      <c r="BA36" s="29">
        <v>58.669698692438907</v>
      </c>
      <c r="BB36" s="30">
        <v>54.752606096114086</v>
      </c>
    </row>
    <row r="37" spans="1:54" s="24" customFormat="1" ht="15" customHeight="1" x14ac:dyDescent="0.2">
      <c r="A37" s="26"/>
      <c r="B37" s="64" t="s">
        <v>10</v>
      </c>
      <c r="C37" s="65">
        <v>15.985644849318811</v>
      </c>
      <c r="D37" s="65">
        <v>17.111963177232678</v>
      </c>
      <c r="E37" s="65">
        <v>55.24260292976566</v>
      </c>
      <c r="F37" s="66">
        <v>69.72439334204411</v>
      </c>
      <c r="G37" s="65">
        <v>15.92682130444261</v>
      </c>
      <c r="H37" s="65">
        <v>16.650051958546012</v>
      </c>
      <c r="I37" s="65">
        <v>48.321181750730133</v>
      </c>
      <c r="J37" s="66">
        <v>63.370904615319212</v>
      </c>
      <c r="K37" s="65">
        <v>5.8288399647887035</v>
      </c>
      <c r="L37" s="65">
        <v>6.2966321110380754</v>
      </c>
      <c r="M37" s="65">
        <v>56.329938386242027</v>
      </c>
      <c r="N37" s="66">
        <v>60.683076667660366</v>
      </c>
      <c r="O37" s="65">
        <v>21.015937712161755</v>
      </c>
      <c r="P37" s="65">
        <v>22.714166615798465</v>
      </c>
      <c r="Q37" s="65">
        <v>64.089356000700761</v>
      </c>
      <c r="R37" s="66">
        <v>77.954783702939451</v>
      </c>
      <c r="S37" s="65">
        <v>17.794587427340808</v>
      </c>
      <c r="T37" s="65">
        <v>19.165033652059186</v>
      </c>
      <c r="U37" s="65">
        <v>55.367725976007186</v>
      </c>
      <c r="V37" s="66">
        <v>79.262386921500124</v>
      </c>
      <c r="W37" s="65">
        <v>32.542361014666952</v>
      </c>
      <c r="X37" s="65">
        <v>34.840548424965455</v>
      </c>
      <c r="Y37" s="65">
        <v>55.935032626239888</v>
      </c>
      <c r="Z37" s="66">
        <v>87.124592945043275</v>
      </c>
      <c r="AA37" s="65">
        <v>23.232232440181566</v>
      </c>
      <c r="AB37" s="65">
        <v>25.099983879709502</v>
      </c>
      <c r="AC37" s="65">
        <v>53.352359596371443</v>
      </c>
      <c r="AD37" s="66">
        <v>77.422427903221859</v>
      </c>
      <c r="AE37" s="65">
        <v>2.021743152385591E-3</v>
      </c>
      <c r="AF37" s="65">
        <v>2.242332089468827E-3</v>
      </c>
      <c r="AG37" s="65">
        <v>60.900433291207811</v>
      </c>
      <c r="AH37" s="66">
        <v>60.705947202214936</v>
      </c>
      <c r="AI37" s="65">
        <v>27.090267106607392</v>
      </c>
      <c r="AJ37" s="65">
        <v>29.145304055772137</v>
      </c>
      <c r="AK37" s="65">
        <v>55.807735965382335</v>
      </c>
      <c r="AL37" s="66">
        <v>74.470338585805763</v>
      </c>
      <c r="AM37" s="65">
        <v>34.652492463191521</v>
      </c>
      <c r="AN37" s="65">
        <v>37.279612766211834</v>
      </c>
      <c r="AO37" s="65">
        <v>55.650344780757564</v>
      </c>
      <c r="AP37" s="66">
        <v>72.262940372713658</v>
      </c>
      <c r="AQ37" s="65">
        <v>43.19080135817449</v>
      </c>
      <c r="AR37" s="65">
        <v>46.978518954617627</v>
      </c>
      <c r="AS37" s="65">
        <v>60.878357895148547</v>
      </c>
      <c r="AT37" s="66">
        <v>87.628841679236075</v>
      </c>
      <c r="AU37" s="65">
        <v>25.914119142525038</v>
      </c>
      <c r="AV37" s="65">
        <v>28.674014595042269</v>
      </c>
      <c r="AW37" s="65">
        <v>61.597234747794914</v>
      </c>
      <c r="AX37" s="66">
        <v>75.517200719965757</v>
      </c>
      <c r="AY37" s="65">
        <v>13.609789658301283</v>
      </c>
      <c r="AZ37" s="65">
        <v>14.741564352746586</v>
      </c>
      <c r="BA37" s="65">
        <v>59.887923333062645</v>
      </c>
      <c r="BB37" s="66">
        <v>61.042646761944873</v>
      </c>
    </row>
    <row r="38" spans="1:54" s="24" customFormat="1" ht="15" customHeight="1" x14ac:dyDescent="0.2">
      <c r="A38" s="26"/>
      <c r="B38" s="28" t="s">
        <v>11</v>
      </c>
      <c r="C38" s="29">
        <v>34.237631381880632</v>
      </c>
      <c r="D38" s="29">
        <v>36.404893058280926</v>
      </c>
      <c r="E38" s="29">
        <v>58.96169789620599</v>
      </c>
      <c r="F38" s="30">
        <v>79.197501009259796</v>
      </c>
      <c r="G38" s="29">
        <v>23.609728776498855</v>
      </c>
      <c r="H38" s="29">
        <v>24.852857846470695</v>
      </c>
      <c r="I38" s="29">
        <v>47.267535193988245</v>
      </c>
      <c r="J38" s="30">
        <v>70.301499377943074</v>
      </c>
      <c r="K38" s="29">
        <v>28.433021092738564</v>
      </c>
      <c r="L38" s="29">
        <v>30.291318544702584</v>
      </c>
      <c r="M38" s="29">
        <v>59.805242234302902</v>
      </c>
      <c r="N38" s="30">
        <v>72.253240881602622</v>
      </c>
      <c r="O38" s="29">
        <v>55.87115245499875</v>
      </c>
      <c r="P38" s="29">
        <v>59.646948742491567</v>
      </c>
      <c r="Q38" s="29">
        <v>70.761939747687848</v>
      </c>
      <c r="R38" s="30">
        <v>86.435164667859397</v>
      </c>
      <c r="S38" s="29">
        <v>47.031454771880874</v>
      </c>
      <c r="T38" s="29">
        <v>49.879707803401416</v>
      </c>
      <c r="U38" s="29">
        <v>63.594301854876754</v>
      </c>
      <c r="V38" s="30">
        <v>90.919240780993505</v>
      </c>
      <c r="W38" s="29">
        <v>66.089920964466685</v>
      </c>
      <c r="X38" s="29">
        <v>70.08358026340926</v>
      </c>
      <c r="Y38" s="29">
        <v>63.999163076017574</v>
      </c>
      <c r="Z38" s="30">
        <v>95.237449094180491</v>
      </c>
      <c r="AA38" s="29">
        <v>38.01772936382725</v>
      </c>
      <c r="AB38" s="29">
        <v>40.810431941616187</v>
      </c>
      <c r="AC38" s="29">
        <v>56.720635393553579</v>
      </c>
      <c r="AD38" s="30">
        <v>82.124387714773263</v>
      </c>
      <c r="AE38" s="29">
        <v>12.549245965184575</v>
      </c>
      <c r="AF38" s="29">
        <v>13.042935450230953</v>
      </c>
      <c r="AG38" s="29">
        <v>67.938707347896738</v>
      </c>
      <c r="AH38" s="30">
        <v>79.006763369783485</v>
      </c>
      <c r="AI38" s="29">
        <v>41.587472824729687</v>
      </c>
      <c r="AJ38" s="29">
        <v>44.551678335989997</v>
      </c>
      <c r="AK38" s="29">
        <v>57.048855392877087</v>
      </c>
      <c r="AL38" s="30">
        <v>81.226426832168883</v>
      </c>
      <c r="AM38" s="29">
        <v>53.3769609272804</v>
      </c>
      <c r="AN38" s="29">
        <v>57.03987337366646</v>
      </c>
      <c r="AO38" s="29">
        <v>55.860117108435801</v>
      </c>
      <c r="AP38" s="30">
        <v>83.703390442830596</v>
      </c>
      <c r="AQ38" s="29">
        <v>80.847072226598385</v>
      </c>
      <c r="AR38" s="29">
        <v>86.702544204247971</v>
      </c>
      <c r="AS38" s="29">
        <v>68.628091414936549</v>
      </c>
      <c r="AT38" s="30">
        <v>97.327383913831071</v>
      </c>
      <c r="AU38" s="29">
        <v>48.555804851305339</v>
      </c>
      <c r="AV38" s="29">
        <v>52.745835272054165</v>
      </c>
      <c r="AW38" s="29">
        <v>65.997037229780261</v>
      </c>
      <c r="AX38" s="30">
        <v>86.702130591673935</v>
      </c>
      <c r="AY38" s="29">
        <v>15.928658300999688</v>
      </c>
      <c r="AZ38" s="29">
        <v>17.064987525063266</v>
      </c>
      <c r="BA38" s="29">
        <v>64.517176967432803</v>
      </c>
      <c r="BB38" s="30">
        <v>59.154322803214818</v>
      </c>
    </row>
    <row r="39" spans="1:54" s="24" customFormat="1" ht="15" customHeight="1" x14ac:dyDescent="0.2">
      <c r="A39" s="26"/>
      <c r="B39" s="64" t="s">
        <v>12</v>
      </c>
      <c r="C39" s="65">
        <v>42.66720671838123</v>
      </c>
      <c r="D39" s="65">
        <v>45.406778240499904</v>
      </c>
      <c r="E39" s="65">
        <v>60.807630699081571</v>
      </c>
      <c r="F39" s="66">
        <v>85.787264137658127</v>
      </c>
      <c r="G39" s="65">
        <v>34.224289078603192</v>
      </c>
      <c r="H39" s="65">
        <v>36.029210428197423</v>
      </c>
      <c r="I39" s="65">
        <v>47.119654975498158</v>
      </c>
      <c r="J39" s="66">
        <v>80.575791022336006</v>
      </c>
      <c r="K39" s="65">
        <v>34.178068933477014</v>
      </c>
      <c r="L39" s="65">
        <v>36.508932697205744</v>
      </c>
      <c r="M39" s="65">
        <v>60.910184663559029</v>
      </c>
      <c r="N39" s="66">
        <v>81.280159597607664</v>
      </c>
      <c r="O39" s="65">
        <v>62.257958911950617</v>
      </c>
      <c r="P39" s="65">
        <v>66.195449469898549</v>
      </c>
      <c r="Q39" s="65">
        <v>73.5547757777572</v>
      </c>
      <c r="R39" s="66">
        <v>95.404346094819672</v>
      </c>
      <c r="S39" s="65">
        <v>56.201685925148837</v>
      </c>
      <c r="T39" s="65">
        <v>59.788648919283474</v>
      </c>
      <c r="U39" s="65">
        <v>65.78291415631854</v>
      </c>
      <c r="V39" s="66">
        <v>100.04783541610125</v>
      </c>
      <c r="W39" s="65">
        <v>66.951354659749285</v>
      </c>
      <c r="X39" s="65">
        <v>71.035231517737159</v>
      </c>
      <c r="Y39" s="65">
        <v>68.446816240004111</v>
      </c>
      <c r="Z39" s="66">
        <v>97.472711902933739</v>
      </c>
      <c r="AA39" s="65">
        <v>45.598616493642922</v>
      </c>
      <c r="AB39" s="65">
        <v>49.074466820665855</v>
      </c>
      <c r="AC39" s="65">
        <v>59.995452514054129</v>
      </c>
      <c r="AD39" s="66">
        <v>85.403194665195542</v>
      </c>
      <c r="AE39" s="65">
        <v>23.132838515945743</v>
      </c>
      <c r="AF39" s="65">
        <v>24.208054124907832</v>
      </c>
      <c r="AG39" s="65">
        <v>69.355027983390499</v>
      </c>
      <c r="AH39" s="66">
        <v>79.5597952465112</v>
      </c>
      <c r="AI39" s="65">
        <v>54.055562345763128</v>
      </c>
      <c r="AJ39" s="65">
        <v>57.958546593779857</v>
      </c>
      <c r="AK39" s="65">
        <v>59.647485206248227</v>
      </c>
      <c r="AL39" s="66">
        <v>84.494707594792757</v>
      </c>
      <c r="AM39" s="65">
        <v>64.202746552442136</v>
      </c>
      <c r="AN39" s="65">
        <v>68.84446626152652</v>
      </c>
      <c r="AO39" s="65">
        <v>59.505994836595733</v>
      </c>
      <c r="AP39" s="66">
        <v>86.400431515864113</v>
      </c>
      <c r="AQ39" s="65">
        <v>81.654913533307166</v>
      </c>
      <c r="AR39" s="65">
        <v>87.586629473379503</v>
      </c>
      <c r="AS39" s="65">
        <v>70.70047624169996</v>
      </c>
      <c r="AT39" s="66">
        <v>98.616996623242926</v>
      </c>
      <c r="AU39" s="65">
        <v>62.965422395949929</v>
      </c>
      <c r="AV39" s="65">
        <v>68.481703847834169</v>
      </c>
      <c r="AW39" s="65">
        <v>67.856308601199899</v>
      </c>
      <c r="AX39" s="66">
        <v>92.64522722202949</v>
      </c>
      <c r="AY39" s="65">
        <v>19.038283601868617</v>
      </c>
      <c r="AZ39" s="65">
        <v>20.51460012821472</v>
      </c>
      <c r="BA39" s="65">
        <v>67.489645090554703</v>
      </c>
      <c r="BB39" s="66">
        <v>60.815345049296155</v>
      </c>
    </row>
    <row r="40" spans="1:54" s="24" customFormat="1" ht="15" customHeight="1" x14ac:dyDescent="0.2">
      <c r="A40" s="26"/>
      <c r="B40" s="28" t="s">
        <v>13</v>
      </c>
      <c r="C40" s="29">
        <v>56.20830528606222</v>
      </c>
      <c r="D40" s="29">
        <v>57.920505502245433</v>
      </c>
      <c r="E40" s="29">
        <v>63.884794623026423</v>
      </c>
      <c r="F40" s="30">
        <v>89.515265634390389</v>
      </c>
      <c r="G40" s="29">
        <v>36.999804996107812</v>
      </c>
      <c r="H40" s="29">
        <v>37.846564708849499</v>
      </c>
      <c r="I40" s="29">
        <v>47.730981235863425</v>
      </c>
      <c r="J40" s="30">
        <v>87.144088315627471</v>
      </c>
      <c r="K40" s="29">
        <v>51.360880516587926</v>
      </c>
      <c r="L40" s="29">
        <v>53.190332144583365</v>
      </c>
      <c r="M40" s="29">
        <v>64.505312787120644</v>
      </c>
      <c r="N40" s="30">
        <v>85.163906304962524</v>
      </c>
      <c r="O40" s="29">
        <v>83.18325562992635</v>
      </c>
      <c r="P40" s="29">
        <v>85.778656965450111</v>
      </c>
      <c r="Q40" s="29">
        <v>75.554192481102305</v>
      </c>
      <c r="R40" s="30">
        <v>95.181647311325563</v>
      </c>
      <c r="S40" s="29">
        <v>80.156619906454324</v>
      </c>
      <c r="T40" s="29">
        <v>82.577269864728052</v>
      </c>
      <c r="U40" s="29">
        <v>72.922813303645</v>
      </c>
      <c r="V40" s="30">
        <v>97.25939661063353</v>
      </c>
      <c r="W40" s="29">
        <v>87.869820609252784</v>
      </c>
      <c r="X40" s="29">
        <v>90.481752314094848</v>
      </c>
      <c r="Y40" s="29">
        <v>72.089504881290196</v>
      </c>
      <c r="Z40" s="30">
        <v>98.943969840722573</v>
      </c>
      <c r="AA40" s="29">
        <v>58.844369074454697</v>
      </c>
      <c r="AB40" s="29">
        <v>61.151521383181993</v>
      </c>
      <c r="AC40" s="29">
        <v>62.472734685557043</v>
      </c>
      <c r="AD40" s="30">
        <v>89.021961576747159</v>
      </c>
      <c r="AE40" s="29">
        <v>44.438204648989931</v>
      </c>
      <c r="AF40" s="29">
        <v>45.215766865224857</v>
      </c>
      <c r="AG40" s="29">
        <v>73.036649214659676</v>
      </c>
      <c r="AH40" s="30">
        <v>95.218689108636852</v>
      </c>
      <c r="AI40" s="29">
        <v>60.208984027802181</v>
      </c>
      <c r="AJ40" s="29">
        <v>62.129208561797164</v>
      </c>
      <c r="AK40" s="29">
        <v>60.960052548789115</v>
      </c>
      <c r="AL40" s="30">
        <v>88.967120726471251</v>
      </c>
      <c r="AM40" s="29">
        <v>73.440875703366629</v>
      </c>
      <c r="AN40" s="29">
        <v>75.837621582552714</v>
      </c>
      <c r="AO40" s="29">
        <v>63.268027489998957</v>
      </c>
      <c r="AP40" s="30">
        <v>87.441571170754102</v>
      </c>
      <c r="AQ40" s="29">
        <v>99.893429214303211</v>
      </c>
      <c r="AR40" s="29">
        <v>103.36731554763547</v>
      </c>
      <c r="AS40" s="29">
        <v>77.520805014717496</v>
      </c>
      <c r="AT40" s="30">
        <v>95.048984014740938</v>
      </c>
      <c r="AU40" s="29">
        <v>81.364769066235809</v>
      </c>
      <c r="AV40" s="29">
        <v>85.100106141238967</v>
      </c>
      <c r="AW40" s="29">
        <v>68.551761251578242</v>
      </c>
      <c r="AX40" s="30">
        <v>94.951880382215847</v>
      </c>
      <c r="AY40" s="29">
        <v>24.475777193307881</v>
      </c>
      <c r="AZ40" s="29">
        <v>25.110389082687686</v>
      </c>
      <c r="BA40" s="29">
        <v>70.462113213676616</v>
      </c>
      <c r="BB40" s="30">
        <v>63.892253111622374</v>
      </c>
    </row>
    <row r="41" spans="1:54" s="24" customFormat="1" ht="15" customHeight="1" x14ac:dyDescent="0.2">
      <c r="A41" s="358" t="s">
        <v>124</v>
      </c>
      <c r="B41" s="64" t="s">
        <v>54</v>
      </c>
      <c r="C41" s="65">
        <v>56.461976137822099</v>
      </c>
      <c r="D41" s="65">
        <v>57.725157902517054</v>
      </c>
      <c r="E41" s="65">
        <v>63.590639574378358</v>
      </c>
      <c r="F41" s="66">
        <v>95.635101469261201</v>
      </c>
      <c r="G41" s="65">
        <v>23.030904868797407</v>
      </c>
      <c r="H41" s="65">
        <v>23.562788476493594</v>
      </c>
      <c r="I41" s="65">
        <v>44.738607409928562</v>
      </c>
      <c r="J41" s="66">
        <v>87.951500217738953</v>
      </c>
      <c r="K41" s="65">
        <v>63.553755886934148</v>
      </c>
      <c r="L41" s="65">
        <v>65.384009343204468</v>
      </c>
      <c r="M41" s="65">
        <v>65.721282604020971</v>
      </c>
      <c r="N41" s="66">
        <v>93.53896172950769</v>
      </c>
      <c r="O41" s="65">
        <v>79.50946331766373</v>
      </c>
      <c r="P41" s="65">
        <v>81.129624272916374</v>
      </c>
      <c r="Q41" s="65">
        <v>74.524639916222696</v>
      </c>
      <c r="R41" s="66">
        <v>101.74879289795868</v>
      </c>
      <c r="S41" s="65">
        <v>96.50207505901642</v>
      </c>
      <c r="T41" s="65">
        <v>98.501672075799235</v>
      </c>
      <c r="U41" s="65">
        <v>74.991210702906585</v>
      </c>
      <c r="V41" s="66">
        <v>108.25996191062681</v>
      </c>
      <c r="W41" s="65">
        <v>96.177845136196055</v>
      </c>
      <c r="X41" s="65">
        <v>97.877805466161121</v>
      </c>
      <c r="Y41" s="65">
        <v>72.289538910067506</v>
      </c>
      <c r="Z41" s="66">
        <v>106.29031329752124</v>
      </c>
      <c r="AA41" s="65">
        <v>52.967460341763619</v>
      </c>
      <c r="AB41" s="65">
        <v>54.401664830469009</v>
      </c>
      <c r="AC41" s="65">
        <v>61.453156974510556</v>
      </c>
      <c r="AD41" s="66">
        <v>97.251593585137371</v>
      </c>
      <c r="AE41" s="65">
        <v>57.674648674566257</v>
      </c>
      <c r="AF41" s="65">
        <v>58.288036717544003</v>
      </c>
      <c r="AG41" s="65">
        <v>75.201751218631514</v>
      </c>
      <c r="AH41" s="66">
        <v>100.37534325759754</v>
      </c>
      <c r="AI41" s="65">
        <v>42.895240473416443</v>
      </c>
      <c r="AJ41" s="65">
        <v>43.990234239203552</v>
      </c>
      <c r="AK41" s="65">
        <v>58.996387270747228</v>
      </c>
      <c r="AL41" s="66">
        <v>94.960593483195709</v>
      </c>
      <c r="AM41" s="65">
        <v>67.107036700458949</v>
      </c>
      <c r="AN41" s="65">
        <v>68.555706001397951</v>
      </c>
      <c r="AO41" s="65">
        <v>63.200414921573746</v>
      </c>
      <c r="AP41" s="66">
        <v>90.612002735154334</v>
      </c>
      <c r="AQ41" s="65">
        <v>92.147825935945974</v>
      </c>
      <c r="AR41" s="65">
        <v>94.434190602403405</v>
      </c>
      <c r="AS41" s="65">
        <v>74.35003275995264</v>
      </c>
      <c r="AT41" s="66">
        <v>96.691178224021513</v>
      </c>
      <c r="AU41" s="65">
        <v>89.747852102659294</v>
      </c>
      <c r="AV41" s="65">
        <v>92.734489464052245</v>
      </c>
      <c r="AW41" s="65">
        <v>73.39154398176214</v>
      </c>
      <c r="AX41" s="66">
        <v>97.822162977597714</v>
      </c>
      <c r="AY41" s="65">
        <v>33.407828280304017</v>
      </c>
      <c r="AZ41" s="65">
        <v>33.818005025999057</v>
      </c>
      <c r="BA41" s="65">
        <v>73.921871193048005</v>
      </c>
      <c r="BB41" s="66">
        <v>75.74003722901017</v>
      </c>
    </row>
    <row r="42" spans="1:54" s="24" customFormat="1" ht="15" customHeight="1" x14ac:dyDescent="0.2">
      <c r="A42" s="368"/>
      <c r="B42" s="28" t="s">
        <v>48</v>
      </c>
      <c r="C42" s="29">
        <v>44.611503351085595</v>
      </c>
      <c r="D42" s="29">
        <v>47.217592714602787</v>
      </c>
      <c r="E42" s="29">
        <v>61.980742115618185</v>
      </c>
      <c r="F42" s="30">
        <v>94.18763825342171</v>
      </c>
      <c r="G42" s="29">
        <v>27.375673433025</v>
      </c>
      <c r="H42" s="29">
        <v>28.923121539744074</v>
      </c>
      <c r="I42" s="29">
        <v>44.304649387811821</v>
      </c>
      <c r="J42" s="30">
        <v>92.159927338698594</v>
      </c>
      <c r="K42" s="29">
        <v>40.132788463685415</v>
      </c>
      <c r="L42" s="29">
        <v>42.794189171436017</v>
      </c>
      <c r="M42" s="29">
        <v>61.134238731542098</v>
      </c>
      <c r="N42" s="30">
        <v>90.173329910926</v>
      </c>
      <c r="O42" s="29">
        <v>55.577345380530829</v>
      </c>
      <c r="P42" s="29">
        <v>58.639396313998724</v>
      </c>
      <c r="Q42" s="29">
        <v>73.965315686264049</v>
      </c>
      <c r="R42" s="30">
        <v>99.056094383572983</v>
      </c>
      <c r="S42" s="29">
        <v>63.063601221457212</v>
      </c>
      <c r="T42" s="29">
        <v>66.624688746104482</v>
      </c>
      <c r="U42" s="29">
        <v>70.972156400343763</v>
      </c>
      <c r="V42" s="30">
        <v>102.64857022384707</v>
      </c>
      <c r="W42" s="29">
        <v>58.154246727637506</v>
      </c>
      <c r="X42" s="29">
        <v>60.834075899058227</v>
      </c>
      <c r="Y42" s="29">
        <v>70.50440764635826</v>
      </c>
      <c r="Z42" s="30">
        <v>102.57090446832231</v>
      </c>
      <c r="AA42" s="29">
        <v>49.68541857541593</v>
      </c>
      <c r="AB42" s="29">
        <v>53.085100267993944</v>
      </c>
      <c r="AC42" s="29">
        <v>59.912970527586786</v>
      </c>
      <c r="AD42" s="30">
        <v>96.363498173558568</v>
      </c>
      <c r="AE42" s="29">
        <v>52.574318079935523</v>
      </c>
      <c r="AF42" s="29">
        <v>54.633502020041348</v>
      </c>
      <c r="AG42" s="29">
        <v>75.235602094240832</v>
      </c>
      <c r="AH42" s="30">
        <v>98.627151102576576</v>
      </c>
      <c r="AI42" s="29">
        <v>44.863175876609056</v>
      </c>
      <c r="AJ42" s="29">
        <v>47.794000198197764</v>
      </c>
      <c r="AK42" s="29">
        <v>60.133791982852458</v>
      </c>
      <c r="AL42" s="30">
        <v>93.840881015483035</v>
      </c>
      <c r="AM42" s="29">
        <v>59.440792606652735</v>
      </c>
      <c r="AN42" s="29">
        <v>63.238218083598433</v>
      </c>
      <c r="AO42" s="29">
        <v>64.355029551604403</v>
      </c>
      <c r="AP42" s="30">
        <v>90.186897743406305</v>
      </c>
      <c r="AQ42" s="29">
        <v>69.365006153898989</v>
      </c>
      <c r="AR42" s="29">
        <v>73.6818714973504</v>
      </c>
      <c r="AS42" s="29">
        <v>72.779902013514658</v>
      </c>
      <c r="AT42" s="30">
        <v>98.930676869465501</v>
      </c>
      <c r="AU42" s="29">
        <v>72.297891437555663</v>
      </c>
      <c r="AV42" s="29">
        <v>78.485494364332723</v>
      </c>
      <c r="AW42" s="29">
        <v>79.288698598745739</v>
      </c>
      <c r="AX42" s="30">
        <v>96.043528506259932</v>
      </c>
      <c r="AY42" s="29">
        <v>17.245089330592435</v>
      </c>
      <c r="AZ42" s="29">
        <v>17.833502553868723</v>
      </c>
      <c r="BA42" s="29">
        <v>69.682449443677413</v>
      </c>
      <c r="BB42" s="30">
        <v>68.676450984065639</v>
      </c>
    </row>
    <row r="43" spans="1:54" s="24" customFormat="1" ht="15" customHeight="1" x14ac:dyDescent="0.2">
      <c r="A43" s="368"/>
      <c r="B43" s="64" t="s">
        <v>49</v>
      </c>
      <c r="C43" s="65">
        <v>59.743130784127793</v>
      </c>
      <c r="D43" s="65">
        <v>61.911731927259773</v>
      </c>
      <c r="E43" s="65">
        <v>64.141270537320153</v>
      </c>
      <c r="F43" s="66">
        <v>95.634479845865343</v>
      </c>
      <c r="G43" s="65">
        <v>35.492022180624936</v>
      </c>
      <c r="H43" s="65">
        <v>36.675499079545403</v>
      </c>
      <c r="I43" s="65">
        <v>44.874604396575698</v>
      </c>
      <c r="J43" s="66">
        <v>94.046837957584756</v>
      </c>
      <c r="K43" s="65">
        <v>60.991992628539194</v>
      </c>
      <c r="L43" s="65">
        <v>63.682052200168727</v>
      </c>
      <c r="M43" s="65">
        <v>64.223145944812444</v>
      </c>
      <c r="N43" s="66">
        <v>92.916833532464807</v>
      </c>
      <c r="O43" s="65">
        <v>80.983543607707574</v>
      </c>
      <c r="P43" s="65">
        <v>83.653206962728632</v>
      </c>
      <c r="Q43" s="65">
        <v>74.278607134174266</v>
      </c>
      <c r="R43" s="66">
        <v>98.330894234055052</v>
      </c>
      <c r="S43" s="65">
        <v>77.561297038693993</v>
      </c>
      <c r="T43" s="65">
        <v>80.074355081805876</v>
      </c>
      <c r="U43" s="65">
        <v>74.054647948700065</v>
      </c>
      <c r="V43" s="66">
        <v>103.21276085400868</v>
      </c>
      <c r="W43" s="65">
        <v>77.922863446730005</v>
      </c>
      <c r="X43" s="65">
        <v>80.374903880449835</v>
      </c>
      <c r="Y43" s="65">
        <v>71.375590330309095</v>
      </c>
      <c r="Z43" s="66">
        <v>104.16000463773713</v>
      </c>
      <c r="AA43" s="65">
        <v>62.34548439632708</v>
      </c>
      <c r="AB43" s="65">
        <v>65.129383169499434</v>
      </c>
      <c r="AC43" s="65">
        <v>62.062520091263387</v>
      </c>
      <c r="AD43" s="66">
        <v>97.727386354703356</v>
      </c>
      <c r="AE43" s="65">
        <v>66.346816011282883</v>
      </c>
      <c r="AF43" s="65">
        <v>67.847617906293848</v>
      </c>
      <c r="AG43" s="65">
        <v>79.221881205993824</v>
      </c>
      <c r="AH43" s="66">
        <v>102.60947466809611</v>
      </c>
      <c r="AI43" s="65">
        <v>63.130858341266659</v>
      </c>
      <c r="AJ43" s="65">
        <v>65.655077843060866</v>
      </c>
      <c r="AK43" s="65">
        <v>62.392468006891278</v>
      </c>
      <c r="AL43" s="66">
        <v>93.627413956538035</v>
      </c>
      <c r="AM43" s="65">
        <v>76.58272875988213</v>
      </c>
      <c r="AN43" s="65">
        <v>79.450329482677418</v>
      </c>
      <c r="AO43" s="65">
        <v>68.288694109471663</v>
      </c>
      <c r="AP43" s="66">
        <v>90.614805213885958</v>
      </c>
      <c r="AQ43" s="65">
        <v>96.960948464713255</v>
      </c>
      <c r="AR43" s="65">
        <v>100.89585627571364</v>
      </c>
      <c r="AS43" s="65">
        <v>77.649889007324475</v>
      </c>
      <c r="AT43" s="66">
        <v>98.875752213591895</v>
      </c>
      <c r="AU43" s="65">
        <v>85.200503838463277</v>
      </c>
      <c r="AV43" s="65">
        <v>89.802435898832471</v>
      </c>
      <c r="AW43" s="65">
        <v>81.644721863292688</v>
      </c>
      <c r="AX43" s="66">
        <v>96.053087914855112</v>
      </c>
      <c r="AY43" s="65">
        <v>18.419867313887238</v>
      </c>
      <c r="AZ43" s="65">
        <v>18.648385382809209</v>
      </c>
      <c r="BA43" s="65">
        <v>71.680337854300333</v>
      </c>
      <c r="BB43" s="66">
        <v>65.243331142714823</v>
      </c>
    </row>
    <row r="44" spans="1:54" s="24" customFormat="1" ht="15" customHeight="1" x14ac:dyDescent="0.2">
      <c r="A44" s="368"/>
      <c r="B44" s="28" t="s">
        <v>14</v>
      </c>
      <c r="C44" s="29">
        <v>48.004317539591653</v>
      </c>
      <c r="D44" s="29">
        <v>50.043566158782092</v>
      </c>
      <c r="E44" s="29">
        <v>63.708234444572312</v>
      </c>
      <c r="F44" s="30">
        <v>97.563447537529456</v>
      </c>
      <c r="G44" s="29">
        <v>28.353022630049313</v>
      </c>
      <c r="H44" s="29">
        <v>29.595636026445089</v>
      </c>
      <c r="I44" s="29">
        <v>44.364945786422368</v>
      </c>
      <c r="J44" s="30">
        <v>96.851427438739989</v>
      </c>
      <c r="K44" s="29">
        <v>52.90866912814478</v>
      </c>
      <c r="L44" s="29">
        <v>55.417371854637906</v>
      </c>
      <c r="M44" s="29">
        <v>64.487452439048226</v>
      </c>
      <c r="N44" s="30">
        <v>96.069506258347687</v>
      </c>
      <c r="O44" s="29">
        <v>60.997460396837354</v>
      </c>
      <c r="P44" s="29">
        <v>63.476092667151306</v>
      </c>
      <c r="Q44" s="29">
        <v>73.892524922344421</v>
      </c>
      <c r="R44" s="30">
        <v>102.01647262712774</v>
      </c>
      <c r="S44" s="29">
        <v>48.35996152316968</v>
      </c>
      <c r="T44" s="29">
        <v>50.212653607742453</v>
      </c>
      <c r="U44" s="29">
        <v>72.189151859464701</v>
      </c>
      <c r="V44" s="30">
        <v>101.98160265562488</v>
      </c>
      <c r="W44" s="29">
        <v>67.672508453310584</v>
      </c>
      <c r="X44" s="29">
        <v>70.285441262511199</v>
      </c>
      <c r="Y44" s="29">
        <v>72.249532104312024</v>
      </c>
      <c r="Z44" s="30">
        <v>105.89655840046119</v>
      </c>
      <c r="AA44" s="29">
        <v>42.722027263944256</v>
      </c>
      <c r="AB44" s="29">
        <v>44.939635759145261</v>
      </c>
      <c r="AC44" s="29">
        <v>60.786715068643559</v>
      </c>
      <c r="AD44" s="30">
        <v>100.50780004799462</v>
      </c>
      <c r="AE44" s="29">
        <v>63.196413546665639</v>
      </c>
      <c r="AF44" s="29">
        <v>64.956532339671924</v>
      </c>
      <c r="AG44" s="29">
        <v>79.391135584040413</v>
      </c>
      <c r="AH44" s="30">
        <v>103.28151803685056</v>
      </c>
      <c r="AI44" s="29">
        <v>55.735704787039012</v>
      </c>
      <c r="AJ44" s="29">
        <v>58.204037500858711</v>
      </c>
      <c r="AK44" s="29">
        <v>62.1055239609802</v>
      </c>
      <c r="AL44" s="30">
        <v>95.765418995436889</v>
      </c>
      <c r="AM44" s="29">
        <v>69.997158403082423</v>
      </c>
      <c r="AN44" s="29">
        <v>73.153412934901439</v>
      </c>
      <c r="AO44" s="29">
        <v>69.829913938446538</v>
      </c>
      <c r="AP44" s="30">
        <v>91.915291515050541</v>
      </c>
      <c r="AQ44" s="29">
        <v>80.569411585827751</v>
      </c>
      <c r="AR44" s="29">
        <v>84.516573281945384</v>
      </c>
      <c r="AS44" s="29">
        <v>77.152328890366576</v>
      </c>
      <c r="AT44" s="30">
        <v>99.195666263831697</v>
      </c>
      <c r="AU44" s="29">
        <v>63.7860857543591</v>
      </c>
      <c r="AV44" s="29">
        <v>67.694174376226897</v>
      </c>
      <c r="AW44" s="29">
        <v>80.857015289905007</v>
      </c>
      <c r="AX44" s="30">
        <v>97.416070615650341</v>
      </c>
      <c r="AY44" s="29">
        <v>18.114796570379372</v>
      </c>
      <c r="AZ44" s="29">
        <v>18.626597063336281</v>
      </c>
      <c r="BA44" s="29">
        <v>69.000243644928133</v>
      </c>
      <c r="BB44" s="30">
        <v>63.465637217662731</v>
      </c>
    </row>
    <row r="45" spans="1:54" s="24" customFormat="1" ht="15" customHeight="1" x14ac:dyDescent="0.2">
      <c r="A45" s="368"/>
      <c r="B45" s="64" t="s">
        <v>15</v>
      </c>
      <c r="C45" s="65">
        <v>43.227390053104983</v>
      </c>
      <c r="D45" s="65">
        <v>45.755284623661922</v>
      </c>
      <c r="E45" s="65">
        <v>61.665225181062354</v>
      </c>
      <c r="F45" s="66">
        <v>95.361788867947212</v>
      </c>
      <c r="G45" s="65">
        <v>30.414699384733829</v>
      </c>
      <c r="H45" s="65">
        <v>32.12351358049979</v>
      </c>
      <c r="I45" s="65">
        <v>43.737775216933152</v>
      </c>
      <c r="J45" s="66">
        <v>96.512542612716274</v>
      </c>
      <c r="K45" s="65">
        <v>42.050122301558723</v>
      </c>
      <c r="L45" s="65">
        <v>44.753313298919117</v>
      </c>
      <c r="M45" s="65">
        <v>62.630242811876371</v>
      </c>
      <c r="N45" s="66">
        <v>93.609634758687704</v>
      </c>
      <c r="O45" s="65">
        <v>47.87775137461265</v>
      </c>
      <c r="P45" s="65">
        <v>50.352125621953689</v>
      </c>
      <c r="Q45" s="65">
        <v>71.608641913601261</v>
      </c>
      <c r="R45" s="66">
        <v>96.767392934968868</v>
      </c>
      <c r="S45" s="65">
        <v>53.670498277499277</v>
      </c>
      <c r="T45" s="65">
        <v>56.669246087839895</v>
      </c>
      <c r="U45" s="65">
        <v>69.493286282957257</v>
      </c>
      <c r="V45" s="66">
        <v>98.578133146897557</v>
      </c>
      <c r="W45" s="65">
        <v>36.158387332126047</v>
      </c>
      <c r="X45" s="65">
        <v>37.952840973517262</v>
      </c>
      <c r="Y45" s="65">
        <v>64.719285579615857</v>
      </c>
      <c r="Z45" s="66">
        <v>103.32229875129732</v>
      </c>
      <c r="AA45" s="65">
        <v>45.401329963899123</v>
      </c>
      <c r="AB45" s="65">
        <v>48.694609620193354</v>
      </c>
      <c r="AC45" s="65">
        <v>59.284790227609548</v>
      </c>
      <c r="AD45" s="66">
        <v>99.665207052638578</v>
      </c>
      <c r="AE45" s="65">
        <v>62.706014925973662</v>
      </c>
      <c r="AF45" s="65">
        <v>65.442794975881924</v>
      </c>
      <c r="AG45" s="65">
        <v>79.364054883552967</v>
      </c>
      <c r="AH45" s="66">
        <v>99.953006958465906</v>
      </c>
      <c r="AI45" s="65">
        <v>36.164210674606309</v>
      </c>
      <c r="AJ45" s="65">
        <v>38.529809277052841</v>
      </c>
      <c r="AK45" s="65">
        <v>58.382165678495909</v>
      </c>
      <c r="AL45" s="66">
        <v>91.151253586790475</v>
      </c>
      <c r="AM45" s="65">
        <v>59.278185841499855</v>
      </c>
      <c r="AN45" s="65">
        <v>62.80628405533767</v>
      </c>
      <c r="AO45" s="65">
        <v>69.864587050459477</v>
      </c>
      <c r="AP45" s="66">
        <v>91.122226269699098</v>
      </c>
      <c r="AQ45" s="65">
        <v>61.290582814548223</v>
      </c>
      <c r="AR45" s="65">
        <v>65.515358961036881</v>
      </c>
      <c r="AS45" s="65">
        <v>70.576086212460467</v>
      </c>
      <c r="AT45" s="66">
        <v>98.676985799270085</v>
      </c>
      <c r="AU45" s="65">
        <v>59.12803562206237</v>
      </c>
      <c r="AV45" s="65">
        <v>64.237744423880216</v>
      </c>
      <c r="AW45" s="65">
        <v>79.526429861885234</v>
      </c>
      <c r="AX45" s="66">
        <v>97.204484557090836</v>
      </c>
      <c r="AY45" s="65">
        <v>16.243645976517541</v>
      </c>
      <c r="AZ45" s="65">
        <v>16.653689786762673</v>
      </c>
      <c r="BA45" s="65">
        <v>67.879476975554297</v>
      </c>
      <c r="BB45" s="66">
        <v>62.74365188037909</v>
      </c>
    </row>
    <row r="46" spans="1:54" s="24" customFormat="1" ht="15" customHeight="1" x14ac:dyDescent="0.2">
      <c r="A46" s="368"/>
      <c r="B46" s="28" t="s">
        <v>16</v>
      </c>
      <c r="C46" s="29">
        <v>62.538283366022199</v>
      </c>
      <c r="D46" s="29">
        <v>65.159434694584746</v>
      </c>
      <c r="E46" s="29">
        <v>64.326993279909416</v>
      </c>
      <c r="F46" s="30">
        <v>98.748763297674273</v>
      </c>
      <c r="G46" s="29">
        <v>36.798083683919629</v>
      </c>
      <c r="H46" s="29">
        <v>38.304948128378911</v>
      </c>
      <c r="I46" s="29">
        <v>45.536104302500121</v>
      </c>
      <c r="J46" s="30">
        <v>100.39799421526435</v>
      </c>
      <c r="K46" s="29">
        <v>63.313756999024015</v>
      </c>
      <c r="L46" s="29">
        <v>66.507894535473099</v>
      </c>
      <c r="M46" s="29">
        <v>65.642910330389824</v>
      </c>
      <c r="N46" s="30">
        <v>96.728991886410881</v>
      </c>
      <c r="O46" s="29">
        <v>85.404518954844761</v>
      </c>
      <c r="P46" s="29">
        <v>88.584738893344948</v>
      </c>
      <c r="Q46" s="29">
        <v>73.763830851734454</v>
      </c>
      <c r="R46" s="30">
        <v>101.23320582241951</v>
      </c>
      <c r="S46" s="29">
        <v>89.730849796515443</v>
      </c>
      <c r="T46" s="29">
        <v>93.203303432808553</v>
      </c>
      <c r="U46" s="29">
        <v>73.705962872221988</v>
      </c>
      <c r="V46" s="30">
        <v>103.37768542984445</v>
      </c>
      <c r="W46" s="29">
        <v>74.009009751453817</v>
      </c>
      <c r="X46" s="29">
        <v>76.387705299781956</v>
      </c>
      <c r="Y46" s="29">
        <v>68.856541112741056</v>
      </c>
      <c r="Z46" s="30">
        <v>105.22394179521368</v>
      </c>
      <c r="AA46" s="29">
        <v>60.131659966283557</v>
      </c>
      <c r="AB46" s="29">
        <v>63.270928933925049</v>
      </c>
      <c r="AC46" s="29">
        <v>62.903020941956854</v>
      </c>
      <c r="AD46" s="30">
        <v>100.11750103005494</v>
      </c>
      <c r="AE46" s="29">
        <v>83.628274366157299</v>
      </c>
      <c r="AF46" s="29">
        <v>85.885646691238847</v>
      </c>
      <c r="AG46" s="29">
        <v>81.449268821086818</v>
      </c>
      <c r="AH46" s="30">
        <v>104.78929209059086</v>
      </c>
      <c r="AI46" s="29">
        <v>51.137672749725759</v>
      </c>
      <c r="AJ46" s="29">
        <v>53.479762115435634</v>
      </c>
      <c r="AK46" s="29">
        <v>59.411246132305372</v>
      </c>
      <c r="AL46" s="30">
        <v>94.000725564606398</v>
      </c>
      <c r="AM46" s="29">
        <v>73.330237240885566</v>
      </c>
      <c r="AN46" s="29">
        <v>76.5439893219433</v>
      </c>
      <c r="AO46" s="29">
        <v>71.44221364704795</v>
      </c>
      <c r="AP46" s="30">
        <v>96.458250377241214</v>
      </c>
      <c r="AQ46" s="29">
        <v>89.963504243759004</v>
      </c>
      <c r="AR46" s="29">
        <v>94.679642792781948</v>
      </c>
      <c r="AS46" s="29">
        <v>74.202172913875515</v>
      </c>
      <c r="AT46" s="30">
        <v>102.61259976767876</v>
      </c>
      <c r="AU46" s="29">
        <v>86.88888749804704</v>
      </c>
      <c r="AV46" s="29">
        <v>92.473755255230969</v>
      </c>
      <c r="AW46" s="29">
        <v>79.082901385878657</v>
      </c>
      <c r="AX46" s="30">
        <v>97.389274926907916</v>
      </c>
      <c r="AY46" s="29">
        <v>24.314797034366915</v>
      </c>
      <c r="AZ46" s="29">
        <v>24.842065831868656</v>
      </c>
      <c r="BA46" s="29">
        <v>69.146430601802962</v>
      </c>
      <c r="BB46" s="30">
        <v>65.237126815508049</v>
      </c>
    </row>
    <row r="47" spans="1:54" s="24" customFormat="1" ht="15" customHeight="1" x14ac:dyDescent="0.2">
      <c r="A47" s="368"/>
      <c r="B47" s="64" t="s">
        <v>8</v>
      </c>
      <c r="C47" s="65">
        <v>79.314855538462552</v>
      </c>
      <c r="D47" s="65">
        <v>81.227810517033731</v>
      </c>
      <c r="E47" s="65">
        <v>67.371540115894561</v>
      </c>
      <c r="F47" s="66">
        <v>98.787406632938101</v>
      </c>
      <c r="G47" s="65">
        <v>43.361955622299867</v>
      </c>
      <c r="H47" s="65">
        <v>44.593857061241323</v>
      </c>
      <c r="I47" s="65">
        <v>46.526373622746256</v>
      </c>
      <c r="J47" s="66">
        <v>100.05749085535977</v>
      </c>
      <c r="K47" s="65">
        <v>84.434040170652196</v>
      </c>
      <c r="L47" s="65">
        <v>86.947358144636851</v>
      </c>
      <c r="M47" s="65">
        <v>69.645494305125865</v>
      </c>
      <c r="N47" s="66">
        <v>97.917765770493162</v>
      </c>
      <c r="O47" s="65">
        <v>104.53156318858407</v>
      </c>
      <c r="P47" s="65">
        <v>106.27058280656219</v>
      </c>
      <c r="Q47" s="65">
        <v>75.892232788745204</v>
      </c>
      <c r="R47" s="66">
        <v>102.11379756783188</v>
      </c>
      <c r="S47" s="65">
        <v>109.83782263556279</v>
      </c>
      <c r="T47" s="65">
        <v>112.14326921995088</v>
      </c>
      <c r="U47" s="65">
        <v>77.130541080470067</v>
      </c>
      <c r="V47" s="66">
        <v>103.44086509264004</v>
      </c>
      <c r="W47" s="65">
        <v>101.13912295857637</v>
      </c>
      <c r="X47" s="65">
        <v>102.69479407245205</v>
      </c>
      <c r="Y47" s="65">
        <v>73.997415652317926</v>
      </c>
      <c r="Z47" s="66">
        <v>104.28329917682765</v>
      </c>
      <c r="AA47" s="65">
        <v>85.49149862553854</v>
      </c>
      <c r="AB47" s="65">
        <v>88.397886049909857</v>
      </c>
      <c r="AC47" s="65">
        <v>66.859960954344857</v>
      </c>
      <c r="AD47" s="66">
        <v>100.06548262620944</v>
      </c>
      <c r="AE47" s="65">
        <v>96.672853581816639</v>
      </c>
      <c r="AF47" s="65">
        <v>97.563272131781162</v>
      </c>
      <c r="AG47" s="65">
        <v>83.155352951796331</v>
      </c>
      <c r="AH47" s="66">
        <v>103.19450056913075</v>
      </c>
      <c r="AI47" s="65">
        <v>71.591592535572175</v>
      </c>
      <c r="AJ47" s="65">
        <v>73.504473613213463</v>
      </c>
      <c r="AK47" s="65">
        <v>63.963169752179439</v>
      </c>
      <c r="AL47" s="66">
        <v>95.553212918843784</v>
      </c>
      <c r="AM47" s="65">
        <v>88.117922785946334</v>
      </c>
      <c r="AN47" s="65">
        <v>90.197582474993126</v>
      </c>
      <c r="AO47" s="65">
        <v>75.245854034866738</v>
      </c>
      <c r="AP47" s="66">
        <v>94.2234980813421</v>
      </c>
      <c r="AQ47" s="65">
        <v>106.35157138755204</v>
      </c>
      <c r="AR47" s="65">
        <v>109.58269310577344</v>
      </c>
      <c r="AS47" s="65">
        <v>78.361024457504925</v>
      </c>
      <c r="AT47" s="66">
        <v>101.26307309223046</v>
      </c>
      <c r="AU47" s="65">
        <v>111.71647939305542</v>
      </c>
      <c r="AV47" s="65">
        <v>116.27582413247586</v>
      </c>
      <c r="AW47" s="65">
        <v>80.864111745521129</v>
      </c>
      <c r="AX47" s="66">
        <v>98.637933096713411</v>
      </c>
      <c r="AY47" s="65">
        <v>46.505234565323242</v>
      </c>
      <c r="AZ47" s="65">
        <v>47.550687492351493</v>
      </c>
      <c r="BA47" s="65">
        <v>73.288394379923645</v>
      </c>
      <c r="BB47" s="66">
        <v>75.886128274399567</v>
      </c>
    </row>
    <row r="48" spans="1:54" s="24" customFormat="1" ht="15" customHeight="1" x14ac:dyDescent="0.2">
      <c r="A48" s="368"/>
      <c r="B48" s="28" t="s">
        <v>9</v>
      </c>
      <c r="C48" s="29">
        <v>82.345446578247405</v>
      </c>
      <c r="D48" s="29">
        <v>84.42600739793906</v>
      </c>
      <c r="E48" s="29">
        <v>69.210607423392617</v>
      </c>
      <c r="F48" s="30">
        <v>101.21097269661877</v>
      </c>
      <c r="G48" s="29">
        <v>50.573953003887027</v>
      </c>
      <c r="H48" s="29">
        <v>52.076257888060795</v>
      </c>
      <c r="I48" s="29">
        <v>48.661834396894783</v>
      </c>
      <c r="J48" s="30">
        <v>105.64021420532922</v>
      </c>
      <c r="K48" s="29">
        <v>87.132534807760152</v>
      </c>
      <c r="L48" s="29">
        <v>89.780662242772422</v>
      </c>
      <c r="M48" s="29">
        <v>71.80712956660669</v>
      </c>
      <c r="N48" s="30">
        <v>100.29084247460021</v>
      </c>
      <c r="O48" s="29">
        <v>96.360237489408036</v>
      </c>
      <c r="P48" s="29">
        <v>97.884626718805009</v>
      </c>
      <c r="Q48" s="29">
        <v>76.407591397296358</v>
      </c>
      <c r="R48" s="30">
        <v>102.92198642426646</v>
      </c>
      <c r="S48" s="29">
        <v>107.8520949089397</v>
      </c>
      <c r="T48" s="29">
        <v>110.27187614700389</v>
      </c>
      <c r="U48" s="29">
        <v>78.918505774817291</v>
      </c>
      <c r="V48" s="30">
        <v>106.41381799481664</v>
      </c>
      <c r="W48" s="29">
        <v>95.86056475662248</v>
      </c>
      <c r="X48" s="29">
        <v>97.258086523177184</v>
      </c>
      <c r="Y48" s="29">
        <v>75.906705968371696</v>
      </c>
      <c r="Z48" s="30">
        <v>107.10714945461505</v>
      </c>
      <c r="AA48" s="29">
        <v>88.81777876113344</v>
      </c>
      <c r="AB48" s="29">
        <v>92.142728384402702</v>
      </c>
      <c r="AC48" s="29">
        <v>68.605881937856282</v>
      </c>
      <c r="AD48" s="30">
        <v>101.87760997777326</v>
      </c>
      <c r="AE48" s="29">
        <v>95.576517127902989</v>
      </c>
      <c r="AF48" s="29">
        <v>96.380095930489716</v>
      </c>
      <c r="AG48" s="29">
        <v>85.285250045134504</v>
      </c>
      <c r="AH48" s="30">
        <v>101.88761705505752</v>
      </c>
      <c r="AI48" s="29">
        <v>86.178394125511844</v>
      </c>
      <c r="AJ48" s="29">
        <v>88.318451477000892</v>
      </c>
      <c r="AK48" s="29">
        <v>66.203407604593394</v>
      </c>
      <c r="AL48" s="30">
        <v>95.531554052915382</v>
      </c>
      <c r="AM48" s="29">
        <v>97.680152365004801</v>
      </c>
      <c r="AN48" s="29">
        <v>100.03649774357312</v>
      </c>
      <c r="AO48" s="29">
        <v>77.21181948600001</v>
      </c>
      <c r="AP48" s="30">
        <v>96.95892167838214</v>
      </c>
      <c r="AQ48" s="29">
        <v>105.91281122701062</v>
      </c>
      <c r="AR48" s="29">
        <v>109.48453689912216</v>
      </c>
      <c r="AS48" s="29">
        <v>78.926647043291993</v>
      </c>
      <c r="AT48" s="30">
        <v>101.46933367636225</v>
      </c>
      <c r="AU48" s="29">
        <v>108.88269954762812</v>
      </c>
      <c r="AV48" s="29">
        <v>113.52964827520671</v>
      </c>
      <c r="AW48" s="29">
        <v>81.857615531775863</v>
      </c>
      <c r="AX48" s="30">
        <v>100.34066762129659</v>
      </c>
      <c r="AY48" s="29">
        <v>63.33775771474712</v>
      </c>
      <c r="AZ48" s="29">
        <v>65.235662786050213</v>
      </c>
      <c r="BA48" s="29">
        <v>74.945179891171918</v>
      </c>
      <c r="BB48" s="30">
        <v>84.290724751425969</v>
      </c>
    </row>
    <row r="49" spans="1:54" s="24" customFormat="1" ht="15" customHeight="1" x14ac:dyDescent="0.2">
      <c r="A49" s="368"/>
      <c r="B49" s="64" t="s">
        <v>10</v>
      </c>
      <c r="C49" s="65">
        <v>82.756136068842395</v>
      </c>
      <c r="D49" s="65">
        <v>84.188713793097463</v>
      </c>
      <c r="E49" s="65">
        <v>71.073104798240536</v>
      </c>
      <c r="F49" s="66">
        <v>99.52237944425687</v>
      </c>
      <c r="G49" s="65">
        <v>58.423052160892539</v>
      </c>
      <c r="H49" s="65">
        <v>59.547891320356769</v>
      </c>
      <c r="I49" s="65">
        <v>51.373851975275521</v>
      </c>
      <c r="J49" s="66">
        <v>107.26946254853883</v>
      </c>
      <c r="K49" s="65">
        <v>83.18157926301248</v>
      </c>
      <c r="L49" s="65">
        <v>85.046000227050584</v>
      </c>
      <c r="M49" s="65">
        <v>72.862222964675652</v>
      </c>
      <c r="N49" s="66">
        <v>98.578806072137638</v>
      </c>
      <c r="O49" s="65">
        <v>93.14334387228719</v>
      </c>
      <c r="P49" s="65">
        <v>94.172718060632207</v>
      </c>
      <c r="Q49" s="65">
        <v>78.449226743714888</v>
      </c>
      <c r="R49" s="66">
        <v>97.79338008988644</v>
      </c>
      <c r="S49" s="65">
        <v>102.39054345736156</v>
      </c>
      <c r="T49" s="65">
        <v>104.00426570045691</v>
      </c>
      <c r="U49" s="65">
        <v>81.597462908822564</v>
      </c>
      <c r="V49" s="66">
        <v>100.6146717838873</v>
      </c>
      <c r="W49" s="65">
        <v>92.072321019455927</v>
      </c>
      <c r="X49" s="65">
        <v>92.699041038172908</v>
      </c>
      <c r="Y49" s="65">
        <v>77.771161071078794</v>
      </c>
      <c r="Z49" s="66">
        <v>102.5144635549254</v>
      </c>
      <c r="AA49" s="65">
        <v>88.886798766315621</v>
      </c>
      <c r="AB49" s="65">
        <v>91.441227624744542</v>
      </c>
      <c r="AC49" s="65">
        <v>68.261841104568703</v>
      </c>
      <c r="AD49" s="66">
        <v>100.94895543009135</v>
      </c>
      <c r="AE49" s="65">
        <v>92.229448053602368</v>
      </c>
      <c r="AF49" s="65">
        <v>92.251496681134597</v>
      </c>
      <c r="AG49" s="65">
        <v>87.959469218270442</v>
      </c>
      <c r="AH49" s="66">
        <v>98.669359404811175</v>
      </c>
      <c r="AI49" s="65">
        <v>91.506192605195253</v>
      </c>
      <c r="AJ49" s="65">
        <v>92.985426704324595</v>
      </c>
      <c r="AK49" s="65">
        <v>67.307393130628668</v>
      </c>
      <c r="AL49" s="66">
        <v>94.967901417412236</v>
      </c>
      <c r="AM49" s="65">
        <v>102.88415663525137</v>
      </c>
      <c r="AN49" s="65">
        <v>104.57329640709423</v>
      </c>
      <c r="AO49" s="65">
        <v>79.63720367130469</v>
      </c>
      <c r="AP49" s="66">
        <v>96.276187678028649</v>
      </c>
      <c r="AQ49" s="65">
        <v>112.51362544687815</v>
      </c>
      <c r="AR49" s="65">
        <v>115.35663318247174</v>
      </c>
      <c r="AS49" s="65">
        <v>82.163134785202217</v>
      </c>
      <c r="AT49" s="66">
        <v>104.51490547109078</v>
      </c>
      <c r="AU49" s="65">
        <v>98.627102020183983</v>
      </c>
      <c r="AV49" s="65">
        <v>102.13083023671675</v>
      </c>
      <c r="AW49" s="65">
        <v>86.175808774175991</v>
      </c>
      <c r="AX49" s="66">
        <v>100.36422650998777</v>
      </c>
      <c r="AY49" s="65">
        <v>60.150920181922018</v>
      </c>
      <c r="AZ49" s="65">
        <v>61.233059525174113</v>
      </c>
      <c r="BA49" s="65">
        <v>75.383740761796474</v>
      </c>
      <c r="BB49" s="66">
        <v>86.681755654300503</v>
      </c>
    </row>
    <row r="50" spans="1:54" s="24" customFormat="1" ht="15" customHeight="1" x14ac:dyDescent="0.2">
      <c r="A50" s="367"/>
      <c r="B50" s="398" t="s">
        <v>11</v>
      </c>
      <c r="C50" s="399">
        <v>100.25906147816129</v>
      </c>
      <c r="D50" s="399">
        <v>100.1349183400916</v>
      </c>
      <c r="E50" s="399">
        <v>74.147383811904547</v>
      </c>
      <c r="F50" s="400">
        <v>99.899586321530734</v>
      </c>
      <c r="G50" s="399">
        <v>67.127463175828709</v>
      </c>
      <c r="H50" s="399">
        <v>67.549814553585634</v>
      </c>
      <c r="I50" s="399">
        <v>53.58633369655432</v>
      </c>
      <c r="J50" s="400">
        <v>105.86431503096507</v>
      </c>
      <c r="K50" s="399">
        <v>102.41693544892567</v>
      </c>
      <c r="L50" s="399">
        <v>103.88244395519939</v>
      </c>
      <c r="M50" s="399">
        <v>76.281679903465289</v>
      </c>
      <c r="N50" s="400">
        <v>99.851893479100681</v>
      </c>
      <c r="O50" s="399">
        <v>127.69848217760557</v>
      </c>
      <c r="P50" s="399">
        <v>129.07090475971864</v>
      </c>
      <c r="Q50" s="399">
        <v>81.870683810994436</v>
      </c>
      <c r="R50" s="400">
        <v>102.10730322456007</v>
      </c>
      <c r="S50" s="399">
        <v>135.9217163548588</v>
      </c>
      <c r="T50" s="399">
        <v>135.79581479043375</v>
      </c>
      <c r="U50" s="399">
        <v>84.401377556929347</v>
      </c>
      <c r="V50" s="400">
        <v>100.35233428030399</v>
      </c>
      <c r="W50" s="399">
        <v>117.80246943910522</v>
      </c>
      <c r="X50" s="399">
        <v>120.09526669642045</v>
      </c>
      <c r="Y50" s="399">
        <v>79.821854752302684</v>
      </c>
      <c r="Z50" s="400">
        <v>105.79042197539117</v>
      </c>
      <c r="AA50" s="399">
        <v>100.17778290357575</v>
      </c>
      <c r="AB50" s="399">
        <v>101.17266186660849</v>
      </c>
      <c r="AC50" s="399">
        <v>72.402875892836178</v>
      </c>
      <c r="AD50" s="400">
        <v>98.257687035455476</v>
      </c>
      <c r="AE50" s="399">
        <v>101.83525706309729</v>
      </c>
      <c r="AF50" s="399">
        <v>99.949791703314844</v>
      </c>
      <c r="AG50" s="399">
        <v>91.305289763495239</v>
      </c>
      <c r="AH50" s="400">
        <v>100.75200172294588</v>
      </c>
      <c r="AI50" s="399">
        <v>110.74536355402049</v>
      </c>
      <c r="AJ50" s="399">
        <v>99.74115865548184</v>
      </c>
      <c r="AK50" s="399">
        <v>70.126128617770917</v>
      </c>
      <c r="AL50" s="400">
        <v>95.992368241497189</v>
      </c>
      <c r="AM50" s="399">
        <v>123.05741662981792</v>
      </c>
      <c r="AN50" s="399">
        <v>123.21513360316752</v>
      </c>
      <c r="AO50" s="399">
        <v>84.104834154171158</v>
      </c>
      <c r="AP50" s="400">
        <v>99.579970107466949</v>
      </c>
      <c r="AQ50" s="399">
        <v>133.74526882535429</v>
      </c>
      <c r="AR50" s="399">
        <v>134.50647696788289</v>
      </c>
      <c r="AS50" s="399">
        <v>83.930411993076333</v>
      </c>
      <c r="AT50" s="400">
        <v>100.63746031325911</v>
      </c>
      <c r="AU50" s="399">
        <v>124.10913394422209</v>
      </c>
      <c r="AV50" s="399">
        <v>125.9370561921378</v>
      </c>
      <c r="AW50" s="399">
        <v>91.817490988979785</v>
      </c>
      <c r="AX50" s="400">
        <v>97.796016003030658</v>
      </c>
      <c r="AY50" s="399">
        <v>78.081984097992091</v>
      </c>
      <c r="AZ50" s="399">
        <v>75.516577967957716</v>
      </c>
      <c r="BA50" s="399">
        <v>77.186713229919576</v>
      </c>
      <c r="BB50" s="400">
        <v>86.950124642467742</v>
      </c>
    </row>
    <row r="51" spans="1:54" s="24" customFormat="1" x14ac:dyDescent="0.2">
      <c r="B51" s="20"/>
      <c r="C51" s="32"/>
      <c r="D51" s="32"/>
      <c r="E51" s="32"/>
      <c r="F51" s="32"/>
    </row>
    <row r="52" spans="1:54" s="24" customFormat="1" x14ac:dyDescent="0.2">
      <c r="A52" s="33"/>
      <c r="B52" s="34"/>
      <c r="C52" s="35"/>
      <c r="D52" s="35"/>
      <c r="E52" s="35"/>
      <c r="F52" s="380"/>
      <c r="G52" s="380"/>
      <c r="H52" s="379"/>
      <c r="I52" s="379"/>
      <c r="J52" s="379"/>
      <c r="K52" s="379"/>
      <c r="L52" s="379"/>
      <c r="M52" s="379"/>
      <c r="N52" s="379"/>
      <c r="O52" s="379"/>
      <c r="P52" s="379"/>
      <c r="Q52" s="379"/>
      <c r="R52" s="379"/>
      <c r="S52" s="379"/>
      <c r="T52" s="379"/>
      <c r="U52" s="379"/>
      <c r="V52" s="379"/>
      <c r="W52" s="379"/>
      <c r="X52" s="379"/>
      <c r="Y52" s="379"/>
      <c r="Z52" s="379"/>
      <c r="AA52" s="379"/>
      <c r="AB52" s="379"/>
      <c r="AC52" s="379"/>
      <c r="AD52" s="379"/>
      <c r="AE52" s="379"/>
      <c r="AF52" s="379"/>
      <c r="AG52" s="379"/>
      <c r="AH52" s="379"/>
      <c r="AI52" s="379"/>
      <c r="AJ52" s="379"/>
      <c r="AK52" s="379"/>
      <c r="AL52" s="379"/>
      <c r="AM52" s="379"/>
      <c r="AN52" s="379"/>
      <c r="AO52" s="379"/>
      <c r="AP52" s="379"/>
      <c r="AQ52" s="379"/>
      <c r="AR52" s="379"/>
      <c r="AS52" s="379"/>
      <c r="AT52" s="379"/>
      <c r="AU52" s="379"/>
      <c r="AV52" s="379"/>
      <c r="AW52" s="379"/>
      <c r="AX52" s="379"/>
      <c r="AY52" s="379"/>
      <c r="AZ52" s="379"/>
      <c r="BA52" s="379"/>
      <c r="BB52" s="381"/>
    </row>
    <row r="53" spans="1:54" s="39" customFormat="1" x14ac:dyDescent="0.2">
      <c r="A53" s="25"/>
      <c r="B53" s="267" t="s">
        <v>85</v>
      </c>
      <c r="C53" s="37"/>
      <c r="D53" s="37"/>
      <c r="E53" s="37"/>
      <c r="F53" s="9"/>
      <c r="G53" s="9"/>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382"/>
    </row>
    <row r="54" spans="1:54" x14ac:dyDescent="0.2">
      <c r="A54" s="40"/>
      <c r="B54" s="41" t="s">
        <v>17</v>
      </c>
      <c r="C54" s="42"/>
      <c r="D54" s="42"/>
      <c r="E54" s="42"/>
      <c r="F54" s="9"/>
      <c r="BB54" s="383"/>
    </row>
    <row r="55" spans="1:54" s="46" customFormat="1" ht="15" customHeight="1" x14ac:dyDescent="0.2">
      <c r="A55" s="16"/>
      <c r="B55" s="263" t="str">
        <f>'1.1 V.A Ing.real'!B45</f>
        <v>Actualizado el 15 de diciembre de 2021</v>
      </c>
      <c r="C55" s="44"/>
      <c r="D55" s="44"/>
      <c r="E55" s="44"/>
      <c r="F55" s="9"/>
      <c r="G55" s="9"/>
      <c r="BB55" s="384"/>
    </row>
    <row r="56" spans="1:54" x14ac:dyDescent="0.2">
      <c r="A56" s="47"/>
      <c r="B56" s="48"/>
      <c r="C56" s="49"/>
      <c r="D56" s="49"/>
      <c r="E56" s="49"/>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6"/>
    </row>
  </sheetData>
  <mergeCells count="17">
    <mergeCell ref="AQ15:AT15"/>
    <mergeCell ref="A7:F8"/>
    <mergeCell ref="B9:F9"/>
    <mergeCell ref="AU15:AX15"/>
    <mergeCell ref="AY15:BB15"/>
    <mergeCell ref="A15:A16"/>
    <mergeCell ref="B15:B16"/>
    <mergeCell ref="G15:J15"/>
    <mergeCell ref="C15:F15"/>
    <mergeCell ref="K15:N15"/>
    <mergeCell ref="O15:R15"/>
    <mergeCell ref="S15:V15"/>
    <mergeCell ref="W15:Z15"/>
    <mergeCell ref="AA15:AD15"/>
    <mergeCell ref="AE15:AH15"/>
    <mergeCell ref="AI15:AL15"/>
    <mergeCell ref="AM15:AP15"/>
  </mergeCells>
  <hyperlinks>
    <hyperlink ref="G3" location="Contenido!A1" display="Inicio" xr:uid="{00000000-0004-0000-1600-000000000000}"/>
  </hyperlinks>
  <printOptions horizontalCentered="1" verticalCentered="1"/>
  <pageMargins left="0.39370078740157483" right="0.39370078740157483" top="0.39370078740157483" bottom="0.19685039370078741" header="0" footer="0"/>
  <pageSetup scale="25"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F228"/>
  <sheetViews>
    <sheetView showGridLines="0" zoomScale="90" zoomScaleNormal="90" workbookViewId="0">
      <pane ySplit="14" topLeftCell="A15" activePane="bottomLeft" state="frozen"/>
      <selection pane="bottomLeft" activeCell="A7" sqref="A7:E8"/>
    </sheetView>
  </sheetViews>
  <sheetFormatPr baseColWidth="10" defaultColWidth="9.140625" defaultRowHeight="12" x14ac:dyDescent="0.2"/>
  <cols>
    <col min="1" max="1" width="7.42578125" style="9" bestFit="1" customWidth="1"/>
    <col min="2" max="2" width="18.42578125" style="51" customWidth="1"/>
    <col min="3" max="5" width="17.42578125" style="11" customWidth="1"/>
    <col min="6" max="16384" width="9.140625" style="9"/>
  </cols>
  <sheetData>
    <row r="1" spans="1:6" s="3" customFormat="1" ht="12" customHeight="1" x14ac:dyDescent="0.2">
      <c r="A1" s="5"/>
      <c r="B1" s="5"/>
      <c r="C1" s="5"/>
      <c r="D1" s="5"/>
      <c r="E1" s="5"/>
    </row>
    <row r="2" spans="1:6" s="6" customFormat="1" ht="16.5" x14ac:dyDescent="0.3">
      <c r="A2" s="5"/>
      <c r="B2" s="5"/>
      <c r="C2" s="5"/>
      <c r="D2" s="5"/>
      <c r="E2" s="5"/>
      <c r="F2" s="85"/>
    </row>
    <row r="3" spans="1:6" s="6" customFormat="1" ht="16.5" x14ac:dyDescent="0.3">
      <c r="A3" s="5"/>
      <c r="B3" s="5"/>
      <c r="C3" s="5"/>
      <c r="D3" s="5"/>
      <c r="E3" s="5"/>
      <c r="F3" s="88" t="s">
        <v>0</v>
      </c>
    </row>
    <row r="4" spans="1:6" s="6" customFormat="1" ht="16.5" x14ac:dyDescent="0.3">
      <c r="A4" s="5"/>
      <c r="B4" s="5"/>
      <c r="C4" s="5"/>
      <c r="D4" s="5"/>
      <c r="E4" s="5"/>
      <c r="F4" s="85"/>
    </row>
    <row r="5" spans="1:6" s="6" customFormat="1" ht="16.5" x14ac:dyDescent="0.3">
      <c r="A5" s="5"/>
      <c r="B5" s="5"/>
      <c r="C5" s="5"/>
      <c r="D5" s="5"/>
      <c r="E5" s="5"/>
      <c r="F5" s="85"/>
    </row>
    <row r="6" spans="1:6" s="6" customFormat="1" x14ac:dyDescent="0.2">
      <c r="A6" s="4"/>
      <c r="B6" s="5"/>
      <c r="C6" s="5"/>
      <c r="D6" s="5"/>
      <c r="E6" s="5"/>
      <c r="F6" s="28"/>
    </row>
    <row r="7" spans="1:6" s="6" customFormat="1" ht="15" customHeight="1" x14ac:dyDescent="0.2">
      <c r="A7" s="439" t="s">
        <v>4</v>
      </c>
      <c r="B7" s="439"/>
      <c r="C7" s="439"/>
      <c r="D7" s="439"/>
      <c r="E7" s="439"/>
    </row>
    <row r="8" spans="1:6" s="6" customFormat="1" ht="15" customHeight="1" x14ac:dyDescent="0.2">
      <c r="A8" s="439"/>
      <c r="B8" s="439"/>
      <c r="C8" s="439"/>
      <c r="D8" s="439"/>
      <c r="E8" s="439"/>
    </row>
    <row r="9" spans="1:6" s="3" customFormat="1" ht="15" customHeight="1" x14ac:dyDescent="0.2">
      <c r="A9" s="250"/>
      <c r="B9" s="441"/>
      <c r="C9" s="441"/>
      <c r="D9" s="441"/>
      <c r="E9" s="441"/>
    </row>
    <row r="10" spans="1:6" ht="15" customHeight="1" x14ac:dyDescent="0.2">
      <c r="A10" s="7" t="s">
        <v>148</v>
      </c>
      <c r="B10" s="251"/>
      <c r="C10" s="8"/>
      <c r="D10" s="8"/>
      <c r="E10" s="8"/>
    </row>
    <row r="11" spans="1:6" ht="15" customHeight="1" x14ac:dyDescent="0.2">
      <c r="A11" s="249" t="s">
        <v>173</v>
      </c>
      <c r="B11" s="251"/>
      <c r="C11" s="10"/>
      <c r="D11" s="10"/>
      <c r="E11" s="10"/>
    </row>
    <row r="12" spans="1:6" ht="15" customHeight="1" x14ac:dyDescent="0.2">
      <c r="A12" s="249" t="s">
        <v>53</v>
      </c>
      <c r="B12" s="251"/>
      <c r="C12" s="8"/>
      <c r="D12" s="8"/>
      <c r="E12" s="8"/>
    </row>
    <row r="13" spans="1:6" x14ac:dyDescent="0.2">
      <c r="A13" s="248"/>
      <c r="B13" s="249"/>
      <c r="C13" s="8"/>
      <c r="D13" s="8"/>
      <c r="E13" s="8"/>
    </row>
    <row r="14" spans="1:6" s="15" customFormat="1" ht="33.75" customHeight="1" x14ac:dyDescent="0.25">
      <c r="A14" s="377" t="s">
        <v>25</v>
      </c>
      <c r="B14" s="12" t="s">
        <v>43</v>
      </c>
      <c r="C14" s="13" t="s">
        <v>44</v>
      </c>
      <c r="D14" s="13" t="s">
        <v>45</v>
      </c>
      <c r="E14" s="14" t="s">
        <v>46</v>
      </c>
    </row>
    <row r="15" spans="1:6" s="15" customFormat="1" ht="15" customHeight="1" x14ac:dyDescent="0.2">
      <c r="A15" s="301">
        <v>2004</v>
      </c>
      <c r="B15" s="302" t="s">
        <v>8</v>
      </c>
      <c r="C15" s="303">
        <v>31.503501843067209</v>
      </c>
      <c r="D15" s="303">
        <v>53.232516105975328</v>
      </c>
      <c r="E15" s="304">
        <v>76.024244481367617</v>
      </c>
    </row>
    <row r="16" spans="1:6" s="15" customFormat="1" ht="15" customHeight="1" x14ac:dyDescent="0.2">
      <c r="A16" s="16"/>
      <c r="B16" s="17" t="s">
        <v>9</v>
      </c>
      <c r="C16" s="18">
        <v>30.944198366658867</v>
      </c>
      <c r="D16" s="18">
        <v>52.055833840223066</v>
      </c>
      <c r="E16" s="19">
        <v>74.457521310555407</v>
      </c>
    </row>
    <row r="17" spans="1:5" s="15" customFormat="1" ht="15" customHeight="1" x14ac:dyDescent="0.2">
      <c r="A17" s="16"/>
      <c r="B17" s="64" t="s">
        <v>10</v>
      </c>
      <c r="C17" s="65">
        <v>27.217933766723775</v>
      </c>
      <c r="D17" s="65">
        <v>47.087191267339847</v>
      </c>
      <c r="E17" s="66">
        <v>74.804350098315325</v>
      </c>
    </row>
    <row r="18" spans="1:5" s="15" customFormat="1" ht="15" customHeight="1" x14ac:dyDescent="0.2">
      <c r="A18" s="16"/>
      <c r="B18" s="17" t="s">
        <v>11</v>
      </c>
      <c r="C18" s="18">
        <v>28.942000714240368</v>
      </c>
      <c r="D18" s="18">
        <v>49.936218272572482</v>
      </c>
      <c r="E18" s="19">
        <v>74.386995747190795</v>
      </c>
    </row>
    <row r="19" spans="1:5" s="15" customFormat="1" ht="15" customHeight="1" x14ac:dyDescent="0.2">
      <c r="A19" s="16"/>
      <c r="B19" s="64" t="s">
        <v>12</v>
      </c>
      <c r="C19" s="65">
        <v>29.280314514408019</v>
      </c>
      <c r="D19" s="65">
        <v>51.056385009206963</v>
      </c>
      <c r="E19" s="66">
        <v>75.273876989454706</v>
      </c>
    </row>
    <row r="20" spans="1:5" s="15" customFormat="1" ht="15" customHeight="1" x14ac:dyDescent="0.2">
      <c r="A20" s="16"/>
      <c r="B20" s="17" t="s">
        <v>13</v>
      </c>
      <c r="C20" s="18">
        <v>31.279074900923852</v>
      </c>
      <c r="D20" s="18">
        <v>53.500256266572158</v>
      </c>
      <c r="E20" s="19">
        <v>76.09318539001535</v>
      </c>
    </row>
    <row r="21" spans="1:5" s="15" customFormat="1" ht="15" customHeight="1" x14ac:dyDescent="0.2">
      <c r="A21" s="63">
        <v>2005</v>
      </c>
      <c r="B21" s="64" t="s">
        <v>47</v>
      </c>
      <c r="C21" s="65">
        <v>34.590805568298784</v>
      </c>
      <c r="D21" s="65">
        <v>55.438008076489396</v>
      </c>
      <c r="E21" s="66">
        <v>76.313332086498917</v>
      </c>
    </row>
    <row r="22" spans="1:5" s="15" customFormat="1" ht="15" customHeight="1" x14ac:dyDescent="0.2">
      <c r="A22" s="16"/>
      <c r="B22" s="20" t="s">
        <v>48</v>
      </c>
      <c r="C22" s="21">
        <v>27.437029223931404</v>
      </c>
      <c r="D22" s="21">
        <v>44.694772954973423</v>
      </c>
      <c r="E22" s="22">
        <v>73.068245605363046</v>
      </c>
    </row>
    <row r="23" spans="1:5" s="15" customFormat="1" ht="15" customHeight="1" x14ac:dyDescent="0.2">
      <c r="A23" s="16"/>
      <c r="B23" s="64" t="s">
        <v>49</v>
      </c>
      <c r="C23" s="65">
        <v>31.193369317775172</v>
      </c>
      <c r="D23" s="65">
        <v>50.020405111058977</v>
      </c>
      <c r="E23" s="66">
        <v>75.260396405950885</v>
      </c>
    </row>
    <row r="24" spans="1:5" s="15" customFormat="1" ht="15" customHeight="1" x14ac:dyDescent="0.2">
      <c r="A24" s="16"/>
      <c r="B24" s="20" t="s">
        <v>14</v>
      </c>
      <c r="C24" s="21">
        <v>27.530336325153879</v>
      </c>
      <c r="D24" s="21">
        <v>43.940616442689517</v>
      </c>
      <c r="E24" s="22">
        <v>74.751700604040039</v>
      </c>
    </row>
    <row r="25" spans="1:5" s="15" customFormat="1" ht="15" customHeight="1" x14ac:dyDescent="0.2">
      <c r="A25" s="16"/>
      <c r="B25" s="64" t="s">
        <v>15</v>
      </c>
      <c r="C25" s="65">
        <v>28.610241561312275</v>
      </c>
      <c r="D25" s="65">
        <v>46.86036622860739</v>
      </c>
      <c r="E25" s="66">
        <v>75.426256050267227</v>
      </c>
    </row>
    <row r="26" spans="1:5" s="15" customFormat="1" ht="15" customHeight="1" x14ac:dyDescent="0.2">
      <c r="A26" s="16"/>
      <c r="B26" s="20" t="s">
        <v>16</v>
      </c>
      <c r="C26" s="21">
        <v>29.695075360931042</v>
      </c>
      <c r="D26" s="21">
        <v>47.783340637491293</v>
      </c>
      <c r="E26" s="22">
        <v>76.588672693118923</v>
      </c>
    </row>
    <row r="27" spans="1:5" s="15" customFormat="1" ht="15" customHeight="1" x14ac:dyDescent="0.2">
      <c r="A27" s="16"/>
      <c r="B27" s="64" t="s">
        <v>8</v>
      </c>
      <c r="C27" s="65">
        <v>35.25914213618266</v>
      </c>
      <c r="D27" s="65">
        <v>56.351639231552618</v>
      </c>
      <c r="E27" s="66">
        <v>78.31394114899237</v>
      </c>
    </row>
    <row r="28" spans="1:5" s="15" customFormat="1" ht="15" customHeight="1" x14ac:dyDescent="0.2">
      <c r="A28" s="16"/>
      <c r="B28" s="20" t="s">
        <v>9</v>
      </c>
      <c r="C28" s="21">
        <v>34.988031496460984</v>
      </c>
      <c r="D28" s="21">
        <v>55.562562664844428</v>
      </c>
      <c r="E28" s="22">
        <v>77.964692373055982</v>
      </c>
    </row>
    <row r="29" spans="1:5" s="15" customFormat="1" ht="15" customHeight="1" x14ac:dyDescent="0.2">
      <c r="A29" s="16"/>
      <c r="B29" s="64" t="s">
        <v>10</v>
      </c>
      <c r="C29" s="65">
        <v>31.077510413044045</v>
      </c>
      <c r="D29" s="65">
        <v>50.621925175242311</v>
      </c>
      <c r="E29" s="66">
        <v>77.016872262128445</v>
      </c>
    </row>
    <row r="30" spans="1:5" s="15" customFormat="1" ht="15" customHeight="1" x14ac:dyDescent="0.2">
      <c r="A30" s="16"/>
      <c r="B30" s="20" t="s">
        <v>11</v>
      </c>
      <c r="C30" s="21">
        <v>32.009065737884768</v>
      </c>
      <c r="D30" s="21">
        <v>52.122529386274934</v>
      </c>
      <c r="E30" s="22">
        <v>77.733382022831293</v>
      </c>
    </row>
    <row r="31" spans="1:5" s="15" customFormat="1" ht="15" customHeight="1" x14ac:dyDescent="0.2">
      <c r="A31" s="16"/>
      <c r="B31" s="64" t="s">
        <v>12</v>
      </c>
      <c r="C31" s="65">
        <v>34.659360157352388</v>
      </c>
      <c r="D31" s="65">
        <v>56.762545898984733</v>
      </c>
      <c r="E31" s="66">
        <v>78.86977659222724</v>
      </c>
    </row>
    <row r="32" spans="1:5" s="15" customFormat="1" ht="15" customHeight="1" x14ac:dyDescent="0.2">
      <c r="A32" s="16"/>
      <c r="B32" s="20" t="s">
        <v>13</v>
      </c>
      <c r="C32" s="21">
        <v>37.124092058915863</v>
      </c>
      <c r="D32" s="21">
        <v>59.47676495554262</v>
      </c>
      <c r="E32" s="22">
        <v>80.668725147402341</v>
      </c>
    </row>
    <row r="33" spans="1:5" ht="15" customHeight="1" x14ac:dyDescent="0.2">
      <c r="A33" s="63">
        <v>2006</v>
      </c>
      <c r="B33" s="64" t="s">
        <v>47</v>
      </c>
      <c r="C33" s="65">
        <v>38.931760365171201</v>
      </c>
      <c r="D33" s="65">
        <v>58.518902197141529</v>
      </c>
      <c r="E33" s="66">
        <v>80.68567597469297</v>
      </c>
    </row>
    <row r="34" spans="1:5" ht="15" customHeight="1" x14ac:dyDescent="0.2">
      <c r="A34" s="16"/>
      <c r="B34" s="20" t="s">
        <v>48</v>
      </c>
      <c r="C34" s="21">
        <v>31.372054404124405</v>
      </c>
      <c r="D34" s="21">
        <v>48.950472270910183</v>
      </c>
      <c r="E34" s="22">
        <v>77.500995577299122</v>
      </c>
    </row>
    <row r="35" spans="1:5" ht="15" customHeight="1" x14ac:dyDescent="0.2">
      <c r="A35" s="16"/>
      <c r="B35" s="64" t="s">
        <v>49</v>
      </c>
      <c r="C35" s="65">
        <v>33.175541405136293</v>
      </c>
      <c r="D35" s="65">
        <v>51.162062698421515</v>
      </c>
      <c r="E35" s="66">
        <v>79.019220616246116</v>
      </c>
    </row>
    <row r="36" spans="1:5" ht="15" customHeight="1" x14ac:dyDescent="0.2">
      <c r="A36" s="16"/>
      <c r="B36" s="20" t="s">
        <v>14</v>
      </c>
      <c r="C36" s="21">
        <v>33.887347346881754</v>
      </c>
      <c r="D36" s="21">
        <v>51.954882431554381</v>
      </c>
      <c r="E36" s="22">
        <v>79.334302650053189</v>
      </c>
    </row>
    <row r="37" spans="1:5" ht="15" customHeight="1" x14ac:dyDescent="0.2">
      <c r="A37" s="16"/>
      <c r="B37" s="64" t="s">
        <v>15</v>
      </c>
      <c r="C37" s="65">
        <v>30.46251335264488</v>
      </c>
      <c r="D37" s="65">
        <v>47.716512765124612</v>
      </c>
      <c r="E37" s="66">
        <v>79.013958787962736</v>
      </c>
    </row>
    <row r="38" spans="1:5" ht="15" customHeight="1" x14ac:dyDescent="0.2">
      <c r="A38" s="16"/>
      <c r="B38" s="20" t="s">
        <v>16</v>
      </c>
      <c r="C38" s="21">
        <v>34.765987844829283</v>
      </c>
      <c r="D38" s="21">
        <v>53.672329629718135</v>
      </c>
      <c r="E38" s="22">
        <v>80.331013819062747</v>
      </c>
    </row>
    <row r="39" spans="1:5" ht="15" customHeight="1" x14ac:dyDescent="0.2">
      <c r="A39" s="16"/>
      <c r="B39" s="64" t="s">
        <v>8</v>
      </c>
      <c r="C39" s="65">
        <v>40.721492536362938</v>
      </c>
      <c r="D39" s="65">
        <v>62.360856170508413</v>
      </c>
      <c r="E39" s="66">
        <v>81.168740256477307</v>
      </c>
    </row>
    <row r="40" spans="1:5" ht="15" customHeight="1" x14ac:dyDescent="0.2">
      <c r="A40" s="16"/>
      <c r="B40" s="20" t="s">
        <v>9</v>
      </c>
      <c r="C40" s="21">
        <v>41.705044408103241</v>
      </c>
      <c r="D40" s="21">
        <v>63.688078031262783</v>
      </c>
      <c r="E40" s="22">
        <v>81.369332208224662</v>
      </c>
    </row>
    <row r="41" spans="1:5" ht="15" customHeight="1" x14ac:dyDescent="0.2">
      <c r="A41" s="16"/>
      <c r="B41" s="64" t="s">
        <v>10</v>
      </c>
      <c r="C41" s="65">
        <v>37.030853368327634</v>
      </c>
      <c r="D41" s="65">
        <v>58.007362168455984</v>
      </c>
      <c r="E41" s="66">
        <v>80.907715763326792</v>
      </c>
    </row>
    <row r="42" spans="1:5" ht="15" customHeight="1" x14ac:dyDescent="0.2">
      <c r="A42" s="16"/>
      <c r="B42" s="20" t="s">
        <v>11</v>
      </c>
      <c r="C42" s="21">
        <v>38.048877387933437</v>
      </c>
      <c r="D42" s="21">
        <v>59.43814550411782</v>
      </c>
      <c r="E42" s="22">
        <v>81.420078672647094</v>
      </c>
    </row>
    <row r="43" spans="1:5" ht="15" customHeight="1" x14ac:dyDescent="0.2">
      <c r="A43" s="16"/>
      <c r="B43" s="64" t="s">
        <v>12</v>
      </c>
      <c r="C43" s="65">
        <v>38.631620863757661</v>
      </c>
      <c r="D43" s="65">
        <v>60.231521946771949</v>
      </c>
      <c r="E43" s="66">
        <v>81.667345267004151</v>
      </c>
    </row>
    <row r="44" spans="1:5" ht="15" customHeight="1" x14ac:dyDescent="0.2">
      <c r="A44" s="16"/>
      <c r="B44" s="20" t="s">
        <v>13</v>
      </c>
      <c r="C44" s="21">
        <v>40.327845430809155</v>
      </c>
      <c r="D44" s="21">
        <v>61.424088123578748</v>
      </c>
      <c r="E44" s="22">
        <v>82.976942564481149</v>
      </c>
    </row>
    <row r="45" spans="1:5" ht="15" customHeight="1" x14ac:dyDescent="0.2">
      <c r="A45" s="63">
        <v>2007</v>
      </c>
      <c r="B45" s="64" t="s">
        <v>47</v>
      </c>
      <c r="C45" s="65">
        <v>44.067285652381855</v>
      </c>
      <c r="D45" s="65">
        <v>63.5133959207161</v>
      </c>
      <c r="E45" s="66">
        <v>81.126466384195638</v>
      </c>
    </row>
    <row r="46" spans="1:5" ht="15" customHeight="1" x14ac:dyDescent="0.2">
      <c r="A46" s="16"/>
      <c r="B46" s="20" t="s">
        <v>48</v>
      </c>
      <c r="C46" s="21">
        <v>36.32194819265235</v>
      </c>
      <c r="D46" s="21">
        <v>53.384071816560564</v>
      </c>
      <c r="E46" s="22">
        <v>78.663802549567052</v>
      </c>
    </row>
    <row r="47" spans="1:5" ht="15" customHeight="1" x14ac:dyDescent="0.2">
      <c r="A47" s="16"/>
      <c r="B47" s="64" t="s">
        <v>49</v>
      </c>
      <c r="C47" s="65">
        <v>39.832588131471731</v>
      </c>
      <c r="D47" s="65">
        <v>57.785447133896291</v>
      </c>
      <c r="E47" s="66">
        <v>79.533317331929339</v>
      </c>
    </row>
    <row r="48" spans="1:5" ht="15" customHeight="1" x14ac:dyDescent="0.2">
      <c r="A48" s="16"/>
      <c r="B48" s="20" t="s">
        <v>14</v>
      </c>
      <c r="C48" s="21">
        <v>37.236654600514555</v>
      </c>
      <c r="D48" s="21">
        <v>53.838943063085935</v>
      </c>
      <c r="E48" s="22">
        <v>80.083884331547324</v>
      </c>
    </row>
    <row r="49" spans="1:5" ht="15" customHeight="1" x14ac:dyDescent="0.2">
      <c r="A49" s="16"/>
      <c r="B49" s="64" t="s">
        <v>15</v>
      </c>
      <c r="C49" s="65">
        <v>36.545620183629168</v>
      </c>
      <c r="D49" s="65">
        <v>53.955826187540268</v>
      </c>
      <c r="E49" s="66">
        <v>80.495320581745403</v>
      </c>
    </row>
    <row r="50" spans="1:5" ht="15" customHeight="1" x14ac:dyDescent="0.2">
      <c r="A50" s="16"/>
      <c r="B50" s="20" t="s">
        <v>16</v>
      </c>
      <c r="C50" s="21">
        <v>39.929846097370508</v>
      </c>
      <c r="D50" s="21">
        <v>58.069658691414936</v>
      </c>
      <c r="E50" s="22">
        <v>82.211012929590936</v>
      </c>
    </row>
    <row r="51" spans="1:5" ht="15" customHeight="1" x14ac:dyDescent="0.2">
      <c r="A51" s="16"/>
      <c r="B51" s="64" t="s">
        <v>8</v>
      </c>
      <c r="C51" s="65">
        <v>44.566567671682193</v>
      </c>
      <c r="D51" s="65">
        <v>64.618608180943639</v>
      </c>
      <c r="E51" s="66">
        <v>83.638848369335435</v>
      </c>
    </row>
    <row r="52" spans="1:5" ht="15" customHeight="1" x14ac:dyDescent="0.2">
      <c r="A52" s="16"/>
      <c r="B52" s="20" t="s">
        <v>9</v>
      </c>
      <c r="C52" s="21">
        <v>44.55864122664633</v>
      </c>
      <c r="D52" s="21">
        <v>64.456532364955947</v>
      </c>
      <c r="E52" s="22">
        <v>83.029045361765313</v>
      </c>
    </row>
    <row r="53" spans="1:5" ht="15" customHeight="1" x14ac:dyDescent="0.2">
      <c r="A53" s="16"/>
      <c r="B53" s="64" t="s">
        <v>10</v>
      </c>
      <c r="C53" s="65">
        <v>39.68715153316721</v>
      </c>
      <c r="D53" s="65">
        <v>58.766057561976318</v>
      </c>
      <c r="E53" s="66">
        <v>81.545764952649222</v>
      </c>
    </row>
    <row r="54" spans="1:5" ht="15" customHeight="1" x14ac:dyDescent="0.2">
      <c r="A54" s="16"/>
      <c r="B54" s="20" t="s">
        <v>11</v>
      </c>
      <c r="C54" s="21">
        <v>41.321277818877626</v>
      </c>
      <c r="D54" s="21">
        <v>61.022338371874568</v>
      </c>
      <c r="E54" s="22">
        <v>82.447099337064685</v>
      </c>
    </row>
    <row r="55" spans="1:5" ht="15" customHeight="1" x14ac:dyDescent="0.2">
      <c r="A55" s="16"/>
      <c r="B55" s="64" t="s">
        <v>12</v>
      </c>
      <c r="C55" s="65">
        <v>43.617438473621142</v>
      </c>
      <c r="D55" s="65">
        <v>64.61427234150554</v>
      </c>
      <c r="E55" s="66">
        <v>83.838559906425587</v>
      </c>
    </row>
    <row r="56" spans="1:5" ht="15" customHeight="1" x14ac:dyDescent="0.2">
      <c r="A56" s="16"/>
      <c r="B56" s="20" t="s">
        <v>13</v>
      </c>
      <c r="C56" s="21">
        <v>43.185092036289262</v>
      </c>
      <c r="D56" s="21">
        <v>62.601308413652063</v>
      </c>
      <c r="E56" s="22">
        <v>85.028620503093819</v>
      </c>
    </row>
    <row r="57" spans="1:5" ht="15" customHeight="1" x14ac:dyDescent="0.2">
      <c r="A57" s="63">
        <v>2008</v>
      </c>
      <c r="B57" s="64" t="s">
        <v>47</v>
      </c>
      <c r="C57" s="65">
        <v>47.016840077352946</v>
      </c>
      <c r="D57" s="65">
        <v>63.901031082124639</v>
      </c>
      <c r="E57" s="66">
        <v>83.949941574998931</v>
      </c>
    </row>
    <row r="58" spans="1:5" ht="15" customHeight="1" x14ac:dyDescent="0.2">
      <c r="A58" s="16"/>
      <c r="B58" s="20" t="s">
        <v>48</v>
      </c>
      <c r="C58" s="21">
        <v>42.320924238392152</v>
      </c>
      <c r="D58" s="21">
        <v>58.988103276988134</v>
      </c>
      <c r="E58" s="22">
        <v>81.14472403526841</v>
      </c>
    </row>
    <row r="59" spans="1:5" ht="15" customHeight="1" x14ac:dyDescent="0.2">
      <c r="A59" s="16"/>
      <c r="B59" s="64" t="s">
        <v>49</v>
      </c>
      <c r="C59" s="65">
        <v>42.826590332714424</v>
      </c>
      <c r="D59" s="65">
        <v>58.68580796985934</v>
      </c>
      <c r="E59" s="66">
        <v>83.147153298246366</v>
      </c>
    </row>
    <row r="60" spans="1:5" ht="15" customHeight="1" x14ac:dyDescent="0.2">
      <c r="A60" s="16"/>
      <c r="B60" s="20" t="s">
        <v>14</v>
      </c>
      <c r="C60" s="21">
        <v>41.005564253546602</v>
      </c>
      <c r="D60" s="21">
        <v>55.714262117756043</v>
      </c>
      <c r="E60" s="22">
        <v>81.608294602777306</v>
      </c>
    </row>
    <row r="61" spans="1:5" ht="15" customHeight="1" x14ac:dyDescent="0.2">
      <c r="A61" s="16"/>
      <c r="B61" s="64" t="s">
        <v>15</v>
      </c>
      <c r="C61" s="65">
        <v>41.578856131924042</v>
      </c>
      <c r="D61" s="65">
        <v>57.346571615027067</v>
      </c>
      <c r="E61" s="66">
        <v>82.238382179771747</v>
      </c>
    </row>
    <row r="62" spans="1:5" ht="15" customHeight="1" x14ac:dyDescent="0.2">
      <c r="A62" s="16"/>
      <c r="B62" s="20" t="s">
        <v>16</v>
      </c>
      <c r="C62" s="21">
        <v>43.409253240909514</v>
      </c>
      <c r="D62" s="21">
        <v>59.005058458458755</v>
      </c>
      <c r="E62" s="22">
        <v>83.043893698116861</v>
      </c>
    </row>
    <row r="63" spans="1:5" ht="15" customHeight="1" x14ac:dyDescent="0.2">
      <c r="A63" s="16"/>
      <c r="B63" s="64" t="s">
        <v>8</v>
      </c>
      <c r="C63" s="65">
        <v>44.198570023222274</v>
      </c>
      <c r="D63" s="65">
        <v>59.588229619850658</v>
      </c>
      <c r="E63" s="66">
        <v>82.75482645310727</v>
      </c>
    </row>
    <row r="64" spans="1:5" ht="15" customHeight="1" x14ac:dyDescent="0.2">
      <c r="A64" s="16"/>
      <c r="B64" s="20" t="s">
        <v>9</v>
      </c>
      <c r="C64" s="21">
        <v>46.262670502970948</v>
      </c>
      <c r="D64" s="21">
        <v>62.040950106496908</v>
      </c>
      <c r="E64" s="22">
        <v>82.813987159216765</v>
      </c>
    </row>
    <row r="65" spans="1:5" ht="15" customHeight="1" x14ac:dyDescent="0.2">
      <c r="A65" s="16"/>
      <c r="B65" s="64" t="s">
        <v>10</v>
      </c>
      <c r="C65" s="65">
        <v>43.470489368736459</v>
      </c>
      <c r="D65" s="65">
        <v>59.800729751140942</v>
      </c>
      <c r="E65" s="66">
        <v>82.312640653657084</v>
      </c>
    </row>
    <row r="66" spans="1:5" ht="15" customHeight="1" x14ac:dyDescent="0.2">
      <c r="A66" s="16"/>
      <c r="B66" s="20" t="s">
        <v>11</v>
      </c>
      <c r="C66" s="21">
        <v>48.044190018393209</v>
      </c>
      <c r="D66" s="21">
        <v>65.932555976910024</v>
      </c>
      <c r="E66" s="22">
        <v>82.346350554521393</v>
      </c>
    </row>
    <row r="67" spans="1:5" ht="15" customHeight="1" x14ac:dyDescent="0.2">
      <c r="A67" s="16"/>
      <c r="B67" s="64" t="s">
        <v>12</v>
      </c>
      <c r="C67" s="65">
        <v>45.929877666774757</v>
      </c>
      <c r="D67" s="65">
        <v>63.176842737891825</v>
      </c>
      <c r="E67" s="66">
        <v>83.518402862598649</v>
      </c>
    </row>
    <row r="68" spans="1:5" ht="15" customHeight="1" x14ac:dyDescent="0.2">
      <c r="A68" s="16"/>
      <c r="B68" s="20" t="s">
        <v>13</v>
      </c>
      <c r="C68" s="21">
        <v>47.712828538930822</v>
      </c>
      <c r="D68" s="21">
        <v>64.187058215115243</v>
      </c>
      <c r="E68" s="22">
        <v>84.178168697539846</v>
      </c>
    </row>
    <row r="69" spans="1:5" ht="15" customHeight="1" x14ac:dyDescent="0.2">
      <c r="A69" s="63">
        <v>2009</v>
      </c>
      <c r="B69" s="64" t="s">
        <v>47</v>
      </c>
      <c r="C69" s="65">
        <v>48.730653288106531</v>
      </c>
      <c r="D69" s="65">
        <v>61.292223189555457</v>
      </c>
      <c r="E69" s="66">
        <v>82.123003916404272</v>
      </c>
    </row>
    <row r="70" spans="1:5" ht="15" customHeight="1" x14ac:dyDescent="0.2">
      <c r="A70" s="16"/>
      <c r="B70" s="20" t="s">
        <v>48</v>
      </c>
      <c r="C70" s="21">
        <v>40.529081739870044</v>
      </c>
      <c r="D70" s="21">
        <v>51.348249704923816</v>
      </c>
      <c r="E70" s="22">
        <v>78.356957910976803</v>
      </c>
    </row>
    <row r="71" spans="1:5" ht="15" customHeight="1" x14ac:dyDescent="0.2">
      <c r="A71" s="16"/>
      <c r="B71" s="64" t="s">
        <v>49</v>
      </c>
      <c r="C71" s="65">
        <v>42.070001155705292</v>
      </c>
      <c r="D71" s="65">
        <v>52.515027070571797</v>
      </c>
      <c r="E71" s="66">
        <v>79.35371274358171</v>
      </c>
    </row>
    <row r="72" spans="1:5" ht="15" customHeight="1" x14ac:dyDescent="0.2">
      <c r="A72" s="16"/>
      <c r="B72" s="20" t="s">
        <v>14</v>
      </c>
      <c r="C72" s="21">
        <v>42.099398426049177</v>
      </c>
      <c r="D72" s="21">
        <v>52.516448373866702</v>
      </c>
      <c r="E72" s="22">
        <v>80.725914766472727</v>
      </c>
    </row>
    <row r="73" spans="1:5" ht="15" customHeight="1" x14ac:dyDescent="0.2">
      <c r="A73" s="16"/>
      <c r="B73" s="64" t="s">
        <v>15</v>
      </c>
      <c r="C73" s="65">
        <v>40.190033382601875</v>
      </c>
      <c r="D73" s="65">
        <v>51.290432012163251</v>
      </c>
      <c r="E73" s="66">
        <v>80.650776232460174</v>
      </c>
    </row>
    <row r="74" spans="1:5" ht="15" customHeight="1" x14ac:dyDescent="0.2">
      <c r="A74" s="16"/>
      <c r="B74" s="20" t="s">
        <v>16</v>
      </c>
      <c r="C74" s="21">
        <v>44.361227089790574</v>
      </c>
      <c r="D74" s="21">
        <v>56.123105388303323</v>
      </c>
      <c r="E74" s="22">
        <v>82.271050307123943</v>
      </c>
    </row>
    <row r="75" spans="1:5" ht="15" customHeight="1" x14ac:dyDescent="0.2">
      <c r="A75" s="16"/>
      <c r="B75" s="64" t="s">
        <v>8</v>
      </c>
      <c r="C75" s="65">
        <v>46.664810800892944</v>
      </c>
      <c r="D75" s="65">
        <v>58.811278627099462</v>
      </c>
      <c r="E75" s="66">
        <v>83.121178317084244</v>
      </c>
    </row>
    <row r="76" spans="1:5" ht="15" customHeight="1" x14ac:dyDescent="0.2">
      <c r="A76" s="16"/>
      <c r="B76" s="20" t="s">
        <v>9</v>
      </c>
      <c r="C76" s="21">
        <v>46.514780117170758</v>
      </c>
      <c r="D76" s="21">
        <v>58.645402894646224</v>
      </c>
      <c r="E76" s="22">
        <v>82.830370486216324</v>
      </c>
    </row>
    <row r="77" spans="1:5" ht="15" customHeight="1" x14ac:dyDescent="0.2">
      <c r="A77" s="16"/>
      <c r="B77" s="64" t="s">
        <v>10</v>
      </c>
      <c r="C77" s="65">
        <v>43.344883436776747</v>
      </c>
      <c r="D77" s="65">
        <v>56.127125990678934</v>
      </c>
      <c r="E77" s="66">
        <v>81.849753425473779</v>
      </c>
    </row>
    <row r="78" spans="1:5" ht="15" customHeight="1" x14ac:dyDescent="0.2">
      <c r="A78" s="16"/>
      <c r="B78" s="20" t="s">
        <v>11</v>
      </c>
      <c r="C78" s="21">
        <v>47.218649463598773</v>
      </c>
      <c r="D78" s="21">
        <v>60.805101102774408</v>
      </c>
      <c r="E78" s="22">
        <v>82.843134562072308</v>
      </c>
    </row>
    <row r="79" spans="1:5" ht="15" customHeight="1" x14ac:dyDescent="0.2">
      <c r="A79" s="16"/>
      <c r="B79" s="64" t="s">
        <v>12</v>
      </c>
      <c r="C79" s="65">
        <v>45.642655981042537</v>
      </c>
      <c r="D79" s="65">
        <v>58.932331474739875</v>
      </c>
      <c r="E79" s="66">
        <v>84.060574081304352</v>
      </c>
    </row>
    <row r="80" spans="1:5" ht="15" customHeight="1" x14ac:dyDescent="0.2">
      <c r="A80" s="16"/>
      <c r="B80" s="20" t="s">
        <v>13</v>
      </c>
      <c r="C80" s="21">
        <v>48.53470509143321</v>
      </c>
      <c r="D80" s="21">
        <v>61.447908164925565</v>
      </c>
      <c r="E80" s="22">
        <v>85.418162292021194</v>
      </c>
    </row>
    <row r="81" spans="1:5" ht="15" customHeight="1" x14ac:dyDescent="0.2">
      <c r="A81" s="63">
        <v>2010</v>
      </c>
      <c r="B81" s="64" t="s">
        <v>47</v>
      </c>
      <c r="C81" s="65">
        <v>49.277859068323231</v>
      </c>
      <c r="D81" s="65">
        <v>58.864499260569801</v>
      </c>
      <c r="E81" s="66">
        <v>84.366160717061433</v>
      </c>
    </row>
    <row r="82" spans="1:5" ht="15" customHeight="1" x14ac:dyDescent="0.2">
      <c r="A82" s="16"/>
      <c r="B82" s="20" t="s">
        <v>48</v>
      </c>
      <c r="C82" s="21">
        <v>42.296141880678</v>
      </c>
      <c r="D82" s="21">
        <v>52.050652967365878</v>
      </c>
      <c r="E82" s="22">
        <v>80.935101521514653</v>
      </c>
    </row>
    <row r="83" spans="1:5" ht="15" customHeight="1" x14ac:dyDescent="0.2">
      <c r="A83" s="16"/>
      <c r="B83" s="64" t="s">
        <v>49</v>
      </c>
      <c r="C83" s="65">
        <v>46.371615149198313</v>
      </c>
      <c r="D83" s="65">
        <v>56.851028532418511</v>
      </c>
      <c r="E83" s="66">
        <v>82.124400545548141</v>
      </c>
    </row>
    <row r="84" spans="1:5" ht="15" customHeight="1" x14ac:dyDescent="0.2">
      <c r="A84" s="16"/>
      <c r="B84" s="20" t="s">
        <v>14</v>
      </c>
      <c r="C84" s="21">
        <v>43.851583017638944</v>
      </c>
      <c r="D84" s="21">
        <v>53.990647029276154</v>
      </c>
      <c r="E84" s="22">
        <v>81.591667397907827</v>
      </c>
    </row>
    <row r="85" spans="1:5" ht="15" customHeight="1" x14ac:dyDescent="0.2">
      <c r="A85" s="16"/>
      <c r="B85" s="64" t="s">
        <v>15</v>
      </c>
      <c r="C85" s="65">
        <v>42.836551840583198</v>
      </c>
      <c r="D85" s="65">
        <v>53.967724304125326</v>
      </c>
      <c r="E85" s="66">
        <v>81.335278480971382</v>
      </c>
    </row>
    <row r="86" spans="1:5" ht="15" customHeight="1" x14ac:dyDescent="0.2">
      <c r="A86" s="16"/>
      <c r="B86" s="20" t="s">
        <v>16</v>
      </c>
      <c r="C86" s="21">
        <v>44.160088218645257</v>
      </c>
      <c r="D86" s="21">
        <v>54.688815174383805</v>
      </c>
      <c r="E86" s="22">
        <v>82.028712606921445</v>
      </c>
    </row>
    <row r="87" spans="1:5" ht="15" customHeight="1" x14ac:dyDescent="0.2">
      <c r="A87" s="16"/>
      <c r="B87" s="64" t="s">
        <v>8</v>
      </c>
      <c r="C87" s="65">
        <v>51.400991464088804</v>
      </c>
      <c r="D87" s="65">
        <v>63.377327028814804</v>
      </c>
      <c r="E87" s="66">
        <v>82.864311455016932</v>
      </c>
    </row>
    <row r="88" spans="1:5" s="23" customFormat="1" ht="15" customHeight="1" x14ac:dyDescent="0.2">
      <c r="A88" s="16"/>
      <c r="B88" s="20" t="s">
        <v>9</v>
      </c>
      <c r="C88" s="21">
        <v>52.066290501000914</v>
      </c>
      <c r="D88" s="21">
        <v>64.167301635244598</v>
      </c>
      <c r="E88" s="22">
        <v>83.640133193592888</v>
      </c>
    </row>
    <row r="89" spans="1:5" s="23" customFormat="1" ht="15" customHeight="1" x14ac:dyDescent="0.2">
      <c r="A89" s="16"/>
      <c r="B89" s="64" t="s">
        <v>10</v>
      </c>
      <c r="C89" s="65">
        <v>47.353461860074304</v>
      </c>
      <c r="D89" s="65">
        <v>59.949533649132441</v>
      </c>
      <c r="E89" s="66">
        <v>83.773824428856614</v>
      </c>
    </row>
    <row r="90" spans="1:5" ht="15" customHeight="1" x14ac:dyDescent="0.2">
      <c r="A90" s="16"/>
      <c r="B90" s="20" t="s">
        <v>11</v>
      </c>
      <c r="C90" s="21">
        <v>51.286487116938417</v>
      </c>
      <c r="D90" s="21">
        <v>64.753945076258958</v>
      </c>
      <c r="E90" s="22">
        <v>85.921581463880813</v>
      </c>
    </row>
    <row r="91" spans="1:5" ht="15" customHeight="1" x14ac:dyDescent="0.2">
      <c r="A91" s="16"/>
      <c r="B91" s="64" t="s">
        <v>12</v>
      </c>
      <c r="C91" s="65">
        <v>50.778637971121221</v>
      </c>
      <c r="D91" s="65">
        <v>63.772300642513279</v>
      </c>
      <c r="E91" s="66">
        <v>86.084456481622581</v>
      </c>
    </row>
    <row r="92" spans="1:5" ht="15" customHeight="1" x14ac:dyDescent="0.2">
      <c r="A92" s="16"/>
      <c r="B92" s="20" t="s">
        <v>13</v>
      </c>
      <c r="C92" s="21">
        <v>48.540230749715143</v>
      </c>
      <c r="D92" s="21">
        <v>59.599602361396634</v>
      </c>
      <c r="E92" s="22">
        <v>87.285982914191806</v>
      </c>
    </row>
    <row r="93" spans="1:5" ht="15" customHeight="1" x14ac:dyDescent="0.2">
      <c r="A93" s="63">
        <v>2011</v>
      </c>
      <c r="B93" s="64" t="s">
        <v>47</v>
      </c>
      <c r="C93" s="65">
        <v>51.475253218525438</v>
      </c>
      <c r="D93" s="65">
        <v>59.653520226288961</v>
      </c>
      <c r="E93" s="66">
        <v>85.259600652295418</v>
      </c>
    </row>
    <row r="94" spans="1:5" ht="15" customHeight="1" x14ac:dyDescent="0.2">
      <c r="A94" s="16"/>
      <c r="B94" s="20" t="s">
        <v>48</v>
      </c>
      <c r="C94" s="21">
        <v>45.082935779331564</v>
      </c>
      <c r="D94" s="21">
        <v>54.112913348118866</v>
      </c>
      <c r="E94" s="22">
        <v>82.285857767034074</v>
      </c>
    </row>
    <row r="95" spans="1:5" ht="15" customHeight="1" x14ac:dyDescent="0.2">
      <c r="A95" s="16"/>
      <c r="B95" s="64" t="s">
        <v>49</v>
      </c>
      <c r="C95" s="65">
        <v>51.454550125890997</v>
      </c>
      <c r="D95" s="65">
        <v>61.117221963159338</v>
      </c>
      <c r="E95" s="66">
        <v>83.253271605268566</v>
      </c>
    </row>
    <row r="96" spans="1:5" ht="15" customHeight="1" x14ac:dyDescent="0.2">
      <c r="A96" s="16"/>
      <c r="B96" s="20" t="s">
        <v>14</v>
      </c>
      <c r="C96" s="21">
        <v>47.250266206000276</v>
      </c>
      <c r="D96" s="21">
        <v>56.004294224832456</v>
      </c>
      <c r="E96" s="22">
        <v>83.373751544017068</v>
      </c>
    </row>
    <row r="97" spans="1:5" ht="15" customHeight="1" x14ac:dyDescent="0.2">
      <c r="A97" s="16"/>
      <c r="B97" s="64" t="s">
        <v>15</v>
      </c>
      <c r="C97" s="65">
        <v>48.170582172993306</v>
      </c>
      <c r="D97" s="65">
        <v>58.747193901860811</v>
      </c>
      <c r="E97" s="66">
        <v>83.418229588944811</v>
      </c>
    </row>
    <row r="98" spans="1:5" ht="15" customHeight="1" x14ac:dyDescent="0.2">
      <c r="A98" s="16"/>
      <c r="B98" s="20" t="s">
        <v>16</v>
      </c>
      <c r="C98" s="21">
        <v>51.982668089704866</v>
      </c>
      <c r="D98" s="21">
        <v>62.559638492426174</v>
      </c>
      <c r="E98" s="22">
        <v>84.780512113797371</v>
      </c>
    </row>
    <row r="99" spans="1:5" ht="15" customHeight="1" x14ac:dyDescent="0.2">
      <c r="A99" s="16"/>
      <c r="B99" s="64" t="s">
        <v>8</v>
      </c>
      <c r="C99" s="65">
        <v>55.048620270383218</v>
      </c>
      <c r="D99" s="65">
        <v>66.527712662049154</v>
      </c>
      <c r="E99" s="66">
        <v>86.0026608886307</v>
      </c>
    </row>
    <row r="100" spans="1:5" ht="15" customHeight="1" x14ac:dyDescent="0.2">
      <c r="A100" s="16"/>
      <c r="B100" s="20" t="s">
        <v>9</v>
      </c>
      <c r="C100" s="21">
        <v>57.160857530462337</v>
      </c>
      <c r="D100" s="21">
        <v>68.769273373903701</v>
      </c>
      <c r="E100" s="22">
        <v>85.978436072232157</v>
      </c>
    </row>
    <row r="101" spans="1:5" ht="15" customHeight="1" x14ac:dyDescent="0.2">
      <c r="A101" s="16"/>
      <c r="B101" s="64" t="s">
        <v>10</v>
      </c>
      <c r="C101" s="65">
        <v>53.853030825493427</v>
      </c>
      <c r="D101" s="65">
        <v>66.353011096778829</v>
      </c>
      <c r="E101" s="66">
        <v>85.410089523502407</v>
      </c>
    </row>
    <row r="102" spans="1:5" ht="15" customHeight="1" x14ac:dyDescent="0.2">
      <c r="A102" s="16"/>
      <c r="B102" s="20" t="s">
        <v>11</v>
      </c>
      <c r="C102" s="21">
        <v>54.396793099886629</v>
      </c>
      <c r="D102" s="21">
        <v>66.883593018897642</v>
      </c>
      <c r="E102" s="22">
        <v>86.567494959071823</v>
      </c>
    </row>
    <row r="103" spans="1:5" ht="15" customHeight="1" x14ac:dyDescent="0.2">
      <c r="A103" s="16"/>
      <c r="B103" s="64" t="s">
        <v>12</v>
      </c>
      <c r="C103" s="65">
        <v>59.437018471943382</v>
      </c>
      <c r="D103" s="65">
        <v>73.179934801244045</v>
      </c>
      <c r="E103" s="66">
        <v>87.631732907157826</v>
      </c>
    </row>
    <row r="104" spans="1:5" ht="15" customHeight="1" x14ac:dyDescent="0.2">
      <c r="A104" s="16"/>
      <c r="B104" s="20" t="s">
        <v>13</v>
      </c>
      <c r="C104" s="21">
        <v>56.482254946353542</v>
      </c>
      <c r="D104" s="21">
        <v>67.784402600450449</v>
      </c>
      <c r="E104" s="22">
        <v>88.381691010909634</v>
      </c>
    </row>
    <row r="105" spans="1:5" ht="15" customHeight="1" x14ac:dyDescent="0.2">
      <c r="A105" s="63">
        <v>2012</v>
      </c>
      <c r="B105" s="64" t="s">
        <v>47</v>
      </c>
      <c r="C105" s="65">
        <v>58.52938606377721</v>
      </c>
      <c r="D105" s="65">
        <v>66.801639692878041</v>
      </c>
      <c r="E105" s="66">
        <v>86.80239470258401</v>
      </c>
    </row>
    <row r="106" spans="1:5" ht="15" customHeight="1" x14ac:dyDescent="0.2">
      <c r="A106" s="16"/>
      <c r="B106" s="20" t="s">
        <v>48</v>
      </c>
      <c r="C106" s="21">
        <v>52.18057253651785</v>
      </c>
      <c r="D106" s="21">
        <v>61.164923407234042</v>
      </c>
      <c r="E106" s="22">
        <v>84.271215159779672</v>
      </c>
    </row>
    <row r="107" spans="1:5" ht="15" customHeight="1" x14ac:dyDescent="0.2">
      <c r="A107" s="16"/>
      <c r="B107" s="64" t="s">
        <v>49</v>
      </c>
      <c r="C107" s="65">
        <v>56.111083963717277</v>
      </c>
      <c r="D107" s="65">
        <v>64.896890091969922</v>
      </c>
      <c r="E107" s="66">
        <v>85.923732375251063</v>
      </c>
    </row>
    <row r="108" spans="1:5" ht="15" customHeight="1" x14ac:dyDescent="0.2">
      <c r="A108" s="16"/>
      <c r="B108" s="20" t="s">
        <v>14</v>
      </c>
      <c r="C108" s="21">
        <v>54.851984662185778</v>
      </c>
      <c r="D108" s="21">
        <v>63.879329671052574</v>
      </c>
      <c r="E108" s="22">
        <v>86.307948916067488</v>
      </c>
    </row>
    <row r="109" spans="1:5" ht="15" customHeight="1" x14ac:dyDescent="0.2">
      <c r="A109" s="16"/>
      <c r="B109" s="64" t="s">
        <v>15</v>
      </c>
      <c r="C109" s="65">
        <v>51.7864757470387</v>
      </c>
      <c r="D109" s="65">
        <v>62.063810667597842</v>
      </c>
      <c r="E109" s="66">
        <v>85.572429695085631</v>
      </c>
    </row>
    <row r="110" spans="1:5" ht="15" customHeight="1" x14ac:dyDescent="0.2">
      <c r="A110" s="16"/>
      <c r="B110" s="20" t="s">
        <v>16</v>
      </c>
      <c r="C110" s="21">
        <v>56.937934986029916</v>
      </c>
      <c r="D110" s="21">
        <v>67.277331832720179</v>
      </c>
      <c r="E110" s="22">
        <v>86.87903395676922</v>
      </c>
    </row>
    <row r="111" spans="1:5" ht="15" customHeight="1" x14ac:dyDescent="0.2">
      <c r="A111" s="16"/>
      <c r="B111" s="64" t="s">
        <v>8</v>
      </c>
      <c r="C111" s="65">
        <v>58.903694473617968</v>
      </c>
      <c r="D111" s="65">
        <v>69.607808272740414</v>
      </c>
      <c r="E111" s="66">
        <v>88.781271471768363</v>
      </c>
    </row>
    <row r="112" spans="1:5" ht="15" customHeight="1" x14ac:dyDescent="0.2">
      <c r="A112" s="16"/>
      <c r="B112" s="20" t="s">
        <v>9</v>
      </c>
      <c r="C112" s="21">
        <v>57.969142585745878</v>
      </c>
      <c r="D112" s="21">
        <v>68.487946041983733</v>
      </c>
      <c r="E112" s="22">
        <v>88.139513381909836</v>
      </c>
    </row>
    <row r="113" spans="1:5" ht="15" customHeight="1" x14ac:dyDescent="0.2">
      <c r="A113" s="16"/>
      <c r="B113" s="64" t="s">
        <v>10</v>
      </c>
      <c r="C113" s="65">
        <v>56.891127797065479</v>
      </c>
      <c r="D113" s="65">
        <v>68.945453170781391</v>
      </c>
      <c r="E113" s="66">
        <v>88.287743389886586</v>
      </c>
    </row>
    <row r="114" spans="1:5" ht="15" customHeight="1" x14ac:dyDescent="0.2">
      <c r="A114" s="16"/>
      <c r="B114" s="20" t="s">
        <v>11</v>
      </c>
      <c r="C114" s="21">
        <v>60.020953029745499</v>
      </c>
      <c r="D114" s="21">
        <v>72.530553809741875</v>
      </c>
      <c r="E114" s="22">
        <v>88.985260264390149</v>
      </c>
    </row>
    <row r="115" spans="1:5" ht="15" customHeight="1" x14ac:dyDescent="0.2">
      <c r="A115" s="16"/>
      <c r="B115" s="64" t="s">
        <v>12</v>
      </c>
      <c r="C115" s="65">
        <v>62.186270168907278</v>
      </c>
      <c r="D115" s="65">
        <v>75.249144404195491</v>
      </c>
      <c r="E115" s="66">
        <v>89.722980036171663</v>
      </c>
    </row>
    <row r="116" spans="1:5" ht="15" customHeight="1" x14ac:dyDescent="0.2">
      <c r="A116" s="16"/>
      <c r="B116" s="20" t="s">
        <v>13</v>
      </c>
      <c r="C116" s="21">
        <v>59.649803604189479</v>
      </c>
      <c r="D116" s="21">
        <v>70.388039273866255</v>
      </c>
      <c r="E116" s="22">
        <v>90.718227095116674</v>
      </c>
    </row>
    <row r="117" spans="1:5" ht="15" customHeight="1" x14ac:dyDescent="0.2">
      <c r="A117" s="63">
        <v>2013</v>
      </c>
      <c r="B117" s="64" t="s">
        <v>47</v>
      </c>
      <c r="C117" s="65">
        <v>59.001429709946734</v>
      </c>
      <c r="D117" s="65">
        <v>65.76061648917441</v>
      </c>
      <c r="E117" s="66">
        <v>87.706147675058332</v>
      </c>
    </row>
    <row r="118" spans="1:5" ht="15" customHeight="1" x14ac:dyDescent="0.2">
      <c r="A118" s="16"/>
      <c r="B118" s="20" t="s">
        <v>48</v>
      </c>
      <c r="C118" s="21">
        <v>53.856237076816498</v>
      </c>
      <c r="D118" s="21">
        <v>62.042866832028878</v>
      </c>
      <c r="E118" s="22">
        <v>85.361916774755286</v>
      </c>
    </row>
    <row r="119" spans="1:5" ht="15" customHeight="1" x14ac:dyDescent="0.2">
      <c r="A119" s="16"/>
      <c r="B119" s="64" t="s">
        <v>49</v>
      </c>
      <c r="C119" s="65">
        <v>57.087863483309327</v>
      </c>
      <c r="D119" s="65">
        <v>64.696362562280811</v>
      </c>
      <c r="E119" s="66">
        <v>86.55056139134301</v>
      </c>
    </row>
    <row r="120" spans="1:5" ht="15" customHeight="1" x14ac:dyDescent="0.2">
      <c r="A120" s="16"/>
      <c r="B120" s="20" t="s">
        <v>14</v>
      </c>
      <c r="C120" s="21">
        <v>52.906985065725991</v>
      </c>
      <c r="D120" s="21">
        <v>60.018318046678083</v>
      </c>
      <c r="E120" s="22">
        <v>86.217051872311202</v>
      </c>
    </row>
    <row r="121" spans="1:5" ht="15" customHeight="1" x14ac:dyDescent="0.2">
      <c r="A121" s="16"/>
      <c r="B121" s="64" t="s">
        <v>15</v>
      </c>
      <c r="C121" s="65">
        <v>56.183288316358485</v>
      </c>
      <c r="D121" s="65">
        <v>65.174794096500065</v>
      </c>
      <c r="E121" s="66">
        <v>87.05460018272997</v>
      </c>
    </row>
    <row r="122" spans="1:5" ht="15" customHeight="1" x14ac:dyDescent="0.2">
      <c r="A122" s="16"/>
      <c r="B122" s="20" t="s">
        <v>16</v>
      </c>
      <c r="C122" s="21">
        <v>57.832888887904041</v>
      </c>
      <c r="D122" s="21">
        <v>66.153675622893275</v>
      </c>
      <c r="E122" s="22">
        <v>88.832466534954676</v>
      </c>
    </row>
    <row r="123" spans="1:5" ht="15" customHeight="1" x14ac:dyDescent="0.2">
      <c r="A123" s="16"/>
      <c r="B123" s="64" t="s">
        <v>8</v>
      </c>
      <c r="C123" s="65">
        <v>62.598856846864685</v>
      </c>
      <c r="D123" s="65">
        <v>71.307644538928614</v>
      </c>
      <c r="E123" s="66">
        <v>88.257946587475828</v>
      </c>
    </row>
    <row r="124" spans="1:5" ht="15" customHeight="1" x14ac:dyDescent="0.2">
      <c r="A124" s="16"/>
      <c r="B124" s="20" t="s">
        <v>9</v>
      </c>
      <c r="C124" s="21">
        <v>59.63617589978881</v>
      </c>
      <c r="D124" s="21">
        <v>67.851142755722975</v>
      </c>
      <c r="E124" s="22">
        <v>88.352310372846944</v>
      </c>
    </row>
    <row r="125" spans="1:5" ht="15" customHeight="1" x14ac:dyDescent="0.2">
      <c r="A125" s="16"/>
      <c r="B125" s="64" t="s">
        <v>10</v>
      </c>
      <c r="C125" s="65">
        <v>60.533896561598922</v>
      </c>
      <c r="D125" s="65">
        <v>70.558918780076141</v>
      </c>
      <c r="E125" s="66">
        <v>89.1401416858007</v>
      </c>
    </row>
    <row r="126" spans="1:5" ht="15" customHeight="1" x14ac:dyDescent="0.2">
      <c r="A126" s="16"/>
      <c r="B126" s="20" t="s">
        <v>11</v>
      </c>
      <c r="C126" s="21">
        <v>66.457348114994389</v>
      </c>
      <c r="D126" s="21">
        <v>76.992008001232463</v>
      </c>
      <c r="E126" s="22">
        <v>90.462554257699821</v>
      </c>
    </row>
    <row r="127" spans="1:5" ht="15" customHeight="1" x14ac:dyDescent="0.2">
      <c r="A127" s="16"/>
      <c r="B127" s="64" t="s">
        <v>12</v>
      </c>
      <c r="C127" s="65">
        <v>65.679113344144895</v>
      </c>
      <c r="D127" s="65">
        <v>76.226515520358333</v>
      </c>
      <c r="E127" s="66">
        <v>90.921986537270868</v>
      </c>
    </row>
    <row r="128" spans="1:5" ht="15" customHeight="1" x14ac:dyDescent="0.2">
      <c r="A128" s="16"/>
      <c r="B128" s="20" t="s">
        <v>13</v>
      </c>
      <c r="C128" s="21">
        <v>63.452274405538233</v>
      </c>
      <c r="D128" s="21">
        <v>72.147426775633264</v>
      </c>
      <c r="E128" s="22">
        <v>91.50187803550574</v>
      </c>
    </row>
    <row r="129" spans="1:5" ht="15" customHeight="1" x14ac:dyDescent="0.2">
      <c r="A129" s="63">
        <v>2014</v>
      </c>
      <c r="B129" s="64" t="s">
        <v>47</v>
      </c>
      <c r="C129" s="65">
        <v>63.02532407133392</v>
      </c>
      <c r="D129" s="65">
        <v>68.661794019182466</v>
      </c>
      <c r="E129" s="66">
        <v>91.004162712727791</v>
      </c>
    </row>
    <row r="130" spans="1:5" ht="15" customHeight="1" x14ac:dyDescent="0.2">
      <c r="A130" s="16"/>
      <c r="B130" s="20" t="s">
        <v>48</v>
      </c>
      <c r="C130" s="21">
        <v>56.405052861633543</v>
      </c>
      <c r="D130" s="21">
        <v>63.409240982527137</v>
      </c>
      <c r="E130" s="22">
        <v>88.294623685911262</v>
      </c>
    </row>
    <row r="131" spans="1:5" ht="15" customHeight="1" x14ac:dyDescent="0.2">
      <c r="A131" s="16"/>
      <c r="B131" s="64" t="s">
        <v>49</v>
      </c>
      <c r="C131" s="65">
        <v>61.987023241078539</v>
      </c>
      <c r="D131" s="65">
        <v>69.33170910893196</v>
      </c>
      <c r="E131" s="66">
        <v>90.341581448017152</v>
      </c>
    </row>
    <row r="132" spans="1:5" ht="15" customHeight="1" x14ac:dyDescent="0.2">
      <c r="A132" s="16"/>
      <c r="B132" s="20" t="s">
        <v>14</v>
      </c>
      <c r="C132" s="21">
        <v>59.44411362984313</v>
      </c>
      <c r="D132" s="21">
        <v>66.495781589837151</v>
      </c>
      <c r="E132" s="22">
        <v>91.542673418808732</v>
      </c>
    </row>
    <row r="133" spans="1:5" ht="15" customHeight="1" x14ac:dyDescent="0.2">
      <c r="A133" s="16"/>
      <c r="B133" s="64" t="s">
        <v>15</v>
      </c>
      <c r="C133" s="65">
        <v>59.900101335233188</v>
      </c>
      <c r="D133" s="65">
        <v>68.369867654739593</v>
      </c>
      <c r="E133" s="66">
        <v>91.31763571556715</v>
      </c>
    </row>
    <row r="134" spans="1:5" ht="15" customHeight="1" x14ac:dyDescent="0.2">
      <c r="A134" s="16"/>
      <c r="B134" s="20" t="s">
        <v>16</v>
      </c>
      <c r="C134" s="21">
        <v>60.064269563562995</v>
      </c>
      <c r="D134" s="21">
        <v>67.898040542501064</v>
      </c>
      <c r="E134" s="22">
        <v>91.879418180201043</v>
      </c>
    </row>
    <row r="135" spans="1:5" ht="15" customHeight="1" x14ac:dyDescent="0.2">
      <c r="A135" s="16"/>
      <c r="B135" s="64" t="s">
        <v>8</v>
      </c>
      <c r="C135" s="65">
        <v>62.919898736149385</v>
      </c>
      <c r="D135" s="65">
        <v>70.844692476406237</v>
      </c>
      <c r="E135" s="66">
        <v>91.799722169558763</v>
      </c>
    </row>
    <row r="136" spans="1:5" ht="15" customHeight="1" x14ac:dyDescent="0.2">
      <c r="A136" s="16"/>
      <c r="B136" s="20" t="s">
        <v>9</v>
      </c>
      <c r="C136" s="21">
        <v>66.783346769993869</v>
      </c>
      <c r="D136" s="21">
        <v>75.222742464687173</v>
      </c>
      <c r="E136" s="22">
        <v>93.338062719573529</v>
      </c>
    </row>
    <row r="137" spans="1:5" ht="15" customHeight="1" x14ac:dyDescent="0.2">
      <c r="A137" s="16"/>
      <c r="B137" s="64" t="s">
        <v>10</v>
      </c>
      <c r="C137" s="65">
        <v>63.915614760360924</v>
      </c>
      <c r="D137" s="65">
        <v>73.836464239666157</v>
      </c>
      <c r="E137" s="66">
        <v>93.336743788714969</v>
      </c>
    </row>
    <row r="138" spans="1:5" ht="15" customHeight="1" x14ac:dyDescent="0.2">
      <c r="A138" s="16"/>
      <c r="B138" s="20" t="s">
        <v>11</v>
      </c>
      <c r="C138" s="21">
        <v>71.232779464934154</v>
      </c>
      <c r="D138" s="21">
        <v>81.976810653144753</v>
      </c>
      <c r="E138" s="22">
        <v>94.692679462975903</v>
      </c>
    </row>
    <row r="139" spans="1:5" ht="15" customHeight="1" x14ac:dyDescent="0.2">
      <c r="A139" s="16"/>
      <c r="B139" s="64" t="s">
        <v>12</v>
      </c>
      <c r="C139" s="65">
        <v>71.115448570395543</v>
      </c>
      <c r="D139" s="65">
        <v>81.853592259435203</v>
      </c>
      <c r="E139" s="66">
        <v>96.194728976827321</v>
      </c>
    </row>
    <row r="140" spans="1:5" s="24" customFormat="1" ht="15" customHeight="1" x14ac:dyDescent="0.2">
      <c r="A140" s="16"/>
      <c r="B140" s="20" t="s">
        <v>13</v>
      </c>
      <c r="C140" s="21">
        <v>72.153012037261831</v>
      </c>
      <c r="D140" s="21">
        <v>81.211611770773104</v>
      </c>
      <c r="E140" s="22">
        <v>97.031016355227408</v>
      </c>
    </row>
    <row r="141" spans="1:5" s="24" customFormat="1" ht="13.5" customHeight="1" x14ac:dyDescent="0.2">
      <c r="A141" s="63">
        <v>2015</v>
      </c>
      <c r="B141" s="64" t="s">
        <v>47</v>
      </c>
      <c r="C141" s="65">
        <v>70.738853099032212</v>
      </c>
      <c r="D141" s="65">
        <v>76.247082007407514</v>
      </c>
      <c r="E141" s="66">
        <v>96.065137148600911</v>
      </c>
    </row>
    <row r="142" spans="1:5" s="24" customFormat="1" ht="15" customHeight="1" x14ac:dyDescent="0.2">
      <c r="A142" s="16"/>
      <c r="B142" s="20" t="s">
        <v>48</v>
      </c>
      <c r="C142" s="21">
        <v>62.721614616066844</v>
      </c>
      <c r="D142" s="21">
        <v>69.465258698669857</v>
      </c>
      <c r="E142" s="22">
        <v>93.327674148330118</v>
      </c>
    </row>
    <row r="143" spans="1:5" s="24" customFormat="1" ht="15" customHeight="1" x14ac:dyDescent="0.2">
      <c r="A143" s="16"/>
      <c r="B143" s="64" t="s">
        <v>49</v>
      </c>
      <c r="C143" s="65">
        <v>68.215054571343671</v>
      </c>
      <c r="D143" s="65">
        <v>74.359397186786566</v>
      </c>
      <c r="E143" s="66">
        <v>93.026598620883121</v>
      </c>
    </row>
    <row r="144" spans="1:5" s="24" customFormat="1" ht="15" customHeight="1" x14ac:dyDescent="0.2">
      <c r="A144" s="16"/>
      <c r="B144" s="20" t="s">
        <v>14</v>
      </c>
      <c r="C144" s="21">
        <v>64.938296788280113</v>
      </c>
      <c r="D144" s="21">
        <v>70.669309079427578</v>
      </c>
      <c r="E144" s="22">
        <v>93.653764773659645</v>
      </c>
    </row>
    <row r="145" spans="1:5" s="24" customFormat="1" ht="15" customHeight="1" x14ac:dyDescent="0.2">
      <c r="A145" s="16"/>
      <c r="B145" s="64" t="s">
        <v>15</v>
      </c>
      <c r="C145" s="65">
        <v>65.136795215491958</v>
      </c>
      <c r="D145" s="65">
        <v>71.937216904562362</v>
      </c>
      <c r="E145" s="66">
        <v>94.774386605661249</v>
      </c>
    </row>
    <row r="146" spans="1:5" s="24" customFormat="1" ht="15" customHeight="1" x14ac:dyDescent="0.2">
      <c r="A146" s="16"/>
      <c r="B146" s="20" t="s">
        <v>16</v>
      </c>
      <c r="C146" s="21">
        <v>68.654051342319079</v>
      </c>
      <c r="D146" s="21">
        <v>74.919773731395992</v>
      </c>
      <c r="E146" s="22">
        <v>96.177206795272738</v>
      </c>
    </row>
    <row r="147" spans="1:5" ht="15" customHeight="1" x14ac:dyDescent="0.2">
      <c r="A147" s="16"/>
      <c r="B147" s="64" t="s">
        <v>8</v>
      </c>
      <c r="C147" s="65">
        <v>75.558538077896102</v>
      </c>
      <c r="D147" s="65">
        <v>82.074693426338769</v>
      </c>
      <c r="E147" s="66">
        <v>96.484675421859421</v>
      </c>
    </row>
    <row r="148" spans="1:5" s="24" customFormat="1" ht="15" customHeight="1" x14ac:dyDescent="0.2">
      <c r="A148" s="16"/>
      <c r="B148" s="20" t="s">
        <v>9</v>
      </c>
      <c r="C148" s="21">
        <v>75.44321512222848</v>
      </c>
      <c r="D148" s="21">
        <v>81.622464133831087</v>
      </c>
      <c r="E148" s="22">
        <v>97.24394583623058</v>
      </c>
    </row>
    <row r="149" spans="1:5" s="24" customFormat="1" ht="15" customHeight="1" x14ac:dyDescent="0.2">
      <c r="A149" s="16"/>
      <c r="B149" s="64" t="s">
        <v>10</v>
      </c>
      <c r="C149" s="65">
        <v>74.544718032955814</v>
      </c>
      <c r="D149" s="65">
        <v>82.979619333628321</v>
      </c>
      <c r="E149" s="66">
        <v>97.868440366522051</v>
      </c>
    </row>
    <row r="150" spans="1:5" ht="15" customHeight="1" x14ac:dyDescent="0.2">
      <c r="A150" s="16"/>
      <c r="B150" s="20" t="s">
        <v>11</v>
      </c>
      <c r="C150" s="21">
        <v>80.051599242208795</v>
      </c>
      <c r="D150" s="21">
        <v>88.8389667166348</v>
      </c>
      <c r="E150" s="22">
        <v>99.907282129439636</v>
      </c>
    </row>
    <row r="151" spans="1:5" ht="15" customHeight="1" x14ac:dyDescent="0.2">
      <c r="A151" s="16"/>
      <c r="B151" s="64" t="s">
        <v>12</v>
      </c>
      <c r="C151" s="65">
        <v>81.431296958557212</v>
      </c>
      <c r="D151" s="65">
        <v>90.242634227919226</v>
      </c>
      <c r="E151" s="66">
        <v>100.44959293405913</v>
      </c>
    </row>
    <row r="152" spans="1:5" s="24" customFormat="1" ht="15" customHeight="1" x14ac:dyDescent="0.2">
      <c r="A152" s="16"/>
      <c r="B152" s="20" t="s">
        <v>13</v>
      </c>
      <c r="C152" s="21">
        <v>85.607658801036521</v>
      </c>
      <c r="D152" s="21">
        <v>92.482115119494651</v>
      </c>
      <c r="E152" s="22">
        <v>101.44755427394637</v>
      </c>
    </row>
    <row r="153" spans="1:5" s="24" customFormat="1" ht="15" customHeight="1" x14ac:dyDescent="0.2">
      <c r="A153" s="63">
        <v>2016</v>
      </c>
      <c r="B153" s="64" t="s">
        <v>47</v>
      </c>
      <c r="C153" s="65">
        <v>83.162806151226306</v>
      </c>
      <c r="D153" s="65">
        <v>86.010461000513658</v>
      </c>
      <c r="E153" s="66">
        <v>98.923725533869714</v>
      </c>
    </row>
    <row r="154" spans="1:5" s="24" customFormat="1" ht="15" customHeight="1" x14ac:dyDescent="0.2">
      <c r="A154" s="16"/>
      <c r="B154" s="20" t="s">
        <v>48</v>
      </c>
      <c r="C154" s="21">
        <v>74.23773175665383</v>
      </c>
      <c r="D154" s="21">
        <v>78.494276946848814</v>
      </c>
      <c r="E154" s="22">
        <v>96.895587460685093</v>
      </c>
    </row>
    <row r="155" spans="1:5" s="24" customFormat="1" ht="15" customHeight="1" x14ac:dyDescent="0.2">
      <c r="A155" s="16"/>
      <c r="B155" s="64" t="s">
        <v>49</v>
      </c>
      <c r="C155" s="65">
        <v>79.250296883130346</v>
      </c>
      <c r="D155" s="65">
        <v>82.872913979702076</v>
      </c>
      <c r="E155" s="66">
        <v>98.4888255034965</v>
      </c>
    </row>
    <row r="156" spans="1:5" s="24" customFormat="1" ht="15" customHeight="1" x14ac:dyDescent="0.2">
      <c r="A156" s="16"/>
      <c r="B156" s="20" t="s">
        <v>14</v>
      </c>
      <c r="C156" s="21">
        <v>70.940559101591546</v>
      </c>
      <c r="D156" s="21">
        <v>74.280293926680855</v>
      </c>
      <c r="E156" s="22">
        <v>97.321298962072817</v>
      </c>
    </row>
    <row r="157" spans="1:5" s="24" customFormat="1" ht="15" customHeight="1" x14ac:dyDescent="0.2">
      <c r="A157" s="16"/>
      <c r="B157" s="64" t="s">
        <v>15</v>
      </c>
      <c r="C157" s="65">
        <v>70.995383911937537</v>
      </c>
      <c r="D157" s="65">
        <v>75.913027609647145</v>
      </c>
      <c r="E157" s="66">
        <v>97.56986662458894</v>
      </c>
    </row>
    <row r="158" spans="1:5" s="24" customFormat="1" ht="15" customHeight="1" x14ac:dyDescent="0.2">
      <c r="A158" s="16"/>
      <c r="B158" s="20" t="s">
        <v>16</v>
      </c>
      <c r="C158" s="21">
        <v>76.978868042383482</v>
      </c>
      <c r="D158" s="21">
        <v>80.727322887213788</v>
      </c>
      <c r="E158" s="22">
        <v>98.24081314458526</v>
      </c>
    </row>
    <row r="159" spans="1:5" s="24" customFormat="1" ht="15" customHeight="1" x14ac:dyDescent="0.2">
      <c r="A159" s="16"/>
      <c r="B159" s="64" t="s">
        <v>8</v>
      </c>
      <c r="C159" s="65">
        <v>78.009290288716443</v>
      </c>
      <c r="D159" s="65">
        <v>81.614503041469717</v>
      </c>
      <c r="E159" s="66">
        <v>98.461099087392498</v>
      </c>
    </row>
    <row r="160" spans="1:5" s="24" customFormat="1" ht="15" customHeight="1" x14ac:dyDescent="0.2">
      <c r="A160" s="16"/>
      <c r="B160" s="20" t="s">
        <v>9</v>
      </c>
      <c r="C160" s="21">
        <v>82.411397470858148</v>
      </c>
      <c r="D160" s="21">
        <v>86.294179580595113</v>
      </c>
      <c r="E160" s="22">
        <v>98.730893766717685</v>
      </c>
    </row>
    <row r="161" spans="1:5" s="24" customFormat="1" ht="15" customHeight="1" x14ac:dyDescent="0.2">
      <c r="A161" s="16"/>
      <c r="B161" s="64" t="s">
        <v>10</v>
      </c>
      <c r="C161" s="65">
        <v>82.190489672036477</v>
      </c>
      <c r="D161" s="65">
        <v>87.892009939070121</v>
      </c>
      <c r="E161" s="66">
        <v>99.407478564082226</v>
      </c>
    </row>
    <row r="162" spans="1:5" s="24" customFormat="1" ht="15" customHeight="1" x14ac:dyDescent="0.2">
      <c r="A162" s="16"/>
      <c r="B162" s="20" t="s">
        <v>11</v>
      </c>
      <c r="C162" s="21">
        <v>83.832035074476238</v>
      </c>
      <c r="D162" s="21">
        <v>89.125818572207564</v>
      </c>
      <c r="E162" s="22">
        <v>100.68867603449364</v>
      </c>
    </row>
    <row r="163" spans="1:5" s="24" customFormat="1" ht="15" customHeight="1" x14ac:dyDescent="0.2">
      <c r="A163" s="16"/>
      <c r="B163" s="64" t="s">
        <v>12</v>
      </c>
      <c r="C163" s="65">
        <v>87.032403422308207</v>
      </c>
      <c r="D163" s="65">
        <v>92.209107452964176</v>
      </c>
      <c r="E163" s="66">
        <v>101.53369945389581</v>
      </c>
    </row>
    <row r="164" spans="1:5" s="24" customFormat="1" ht="15" customHeight="1" x14ac:dyDescent="0.2">
      <c r="A164" s="16"/>
      <c r="B164" s="20" t="s">
        <v>13</v>
      </c>
      <c r="C164" s="21">
        <v>86.898172377744757</v>
      </c>
      <c r="D164" s="21">
        <v>90.084874754164602</v>
      </c>
      <c r="E164" s="22">
        <v>102.05660235334149</v>
      </c>
    </row>
    <row r="165" spans="1:5" s="24" customFormat="1" ht="15" customHeight="1" x14ac:dyDescent="0.2">
      <c r="A165" s="63">
        <v>2017</v>
      </c>
      <c r="B165" s="64" t="s">
        <v>47</v>
      </c>
      <c r="C165" s="65">
        <v>84.47908080144596</v>
      </c>
      <c r="D165" s="65">
        <v>83.879866468463803</v>
      </c>
      <c r="E165" s="66">
        <v>99.342479706853297</v>
      </c>
    </row>
    <row r="166" spans="1:5" s="24" customFormat="1" ht="15" customHeight="1" x14ac:dyDescent="0.2">
      <c r="A166" s="16"/>
      <c r="B166" s="20" t="s">
        <v>48</v>
      </c>
      <c r="C166" s="21">
        <v>74.40209517970257</v>
      </c>
      <c r="D166" s="21">
        <v>75.665750966510615</v>
      </c>
      <c r="E166" s="22">
        <v>97.561881387931123</v>
      </c>
    </row>
    <row r="167" spans="1:5" s="24" customFormat="1" ht="15" customHeight="1" x14ac:dyDescent="0.2">
      <c r="A167" s="16"/>
      <c r="B167" s="64" t="s">
        <v>49</v>
      </c>
      <c r="C167" s="65">
        <v>81.81849534188008</v>
      </c>
      <c r="D167" s="65">
        <v>81.823871205303035</v>
      </c>
      <c r="E167" s="66">
        <v>98.333277830559339</v>
      </c>
    </row>
    <row r="168" spans="1:5" s="24" customFormat="1" ht="15" customHeight="1" x14ac:dyDescent="0.2">
      <c r="A168" s="16"/>
      <c r="B168" s="20" t="s">
        <v>14</v>
      </c>
      <c r="C168" s="21">
        <v>75.928757189426904</v>
      </c>
      <c r="D168" s="21">
        <v>75.530717859585323</v>
      </c>
      <c r="E168" s="22">
        <v>99.484225199673304</v>
      </c>
    </row>
    <row r="169" spans="1:5" s="24" customFormat="1" ht="15" customHeight="1" x14ac:dyDescent="0.2">
      <c r="A169" s="16"/>
      <c r="B169" s="64" t="s">
        <v>15</v>
      </c>
      <c r="C169" s="65">
        <v>75.301584522790435</v>
      </c>
      <c r="D169" s="65">
        <v>76.526548694361381</v>
      </c>
      <c r="E169" s="66">
        <v>99.306065957017296</v>
      </c>
    </row>
    <row r="170" spans="1:5" s="24" customFormat="1" ht="15" customHeight="1" x14ac:dyDescent="0.2">
      <c r="A170" s="16"/>
      <c r="B170" s="20" t="s">
        <v>16</v>
      </c>
      <c r="C170" s="21">
        <v>79.66482208879755</v>
      </c>
      <c r="D170" s="21">
        <v>80.086110529472023</v>
      </c>
      <c r="E170" s="22">
        <v>99.784638804294246</v>
      </c>
    </row>
    <row r="171" spans="1:5" s="24" customFormat="1" ht="15" customHeight="1" x14ac:dyDescent="0.2">
      <c r="A171" s="16"/>
      <c r="B171" s="64" t="s">
        <v>8</v>
      </c>
      <c r="C171" s="65">
        <v>84.163462423837402</v>
      </c>
      <c r="D171" s="65">
        <v>83.983036991988314</v>
      </c>
      <c r="E171" s="66">
        <v>100.43139240656905</v>
      </c>
    </row>
    <row r="172" spans="1:5" s="24" customFormat="1" ht="15" customHeight="1" x14ac:dyDescent="0.2">
      <c r="A172" s="16"/>
      <c r="B172" s="20" t="s">
        <v>9</v>
      </c>
      <c r="C172" s="21">
        <v>88.719961431502526</v>
      </c>
      <c r="D172" s="21">
        <v>88.999817574520733</v>
      </c>
      <c r="E172" s="22">
        <v>99.295120752138601</v>
      </c>
    </row>
    <row r="173" spans="1:5" s="24" customFormat="1" ht="15" customHeight="1" x14ac:dyDescent="0.2">
      <c r="A173" s="16"/>
      <c r="B173" s="64" t="s">
        <v>10</v>
      </c>
      <c r="C173" s="65">
        <v>82.177974171119772</v>
      </c>
      <c r="D173" s="65">
        <v>84.471984290348544</v>
      </c>
      <c r="E173" s="66">
        <v>98.978646042185943</v>
      </c>
    </row>
    <row r="174" spans="1:5" s="24" customFormat="1" ht="15" customHeight="1" x14ac:dyDescent="0.2">
      <c r="A174" s="16"/>
      <c r="B174" s="20" t="s">
        <v>11</v>
      </c>
      <c r="C174" s="21">
        <v>85.809399834589613</v>
      </c>
      <c r="D174" s="21">
        <v>88.706417689803828</v>
      </c>
      <c r="E174" s="22">
        <v>98.815884019267813</v>
      </c>
    </row>
    <row r="175" spans="1:5" s="24" customFormat="1" ht="15" customHeight="1" x14ac:dyDescent="0.2">
      <c r="A175" s="16"/>
      <c r="B175" s="64" t="s">
        <v>12</v>
      </c>
      <c r="C175" s="65">
        <v>89.812557684572425</v>
      </c>
      <c r="D175" s="65">
        <v>92.841352024275409</v>
      </c>
      <c r="E175" s="66">
        <v>100.03212478572196</v>
      </c>
    </row>
    <row r="176" spans="1:5" s="24" customFormat="1" ht="15" customHeight="1" x14ac:dyDescent="0.2">
      <c r="A176" s="16"/>
      <c r="B176" s="20" t="s">
        <v>13</v>
      </c>
      <c r="C176" s="21">
        <v>93.6932163904563</v>
      </c>
      <c r="D176" s="21">
        <v>94.777865478949622</v>
      </c>
      <c r="E176" s="22">
        <v>102.18411399698334</v>
      </c>
    </row>
    <row r="177" spans="1:5" s="24" customFormat="1" ht="15" customHeight="1" x14ac:dyDescent="0.2">
      <c r="A177" s="63" t="s">
        <v>50</v>
      </c>
      <c r="B177" s="64" t="s">
        <v>47</v>
      </c>
      <c r="C177" s="65">
        <v>91.643284382792544</v>
      </c>
      <c r="D177" s="65">
        <v>88.822180214888846</v>
      </c>
      <c r="E177" s="66">
        <v>98.9344181319873</v>
      </c>
    </row>
    <row r="178" spans="1:5" s="24" customFormat="1" ht="15" customHeight="1" x14ac:dyDescent="0.2">
      <c r="A178" s="16"/>
      <c r="B178" s="20" t="s">
        <v>48</v>
      </c>
      <c r="C178" s="21">
        <v>81.771708955824153</v>
      </c>
      <c r="D178" s="21">
        <v>81.743210231685538</v>
      </c>
      <c r="E178" s="22">
        <v>97.691941218587104</v>
      </c>
    </row>
    <row r="179" spans="1:5" s="24" customFormat="1" ht="15" customHeight="1" x14ac:dyDescent="0.2">
      <c r="A179" s="16"/>
      <c r="B179" s="64" t="s">
        <v>49</v>
      </c>
      <c r="C179" s="65">
        <v>90.405856663622643</v>
      </c>
      <c r="D179" s="65">
        <v>89.94162032689654</v>
      </c>
      <c r="E179" s="66">
        <v>99.322325887132735</v>
      </c>
    </row>
    <row r="180" spans="1:5" s="24" customFormat="1" ht="15" customHeight="1" x14ac:dyDescent="0.2">
      <c r="A180" s="16"/>
      <c r="B180" s="20" t="s">
        <v>14</v>
      </c>
      <c r="C180" s="21">
        <v>82.462401879410891</v>
      </c>
      <c r="D180" s="21">
        <v>81.884761053071983</v>
      </c>
      <c r="E180" s="22">
        <v>99.079563420438674</v>
      </c>
    </row>
    <row r="181" spans="1:5" s="24" customFormat="1" ht="15" customHeight="1" x14ac:dyDescent="0.2">
      <c r="A181" s="16"/>
      <c r="B181" s="64" t="s">
        <v>15</v>
      </c>
      <c r="C181" s="65">
        <v>78.728761104077762</v>
      </c>
      <c r="D181" s="65">
        <v>79.750077481117557</v>
      </c>
      <c r="E181" s="66">
        <v>98.528626726176242</v>
      </c>
    </row>
    <row r="182" spans="1:5" s="24" customFormat="1" ht="15" customHeight="1" x14ac:dyDescent="0.2">
      <c r="A182" s="16"/>
      <c r="B182" s="20" t="s">
        <v>16</v>
      </c>
      <c r="C182" s="21">
        <v>82.425508696671571</v>
      </c>
      <c r="D182" s="21">
        <v>82.468473979297244</v>
      </c>
      <c r="E182" s="22">
        <v>99.601579404301603</v>
      </c>
    </row>
    <row r="183" spans="1:5" s="24" customFormat="1" ht="15" customHeight="1" x14ac:dyDescent="0.2">
      <c r="A183" s="16"/>
      <c r="B183" s="64" t="s">
        <v>8</v>
      </c>
      <c r="C183" s="65">
        <v>91.907454780492898</v>
      </c>
      <c r="D183" s="65">
        <v>91.534512628473195</v>
      </c>
      <c r="E183" s="66">
        <v>100.24309097706957</v>
      </c>
    </row>
    <row r="184" spans="1:5" s="24" customFormat="1" ht="15" customHeight="1" x14ac:dyDescent="0.2">
      <c r="A184" s="16"/>
      <c r="B184" s="20" t="s">
        <v>9</v>
      </c>
      <c r="C184" s="21">
        <v>92.697335706619242</v>
      </c>
      <c r="D184" s="21">
        <v>92.822008152853513</v>
      </c>
      <c r="E184" s="22">
        <v>100.8369910760501</v>
      </c>
    </row>
    <row r="185" spans="1:5" s="24" customFormat="1" ht="15" customHeight="1" x14ac:dyDescent="0.2">
      <c r="A185" s="16"/>
      <c r="B185" s="64" t="s">
        <v>10</v>
      </c>
      <c r="C185" s="65">
        <v>90.785749824225562</v>
      </c>
      <c r="D185" s="65">
        <v>92.616668436301282</v>
      </c>
      <c r="E185" s="66">
        <v>100.52663451663692</v>
      </c>
    </row>
    <row r="186" spans="1:5" s="24" customFormat="1" ht="15" customHeight="1" x14ac:dyDescent="0.2">
      <c r="A186" s="16"/>
      <c r="B186" s="20" t="s">
        <v>11</v>
      </c>
      <c r="C186" s="21">
        <v>95.514936324812311</v>
      </c>
      <c r="D186" s="21">
        <v>98.250975603354192</v>
      </c>
      <c r="E186" s="22">
        <v>100.94930898781503</v>
      </c>
    </row>
    <row r="187" spans="1:5" s="24" customFormat="1" ht="15" customHeight="1" x14ac:dyDescent="0.2">
      <c r="A187" s="16"/>
      <c r="B187" s="64" t="s">
        <v>12</v>
      </c>
      <c r="C187" s="65">
        <v>98.674694751696322</v>
      </c>
      <c r="D187" s="65">
        <v>102.02917649726484</v>
      </c>
      <c r="E187" s="66">
        <v>101.97076052361457</v>
      </c>
    </row>
    <row r="188" spans="1:5" s="24" customFormat="1" ht="15" customHeight="1" x14ac:dyDescent="0.2">
      <c r="A188" s="16"/>
      <c r="B188" s="20" t="s">
        <v>13</v>
      </c>
      <c r="C188" s="21">
        <v>102.75673055215286</v>
      </c>
      <c r="D188" s="21">
        <v>103.03636179314456</v>
      </c>
      <c r="E188" s="22">
        <v>104.05969296461947</v>
      </c>
    </row>
    <row r="189" spans="1:5" s="24" customFormat="1" ht="15" customHeight="1" x14ac:dyDescent="0.2">
      <c r="A189" s="63" t="s">
        <v>51</v>
      </c>
      <c r="B189" s="64" t="s">
        <v>47</v>
      </c>
      <c r="C189" s="65">
        <v>100.46744870886928</v>
      </c>
      <c r="D189" s="65">
        <v>98.03994546120262</v>
      </c>
      <c r="E189" s="66">
        <v>99.528267131947302</v>
      </c>
    </row>
    <row r="190" spans="1:5" s="24" customFormat="1" ht="15" customHeight="1" x14ac:dyDescent="0.2">
      <c r="A190" s="16"/>
      <c r="B190" s="20" t="s">
        <v>48</v>
      </c>
      <c r="C190" s="21">
        <v>88.51938482803871</v>
      </c>
      <c r="D190" s="21">
        <v>89.303679693842938</v>
      </c>
      <c r="E190" s="22">
        <v>97.560932860637706</v>
      </c>
    </row>
    <row r="191" spans="1:5" s="24" customFormat="1" ht="15" customHeight="1" x14ac:dyDescent="0.2">
      <c r="A191" s="16"/>
      <c r="B191" s="64" t="s">
        <v>49</v>
      </c>
      <c r="C191" s="65">
        <v>97.969046073984345</v>
      </c>
      <c r="D191" s="65">
        <v>98.167528570295275</v>
      </c>
      <c r="E191" s="66">
        <v>98.832497212411738</v>
      </c>
    </row>
    <row r="192" spans="1:5" s="24" customFormat="1" ht="15" customHeight="1" x14ac:dyDescent="0.2">
      <c r="A192" s="16"/>
      <c r="B192" s="20" t="s">
        <v>14</v>
      </c>
      <c r="C192" s="21">
        <v>90.280507644682828</v>
      </c>
      <c r="D192" s="21">
        <v>90.605582415901026</v>
      </c>
      <c r="E192" s="22">
        <v>99.397654360771597</v>
      </c>
    </row>
    <row r="193" spans="1:5" s="24" customFormat="1" ht="15" customHeight="1" x14ac:dyDescent="0.2">
      <c r="A193" s="16"/>
      <c r="B193" s="64" t="s">
        <v>15</v>
      </c>
      <c r="C193" s="65">
        <v>91.748914544246915</v>
      </c>
      <c r="D193" s="65">
        <v>93.715961156468381</v>
      </c>
      <c r="E193" s="66">
        <v>98.822152884455122</v>
      </c>
    </row>
    <row r="194" spans="1:5" s="24" customFormat="1" ht="14.25" customHeight="1" x14ac:dyDescent="0.2">
      <c r="A194" s="16"/>
      <c r="B194" s="20" t="s">
        <v>16</v>
      </c>
      <c r="C194" s="21">
        <v>94.163852277536037</v>
      </c>
      <c r="D194" s="21">
        <v>94.547793783000671</v>
      </c>
      <c r="E194" s="22">
        <v>99.952191302792116</v>
      </c>
    </row>
    <row r="195" spans="1:5" s="24" customFormat="1" ht="15" customHeight="1" x14ac:dyDescent="0.2">
      <c r="A195" s="16"/>
      <c r="B195" s="64" t="s">
        <v>8</v>
      </c>
      <c r="C195" s="65">
        <v>100.64144143268636</v>
      </c>
      <c r="D195" s="65">
        <v>101.02294023084757</v>
      </c>
      <c r="E195" s="66">
        <v>100.36949016498136</v>
      </c>
    </row>
    <row r="196" spans="1:5" s="24" customFormat="1" ht="15" customHeight="1" x14ac:dyDescent="0.2">
      <c r="A196" s="16"/>
      <c r="B196" s="20" t="s">
        <v>9</v>
      </c>
      <c r="C196" s="21">
        <v>106.78259220707879</v>
      </c>
      <c r="D196" s="21">
        <v>107.18790666796656</v>
      </c>
      <c r="E196" s="22">
        <v>100.1431308786418</v>
      </c>
    </row>
    <row r="197" spans="1:5" s="24" customFormat="1" ht="15" customHeight="1" x14ac:dyDescent="0.2">
      <c r="A197" s="16"/>
      <c r="B197" s="64" t="s">
        <v>10</v>
      </c>
      <c r="C197" s="65">
        <v>100.24321699168655</v>
      </c>
      <c r="D197" s="65">
        <v>101.5368855330394</v>
      </c>
      <c r="E197" s="66">
        <v>99.808850874754143</v>
      </c>
    </row>
    <row r="198" spans="1:5" s="24" customFormat="1" ht="15" customHeight="1" x14ac:dyDescent="0.2">
      <c r="A198" s="16"/>
      <c r="B198" s="20" t="s">
        <v>11</v>
      </c>
      <c r="C198" s="21">
        <v>101.89259859140827</v>
      </c>
      <c r="D198" s="21">
        <v>102.68646328027231</v>
      </c>
      <c r="E198" s="22">
        <v>100.87592855915352</v>
      </c>
    </row>
    <row r="199" spans="1:5" s="24" customFormat="1" ht="15" customHeight="1" x14ac:dyDescent="0.2">
      <c r="A199" s="16"/>
      <c r="B199" s="64" t="s">
        <v>12</v>
      </c>
      <c r="C199" s="65">
        <v>109.04565878947434</v>
      </c>
      <c r="D199" s="65">
        <v>109.29279609286323</v>
      </c>
      <c r="E199" s="66">
        <v>101.74951859670054</v>
      </c>
    </row>
    <row r="200" spans="1:5" s="24" customFormat="1" ht="15" customHeight="1" x14ac:dyDescent="0.2">
      <c r="A200" s="16"/>
      <c r="B200" s="20" t="s">
        <v>13</v>
      </c>
      <c r="C200" s="21">
        <v>118.24533791030764</v>
      </c>
      <c r="D200" s="21">
        <v>113.89251711429989</v>
      </c>
      <c r="E200" s="22">
        <v>102.95938517275299</v>
      </c>
    </row>
    <row r="201" spans="1:5" s="24" customFormat="1" ht="15" customHeight="1" x14ac:dyDescent="0.2">
      <c r="A201" s="69" t="s">
        <v>52</v>
      </c>
      <c r="B201" s="64" t="s">
        <v>47</v>
      </c>
      <c r="C201" s="65">
        <v>112.52106327909436</v>
      </c>
      <c r="D201" s="65">
        <v>106.03926096280971</v>
      </c>
      <c r="E201" s="66">
        <v>101.69509581658636</v>
      </c>
    </row>
    <row r="202" spans="1:5" s="24" customFormat="1" ht="15" customHeight="1" x14ac:dyDescent="0.2">
      <c r="A202" s="26"/>
      <c r="B202" s="28" t="s">
        <v>48</v>
      </c>
      <c r="C202" s="29">
        <v>102.00500729391257</v>
      </c>
      <c r="D202" s="29">
        <v>98.600702496895352</v>
      </c>
      <c r="E202" s="30">
        <v>99.936450165946383</v>
      </c>
    </row>
    <row r="203" spans="1:5" s="24" customFormat="1" ht="15" customHeight="1" x14ac:dyDescent="0.2">
      <c r="A203" s="26"/>
      <c r="B203" s="64" t="s">
        <v>49</v>
      </c>
      <c r="C203" s="65">
        <v>54.484759017647733</v>
      </c>
      <c r="D203" s="65">
        <v>53.867309924196235</v>
      </c>
      <c r="E203" s="66">
        <v>92.265013269060773</v>
      </c>
    </row>
    <row r="204" spans="1:5" s="24" customFormat="1" ht="15" customHeight="1" x14ac:dyDescent="0.2">
      <c r="A204" s="26"/>
      <c r="B204" s="28" t="s">
        <v>14</v>
      </c>
      <c r="C204" s="29">
        <v>4.2710604814014239</v>
      </c>
      <c r="D204" s="29">
        <v>4.5812804912407721</v>
      </c>
      <c r="E204" s="30">
        <v>75.075184811159374</v>
      </c>
    </row>
    <row r="205" spans="1:5" s="24" customFormat="1" ht="15" customHeight="1" x14ac:dyDescent="0.2">
      <c r="A205" s="26"/>
      <c r="B205" s="64" t="s">
        <v>15</v>
      </c>
      <c r="C205" s="65">
        <v>4.5976464602564056</v>
      </c>
      <c r="D205" s="65">
        <v>5.0217102537716309</v>
      </c>
      <c r="E205" s="66">
        <v>68.337041495316853</v>
      </c>
    </row>
    <row r="206" spans="1:5" s="24" customFormat="1" ht="15" customHeight="1" x14ac:dyDescent="0.2">
      <c r="A206" s="26"/>
      <c r="B206" s="28" t="s">
        <v>16</v>
      </c>
      <c r="C206" s="29">
        <v>6.1447988505023634</v>
      </c>
      <c r="D206" s="29">
        <v>6.7165709085013239</v>
      </c>
      <c r="E206" s="30">
        <v>62.162786072776257</v>
      </c>
    </row>
    <row r="207" spans="1:5" s="24" customFormat="1" ht="15" customHeight="1" x14ac:dyDescent="0.2">
      <c r="A207" s="26"/>
      <c r="B207" s="64" t="s">
        <v>8</v>
      </c>
      <c r="C207" s="65">
        <v>7.4667442055176005</v>
      </c>
      <c r="D207" s="65">
        <v>8.2501914342266254</v>
      </c>
      <c r="E207" s="66">
        <v>57.483624892302757</v>
      </c>
    </row>
    <row r="208" spans="1:5" s="24" customFormat="1" ht="15" customHeight="1" x14ac:dyDescent="0.2">
      <c r="A208" s="26"/>
      <c r="B208" s="28" t="s">
        <v>9</v>
      </c>
      <c r="C208" s="29">
        <v>8.391847419917676</v>
      </c>
      <c r="D208" s="29">
        <v>9.152297281163456</v>
      </c>
      <c r="E208" s="30">
        <v>55.041761433982408</v>
      </c>
    </row>
    <row r="209" spans="1:5" s="24" customFormat="1" ht="15" customHeight="1" x14ac:dyDescent="0.2">
      <c r="A209" s="26"/>
      <c r="B209" s="64" t="s">
        <v>10</v>
      </c>
      <c r="C209" s="65">
        <v>15.985644849318806</v>
      </c>
      <c r="D209" s="65">
        <v>17.111963177232681</v>
      </c>
      <c r="E209" s="66">
        <v>55.242602929765695</v>
      </c>
    </row>
    <row r="210" spans="1:5" s="24" customFormat="1" ht="15" customHeight="1" x14ac:dyDescent="0.2">
      <c r="A210" s="26"/>
      <c r="B210" s="28" t="s">
        <v>11</v>
      </c>
      <c r="C210" s="29">
        <v>34.237631381880632</v>
      </c>
      <c r="D210" s="29">
        <v>36.40489305828094</v>
      </c>
      <c r="E210" s="30">
        <v>58.961697896205919</v>
      </c>
    </row>
    <row r="211" spans="1:5" s="24" customFormat="1" ht="15" customHeight="1" x14ac:dyDescent="0.2">
      <c r="A211" s="26"/>
      <c r="B211" s="64" t="s">
        <v>12</v>
      </c>
      <c r="C211" s="65">
        <v>42.667206718381216</v>
      </c>
      <c r="D211" s="65">
        <v>45.406778240499854</v>
      </c>
      <c r="E211" s="66">
        <v>60.807630699081493</v>
      </c>
    </row>
    <row r="212" spans="1:5" s="24" customFormat="1" ht="15" customHeight="1" x14ac:dyDescent="0.2">
      <c r="A212" s="26"/>
      <c r="B212" s="28" t="s">
        <v>13</v>
      </c>
      <c r="C212" s="29">
        <v>56.208305286062156</v>
      </c>
      <c r="D212" s="29">
        <v>57.92050550224549</v>
      </c>
      <c r="E212" s="30">
        <v>63.884794623026345</v>
      </c>
    </row>
    <row r="213" spans="1:5" s="24" customFormat="1" ht="15" customHeight="1" x14ac:dyDescent="0.2">
      <c r="A213" s="358" t="s">
        <v>124</v>
      </c>
      <c r="B213" s="64" t="s">
        <v>54</v>
      </c>
      <c r="C213" s="65">
        <v>56.461976137822113</v>
      </c>
      <c r="D213" s="65">
        <v>57.725157902517054</v>
      </c>
      <c r="E213" s="66">
        <v>63.590639574378315</v>
      </c>
    </row>
    <row r="214" spans="1:5" s="24" customFormat="1" ht="15" customHeight="1" x14ac:dyDescent="0.2">
      <c r="A214" s="368"/>
      <c r="B214" s="28" t="s">
        <v>48</v>
      </c>
      <c r="C214" s="29">
        <v>44.611503351085638</v>
      </c>
      <c r="D214" s="29">
        <v>47.217592714602745</v>
      </c>
      <c r="E214" s="30">
        <v>61.980742115618135</v>
      </c>
    </row>
    <row r="215" spans="1:5" s="24" customFormat="1" ht="15" customHeight="1" x14ac:dyDescent="0.2">
      <c r="A215" s="368"/>
      <c r="B215" s="64" t="s">
        <v>49</v>
      </c>
      <c r="C215" s="65">
        <v>59.74313078412775</v>
      </c>
      <c r="D215" s="65">
        <v>61.911731927259709</v>
      </c>
      <c r="E215" s="66">
        <v>64.141270537320111</v>
      </c>
    </row>
    <row r="216" spans="1:5" s="24" customFormat="1" ht="15" customHeight="1" x14ac:dyDescent="0.2">
      <c r="A216" s="368"/>
      <c r="B216" s="28" t="s">
        <v>14</v>
      </c>
      <c r="C216" s="29">
        <v>48.004317539591632</v>
      </c>
      <c r="D216" s="29">
        <v>50.043566158782049</v>
      </c>
      <c r="E216" s="30">
        <v>63.708234444572319</v>
      </c>
    </row>
    <row r="217" spans="1:5" s="24" customFormat="1" ht="15" customHeight="1" x14ac:dyDescent="0.2">
      <c r="A217" s="368"/>
      <c r="B217" s="64" t="s">
        <v>15</v>
      </c>
      <c r="C217" s="65">
        <v>43.227390053104997</v>
      </c>
      <c r="D217" s="65">
        <v>45.755284623661879</v>
      </c>
      <c r="E217" s="66">
        <v>61.665225181062354</v>
      </c>
    </row>
    <row r="218" spans="1:5" s="24" customFormat="1" ht="15" customHeight="1" x14ac:dyDescent="0.2">
      <c r="A218" s="368"/>
      <c r="B218" s="28" t="s">
        <v>16</v>
      </c>
      <c r="C218" s="29">
        <v>62.538283366022149</v>
      </c>
      <c r="D218" s="29">
        <v>65.159434694584675</v>
      </c>
      <c r="E218" s="30">
        <v>64.326993279909374</v>
      </c>
    </row>
    <row r="219" spans="1:5" s="24" customFormat="1" ht="15" customHeight="1" x14ac:dyDescent="0.2">
      <c r="A219" s="368"/>
      <c r="B219" s="64" t="s">
        <v>8</v>
      </c>
      <c r="C219" s="65">
        <v>79.314855538462552</v>
      </c>
      <c r="D219" s="65">
        <v>81.22781051703349</v>
      </c>
      <c r="E219" s="66">
        <v>67.371540115894561</v>
      </c>
    </row>
    <row r="220" spans="1:5" s="24" customFormat="1" ht="15" customHeight="1" x14ac:dyDescent="0.2">
      <c r="A220" s="368"/>
      <c r="B220" s="28" t="s">
        <v>9</v>
      </c>
      <c r="C220" s="29">
        <v>82.345446578247333</v>
      </c>
      <c r="D220" s="29">
        <v>84.426007397939046</v>
      </c>
      <c r="E220" s="30">
        <v>69.21060742339256</v>
      </c>
    </row>
    <row r="221" spans="1:5" s="24" customFormat="1" ht="15" customHeight="1" x14ac:dyDescent="0.2">
      <c r="A221" s="368"/>
      <c r="B221" s="64" t="s">
        <v>10</v>
      </c>
      <c r="C221" s="65">
        <v>82.756136068842395</v>
      </c>
      <c r="D221" s="65">
        <v>84.188713793097421</v>
      </c>
      <c r="E221" s="66">
        <v>71.073104798240593</v>
      </c>
    </row>
    <row r="222" spans="1:5" s="24" customFormat="1" ht="15" customHeight="1" x14ac:dyDescent="0.2">
      <c r="A222" s="363"/>
      <c r="B222" s="398" t="s">
        <v>11</v>
      </c>
      <c r="C222" s="399">
        <v>100.25906147816121</v>
      </c>
      <c r="D222" s="399">
        <v>100.1349183400917</v>
      </c>
      <c r="E222" s="400">
        <v>74.147383811904504</v>
      </c>
    </row>
    <row r="223" spans="1:5" s="24" customFormat="1" x14ac:dyDescent="0.2">
      <c r="B223" s="20"/>
      <c r="C223" s="32"/>
      <c r="D223" s="32"/>
      <c r="E223" s="32"/>
    </row>
    <row r="224" spans="1:5" s="24" customFormat="1" x14ac:dyDescent="0.2">
      <c r="A224" s="33"/>
      <c r="B224" s="34"/>
      <c r="C224" s="35"/>
      <c r="D224" s="35"/>
      <c r="E224" s="36"/>
    </row>
    <row r="225" spans="1:5" s="39" customFormat="1" x14ac:dyDescent="0.2">
      <c r="A225" s="25"/>
      <c r="B225" s="267" t="s">
        <v>85</v>
      </c>
      <c r="C225" s="37"/>
      <c r="D225" s="37"/>
      <c r="E225" s="38"/>
    </row>
    <row r="226" spans="1:5" x14ac:dyDescent="0.2">
      <c r="A226" s="40"/>
      <c r="B226" s="41" t="s">
        <v>17</v>
      </c>
      <c r="C226" s="42"/>
      <c r="D226" s="42"/>
      <c r="E226" s="43"/>
    </row>
    <row r="227" spans="1:5" s="46" customFormat="1" ht="15" customHeight="1" x14ac:dyDescent="0.2">
      <c r="A227" s="16"/>
      <c r="B227" s="263" t="str">
        <f>'1.1 V.A Ing.real'!B45</f>
        <v>Actualizado el 15 de diciembre de 2021</v>
      </c>
      <c r="C227" s="44"/>
      <c r="D227" s="44"/>
      <c r="E227" s="45"/>
    </row>
    <row r="228" spans="1:5" x14ac:dyDescent="0.2">
      <c r="A228" s="47"/>
      <c r="B228" s="48"/>
      <c r="C228" s="49"/>
      <c r="D228" s="49"/>
      <c r="E228" s="50"/>
    </row>
  </sheetData>
  <mergeCells count="2">
    <mergeCell ref="A7:E8"/>
    <mergeCell ref="B9:E9"/>
  </mergeCells>
  <hyperlinks>
    <hyperlink ref="F3" location="Contenido!A1" display="Inicio" xr:uid="{00000000-0004-0000-1700-000000000000}"/>
  </hyperlinks>
  <printOptions horizontalCentered="1" verticalCentered="1"/>
  <pageMargins left="0.39370078740157483" right="0.39370078740157483" top="0.39370078740157483" bottom="0.19685039370078741" header="0" footer="0"/>
  <pageSetup scale="25"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R58"/>
  <sheetViews>
    <sheetView showGridLines="0" zoomScale="80" zoomScaleNormal="80" zoomScaleSheetLayoutView="80" workbookViewId="0">
      <pane ySplit="16" topLeftCell="A17" activePane="bottomLeft" state="frozen"/>
      <selection pane="bottomLeft" activeCell="A7" sqref="A7:G8"/>
    </sheetView>
  </sheetViews>
  <sheetFormatPr baseColWidth="10" defaultColWidth="11.42578125" defaultRowHeight="12" x14ac:dyDescent="0.2"/>
  <cols>
    <col min="1" max="1" width="8.140625" style="53" customWidth="1"/>
    <col min="2" max="2" width="9.7109375" style="39" customWidth="1"/>
    <col min="3" max="3" width="12.140625" style="39" customWidth="1"/>
    <col min="4" max="4" width="6.140625" style="39" customWidth="1"/>
    <col min="5" max="5" width="9.42578125" style="39" customWidth="1"/>
    <col min="6" max="6" width="11.7109375" style="39" customWidth="1"/>
    <col min="7" max="7" width="12.42578125" style="39" customWidth="1"/>
    <col min="8" max="8" width="6.7109375" style="53" customWidth="1"/>
    <col min="9" max="9" width="9.7109375" style="53" customWidth="1"/>
    <col min="10" max="10" width="11.7109375" style="53" customWidth="1"/>
    <col min="11" max="11" width="12.42578125" style="53" customWidth="1"/>
    <col min="12" max="12" width="8.140625" style="53" customWidth="1"/>
    <col min="13" max="13" width="9.7109375" style="53" customWidth="1"/>
    <col min="14" max="14" width="11.7109375" style="53" customWidth="1"/>
    <col min="15" max="15" width="15.140625" style="53" customWidth="1"/>
    <col min="16" max="16" width="7.85546875" style="53" customWidth="1"/>
    <col min="17" max="17" width="10.85546875" style="53" customWidth="1"/>
    <col min="18" max="18" width="11.7109375" style="53" customWidth="1"/>
    <col min="19" max="19" width="12.7109375" style="53" customWidth="1"/>
    <col min="20" max="20" width="6.42578125" style="53" customWidth="1"/>
    <col min="21" max="21" width="9.85546875" style="53" customWidth="1"/>
    <col min="22" max="22" width="11.7109375" style="53" customWidth="1"/>
    <col min="23" max="23" width="14.28515625" style="53" customWidth="1"/>
    <col min="24" max="24" width="9.42578125" style="53" customWidth="1"/>
    <col min="25" max="25" width="14.28515625" style="53" customWidth="1"/>
    <col min="26" max="26" width="9.42578125" style="53" customWidth="1"/>
    <col min="27" max="27" width="7.28515625" style="53" customWidth="1"/>
    <col min="28" max="28" width="13.42578125" style="53" customWidth="1"/>
    <col min="29" max="29" width="13.140625" style="53" customWidth="1"/>
    <col min="30" max="30" width="6.28515625" style="53" customWidth="1"/>
    <col min="31" max="31" width="10.42578125" style="53" customWidth="1"/>
    <col min="32" max="32" width="12.28515625" style="53" customWidth="1"/>
    <col min="33" max="33" width="7.42578125" style="53" customWidth="1"/>
    <col min="34" max="34" width="9.85546875" style="53" customWidth="1"/>
    <col min="35" max="35" width="12" style="53" customWidth="1"/>
    <col min="36" max="36" width="8.7109375" style="53" customWidth="1"/>
    <col min="37" max="37" width="9.7109375" style="53" customWidth="1"/>
    <col min="38" max="38" width="12.140625" style="53" customWidth="1"/>
    <col min="39" max="39" width="7.85546875" style="53" customWidth="1"/>
    <col min="40" max="40" width="10.42578125" style="53" customWidth="1"/>
    <col min="41" max="41" width="11" style="53" customWidth="1"/>
    <col min="42" max="42" width="6.85546875" style="53" customWidth="1"/>
    <col min="43" max="43" width="9.7109375" style="53" customWidth="1"/>
    <col min="44" max="44" width="11.7109375" style="53" customWidth="1"/>
    <col min="45" max="16384" width="11.42578125" style="53"/>
  </cols>
  <sheetData>
    <row r="1" spans="1:44" s="3" customFormat="1" ht="12" customHeight="1" x14ac:dyDescent="0.2">
      <c r="A1" s="1"/>
      <c r="B1" s="2"/>
      <c r="C1" s="2"/>
      <c r="D1" s="2"/>
      <c r="E1" s="2"/>
      <c r="F1" s="2"/>
      <c r="G1" s="2"/>
    </row>
    <row r="2" spans="1:44" s="6" customFormat="1" x14ac:dyDescent="0.2">
      <c r="A2" s="4"/>
      <c r="B2" s="5"/>
      <c r="C2" s="5"/>
      <c r="D2" s="5"/>
      <c r="E2" s="5"/>
      <c r="F2" s="5"/>
      <c r="G2" s="5"/>
      <c r="H2" s="28"/>
      <c r="I2" s="28"/>
      <c r="J2" s="28"/>
      <c r="K2" s="28"/>
      <c r="L2" s="28"/>
      <c r="M2" s="28"/>
    </row>
    <row r="3" spans="1:44" s="6" customFormat="1" ht="16.5" x14ac:dyDescent="0.3">
      <c r="A3" s="4"/>
      <c r="B3" s="5"/>
      <c r="C3" s="5"/>
      <c r="D3" s="5"/>
      <c r="E3" s="5"/>
      <c r="F3" s="5"/>
      <c r="G3" s="5"/>
      <c r="H3" s="28"/>
      <c r="I3" s="224" t="s">
        <v>0</v>
      </c>
      <c r="J3" s="28"/>
      <c r="K3" s="28"/>
      <c r="M3" s="28"/>
    </row>
    <row r="4" spans="1:44" s="6" customFormat="1" x14ac:dyDescent="0.2">
      <c r="A4" s="4"/>
      <c r="B4" s="5"/>
      <c r="C4" s="5"/>
      <c r="D4" s="5"/>
      <c r="E4" s="5"/>
      <c r="F4" s="5"/>
      <c r="G4" s="5"/>
      <c r="H4" s="28"/>
      <c r="I4" s="28"/>
      <c r="J4" s="28"/>
      <c r="K4" s="28"/>
      <c r="L4" s="28"/>
      <c r="M4" s="28"/>
    </row>
    <row r="5" spans="1:44" s="6" customFormat="1" x14ac:dyDescent="0.2">
      <c r="A5" s="4"/>
      <c r="B5" s="5"/>
      <c r="C5" s="5"/>
      <c r="D5" s="5"/>
      <c r="E5" s="5"/>
      <c r="G5" s="5"/>
      <c r="H5" s="28"/>
      <c r="I5" s="28"/>
      <c r="J5" s="28"/>
      <c r="K5" s="28"/>
      <c r="L5" s="28"/>
      <c r="M5" s="28"/>
    </row>
    <row r="6" spans="1:44" s="6" customFormat="1" x14ac:dyDescent="0.2">
      <c r="A6" s="4"/>
      <c r="B6" s="5"/>
      <c r="C6" s="5"/>
      <c r="D6" s="5"/>
      <c r="E6" s="5"/>
      <c r="F6" s="5"/>
      <c r="G6" s="5"/>
      <c r="H6" s="28"/>
      <c r="I6" s="28"/>
      <c r="J6" s="28"/>
      <c r="K6" s="28"/>
      <c r="L6" s="28"/>
      <c r="M6" s="28"/>
    </row>
    <row r="7" spans="1:44" s="6" customFormat="1" ht="15" customHeight="1" x14ac:dyDescent="0.2">
      <c r="A7" s="439" t="s">
        <v>4</v>
      </c>
      <c r="B7" s="439"/>
      <c r="C7" s="439"/>
      <c r="D7" s="439"/>
      <c r="E7" s="439"/>
      <c r="F7" s="439"/>
      <c r="G7" s="439"/>
      <c r="H7" s="252"/>
      <c r="I7" s="252"/>
      <c r="J7" s="252"/>
      <c r="K7" s="252"/>
      <c r="L7" s="252"/>
      <c r="M7" s="28"/>
    </row>
    <row r="8" spans="1:44" s="6" customFormat="1" ht="15" customHeight="1" x14ac:dyDescent="0.2">
      <c r="A8" s="439"/>
      <c r="B8" s="439"/>
      <c r="C8" s="439"/>
      <c r="D8" s="439"/>
      <c r="E8" s="439"/>
      <c r="F8" s="439"/>
      <c r="G8" s="439"/>
      <c r="H8" s="252"/>
      <c r="I8" s="252"/>
      <c r="J8" s="252"/>
      <c r="K8" s="252"/>
      <c r="L8" s="252"/>
      <c r="M8" s="28"/>
    </row>
    <row r="9" spans="1:44" s="52" customFormat="1" ht="19.5" customHeight="1" x14ac:dyDescent="0.2">
      <c r="A9" s="253"/>
      <c r="B9" s="253"/>
      <c r="C9" s="253"/>
      <c r="D9" s="253"/>
      <c r="E9" s="253"/>
      <c r="F9" s="253"/>
      <c r="G9" s="253"/>
      <c r="H9" s="28"/>
      <c r="I9" s="28"/>
      <c r="J9" s="28"/>
      <c r="K9" s="28"/>
      <c r="L9" s="28"/>
      <c r="M9" s="28"/>
    </row>
    <row r="10" spans="1:44" ht="29.25" customHeight="1" x14ac:dyDescent="0.2">
      <c r="A10" s="468" t="s">
        <v>170</v>
      </c>
      <c r="B10" s="468"/>
      <c r="C10" s="468"/>
      <c r="D10" s="468"/>
      <c r="E10" s="468"/>
      <c r="F10" s="468"/>
      <c r="G10" s="468"/>
      <c r="H10" s="27"/>
      <c r="I10" s="27"/>
      <c r="J10" s="27"/>
      <c r="K10" s="27"/>
      <c r="L10" s="27"/>
      <c r="M10" s="27"/>
    </row>
    <row r="11" spans="1:44" ht="15" customHeight="1" x14ac:dyDescent="0.2">
      <c r="A11" s="255" t="str">
        <f>'5.2 Porc Mens Ocupación.reg'!A12</f>
        <v>Enero 2019 - octubre 2021</v>
      </c>
      <c r="B11" s="255"/>
      <c r="C11" s="255"/>
      <c r="D11" s="255"/>
      <c r="E11" s="255"/>
      <c r="F11" s="255"/>
      <c r="G11" s="255"/>
      <c r="H11" s="27"/>
      <c r="I11" s="27"/>
      <c r="J11" s="27"/>
      <c r="K11" s="27"/>
      <c r="L11" s="27"/>
      <c r="M11" s="27"/>
    </row>
    <row r="12" spans="1:44" x14ac:dyDescent="0.2">
      <c r="A12" s="254"/>
      <c r="B12" s="254"/>
      <c r="C12" s="254"/>
      <c r="D12" s="254"/>
      <c r="E12" s="254"/>
      <c r="F12" s="254"/>
      <c r="G12" s="254"/>
      <c r="H12" s="27"/>
      <c r="I12" s="27"/>
      <c r="J12" s="27"/>
      <c r="K12" s="27"/>
      <c r="L12" s="27"/>
      <c r="M12" s="27"/>
    </row>
    <row r="13" spans="1:44" s="54" customFormat="1" ht="22.5" customHeight="1" x14ac:dyDescent="0.2">
      <c r="A13" s="456" t="s">
        <v>25</v>
      </c>
      <c r="B13" s="465" t="s">
        <v>43</v>
      </c>
      <c r="C13" s="449" t="s">
        <v>57</v>
      </c>
      <c r="D13" s="451"/>
      <c r="E13" s="451"/>
      <c r="F13" s="450"/>
      <c r="G13" s="449" t="s">
        <v>58</v>
      </c>
      <c r="H13" s="451"/>
      <c r="I13" s="451"/>
      <c r="J13" s="450"/>
      <c r="K13" s="449" t="s">
        <v>71</v>
      </c>
      <c r="L13" s="451"/>
      <c r="M13" s="451"/>
      <c r="N13" s="450"/>
      <c r="O13" s="449" t="s">
        <v>83</v>
      </c>
      <c r="P13" s="451"/>
      <c r="Q13" s="451"/>
      <c r="R13" s="450"/>
      <c r="S13" s="449" t="s">
        <v>68</v>
      </c>
      <c r="T13" s="451"/>
      <c r="U13" s="451"/>
      <c r="V13" s="450"/>
      <c r="W13" s="449" t="s">
        <v>167</v>
      </c>
      <c r="X13" s="451"/>
      <c r="Y13" s="451"/>
      <c r="Z13" s="450"/>
      <c r="AA13" s="449" t="s">
        <v>72</v>
      </c>
      <c r="AB13" s="451"/>
      <c r="AC13" s="451"/>
      <c r="AD13" s="451"/>
      <c r="AE13" s="451"/>
      <c r="AF13" s="451"/>
      <c r="AG13" s="451"/>
      <c r="AH13" s="451"/>
      <c r="AI13" s="451"/>
      <c r="AJ13" s="451"/>
      <c r="AK13" s="451"/>
      <c r="AL13" s="451"/>
      <c r="AM13" s="451"/>
      <c r="AN13" s="451"/>
      <c r="AO13" s="451"/>
      <c r="AP13" s="451"/>
      <c r="AQ13" s="451"/>
      <c r="AR13" s="450"/>
    </row>
    <row r="14" spans="1:44" s="54" customFormat="1" ht="18" customHeight="1" x14ac:dyDescent="0.2">
      <c r="A14" s="464"/>
      <c r="B14" s="466"/>
      <c r="C14" s="452" t="s">
        <v>129</v>
      </c>
      <c r="D14" s="452" t="s">
        <v>133</v>
      </c>
      <c r="E14" s="456" t="s">
        <v>130</v>
      </c>
      <c r="F14" s="457"/>
      <c r="G14" s="452" t="s">
        <v>129</v>
      </c>
      <c r="H14" s="452" t="s">
        <v>133</v>
      </c>
      <c r="I14" s="456" t="s">
        <v>130</v>
      </c>
      <c r="J14" s="457"/>
      <c r="K14" s="452" t="s">
        <v>129</v>
      </c>
      <c r="L14" s="452" t="s">
        <v>133</v>
      </c>
      <c r="M14" s="456" t="s">
        <v>130</v>
      </c>
      <c r="N14" s="457"/>
      <c r="O14" s="452" t="s">
        <v>135</v>
      </c>
      <c r="P14" s="452" t="s">
        <v>133</v>
      </c>
      <c r="Q14" s="456" t="s">
        <v>130</v>
      </c>
      <c r="R14" s="457"/>
      <c r="S14" s="452" t="s">
        <v>129</v>
      </c>
      <c r="T14" s="452" t="s">
        <v>133</v>
      </c>
      <c r="U14" s="456" t="s">
        <v>130</v>
      </c>
      <c r="V14" s="457"/>
      <c r="W14" s="448" t="s">
        <v>168</v>
      </c>
      <c r="X14" s="448"/>
      <c r="Y14" s="449" t="s">
        <v>169</v>
      </c>
      <c r="Z14" s="450"/>
      <c r="AA14" s="444" t="s">
        <v>34</v>
      </c>
      <c r="AB14" s="440"/>
      <c r="AC14" s="443"/>
      <c r="AD14" s="444" t="s">
        <v>1</v>
      </c>
      <c r="AE14" s="440"/>
      <c r="AF14" s="443"/>
      <c r="AG14" s="444" t="s">
        <v>35</v>
      </c>
      <c r="AH14" s="440"/>
      <c r="AI14" s="443"/>
      <c r="AJ14" s="444" t="s">
        <v>36</v>
      </c>
      <c r="AK14" s="440"/>
      <c r="AL14" s="443"/>
      <c r="AM14" s="444" t="s">
        <v>37</v>
      </c>
      <c r="AN14" s="440"/>
      <c r="AO14" s="443"/>
      <c r="AP14" s="444" t="s">
        <v>2</v>
      </c>
      <c r="AQ14" s="440"/>
      <c r="AR14" s="443"/>
    </row>
    <row r="15" spans="1:44" s="54" customFormat="1" ht="19.5" customHeight="1" x14ac:dyDescent="0.2">
      <c r="A15" s="464"/>
      <c r="B15" s="466"/>
      <c r="C15" s="460"/>
      <c r="D15" s="460"/>
      <c r="E15" s="458"/>
      <c r="F15" s="459"/>
      <c r="G15" s="460"/>
      <c r="H15" s="460"/>
      <c r="I15" s="458"/>
      <c r="J15" s="459"/>
      <c r="K15" s="460"/>
      <c r="L15" s="460"/>
      <c r="M15" s="458"/>
      <c r="N15" s="459"/>
      <c r="O15" s="460"/>
      <c r="P15" s="460"/>
      <c r="Q15" s="458"/>
      <c r="R15" s="459"/>
      <c r="S15" s="460"/>
      <c r="T15" s="460"/>
      <c r="U15" s="458"/>
      <c r="V15" s="459"/>
      <c r="W15" s="452" t="s">
        <v>129</v>
      </c>
      <c r="X15" s="452" t="s">
        <v>133</v>
      </c>
      <c r="Y15" s="452" t="s">
        <v>129</v>
      </c>
      <c r="Z15" s="452" t="s">
        <v>133</v>
      </c>
      <c r="AA15" s="454" t="s">
        <v>133</v>
      </c>
      <c r="AB15" s="444" t="s">
        <v>130</v>
      </c>
      <c r="AC15" s="443"/>
      <c r="AD15" s="454" t="s">
        <v>133</v>
      </c>
      <c r="AE15" s="444" t="s">
        <v>130</v>
      </c>
      <c r="AF15" s="443"/>
      <c r="AG15" s="454" t="s">
        <v>133</v>
      </c>
      <c r="AH15" s="444" t="s">
        <v>130</v>
      </c>
      <c r="AI15" s="443"/>
      <c r="AJ15" s="454" t="s">
        <v>133</v>
      </c>
      <c r="AK15" s="444" t="s">
        <v>130</v>
      </c>
      <c r="AL15" s="443"/>
      <c r="AM15" s="454" t="s">
        <v>133</v>
      </c>
      <c r="AN15" s="444" t="s">
        <v>130</v>
      </c>
      <c r="AO15" s="443"/>
      <c r="AP15" s="454" t="s">
        <v>133</v>
      </c>
      <c r="AQ15" s="444" t="s">
        <v>130</v>
      </c>
      <c r="AR15" s="443"/>
    </row>
    <row r="16" spans="1:44" s="54" customFormat="1" ht="25.5" customHeight="1" x14ac:dyDescent="0.2">
      <c r="A16" s="458"/>
      <c r="B16" s="467"/>
      <c r="C16" s="453"/>
      <c r="D16" s="453"/>
      <c r="E16" s="332" t="s">
        <v>131</v>
      </c>
      <c r="F16" s="333" t="s">
        <v>132</v>
      </c>
      <c r="G16" s="453"/>
      <c r="H16" s="453"/>
      <c r="I16" s="332" t="s">
        <v>131</v>
      </c>
      <c r="J16" s="333" t="s">
        <v>132</v>
      </c>
      <c r="K16" s="453"/>
      <c r="L16" s="453"/>
      <c r="M16" s="334" t="s">
        <v>131</v>
      </c>
      <c r="N16" s="335" t="s">
        <v>132</v>
      </c>
      <c r="O16" s="453"/>
      <c r="P16" s="453"/>
      <c r="Q16" s="334" t="s">
        <v>131</v>
      </c>
      <c r="R16" s="335" t="s">
        <v>132</v>
      </c>
      <c r="S16" s="453"/>
      <c r="T16" s="453"/>
      <c r="U16" s="334" t="s">
        <v>131</v>
      </c>
      <c r="V16" s="335" t="s">
        <v>132</v>
      </c>
      <c r="W16" s="453"/>
      <c r="X16" s="453"/>
      <c r="Y16" s="453"/>
      <c r="Z16" s="453"/>
      <c r="AA16" s="455"/>
      <c r="AB16" s="213" t="s">
        <v>131</v>
      </c>
      <c r="AC16" s="214" t="s">
        <v>132</v>
      </c>
      <c r="AD16" s="455"/>
      <c r="AE16" s="213" t="s">
        <v>131</v>
      </c>
      <c r="AF16" s="214" t="s">
        <v>132</v>
      </c>
      <c r="AG16" s="455"/>
      <c r="AH16" s="213" t="s">
        <v>131</v>
      </c>
      <c r="AI16" s="214" t="s">
        <v>132</v>
      </c>
      <c r="AJ16" s="455"/>
      <c r="AK16" s="213" t="s">
        <v>131</v>
      </c>
      <c r="AL16" s="214" t="s">
        <v>132</v>
      </c>
      <c r="AM16" s="455"/>
      <c r="AN16" s="213" t="s">
        <v>131</v>
      </c>
      <c r="AO16" s="214" t="s">
        <v>132</v>
      </c>
      <c r="AP16" s="455"/>
      <c r="AQ16" s="213" t="s">
        <v>131</v>
      </c>
      <c r="AR16" s="214" t="s">
        <v>132</v>
      </c>
    </row>
    <row r="17" spans="1:44" s="27" customFormat="1" ht="15.75" customHeight="1" x14ac:dyDescent="0.3">
      <c r="A17" s="301" t="s">
        <v>51</v>
      </c>
      <c r="B17" s="302" t="s">
        <v>47</v>
      </c>
      <c r="C17" s="337"/>
      <c r="D17" s="338"/>
      <c r="E17" s="338"/>
      <c r="F17" s="339"/>
      <c r="G17" s="337"/>
      <c r="H17" s="338"/>
      <c r="I17" s="338"/>
      <c r="J17" s="339"/>
      <c r="K17" s="337"/>
      <c r="L17" s="338"/>
      <c r="M17" s="338"/>
      <c r="N17" s="339"/>
      <c r="O17" s="337">
        <v>47.1</v>
      </c>
      <c r="P17" s="338">
        <v>0.84</v>
      </c>
      <c r="Q17" s="338">
        <v>46.3</v>
      </c>
      <c r="R17" s="339">
        <v>47.85</v>
      </c>
      <c r="S17" s="337"/>
      <c r="T17" s="338"/>
      <c r="U17" s="338"/>
      <c r="V17" s="339"/>
      <c r="W17" s="337">
        <v>71.5</v>
      </c>
      <c r="X17" s="338">
        <v>0.78</v>
      </c>
      <c r="Y17" s="337">
        <v>28.5</v>
      </c>
      <c r="Z17" s="338">
        <v>1.96</v>
      </c>
      <c r="AA17" s="340">
        <v>0.99</v>
      </c>
      <c r="AB17" s="341">
        <v>58.2</v>
      </c>
      <c r="AC17" s="342">
        <v>60.5</v>
      </c>
      <c r="AD17" s="340">
        <v>1.76</v>
      </c>
      <c r="AE17" s="341">
        <v>30.56</v>
      </c>
      <c r="AF17" s="342">
        <v>32.75</v>
      </c>
      <c r="AG17" s="340">
        <v>8.64</v>
      </c>
      <c r="AH17" s="341">
        <v>1.75</v>
      </c>
      <c r="AI17" s="342">
        <v>2.4700000000000002</v>
      </c>
      <c r="AJ17" s="340">
        <v>11.02</v>
      </c>
      <c r="AK17" s="341">
        <v>2.98</v>
      </c>
      <c r="AL17" s="342">
        <v>4.63</v>
      </c>
      <c r="AM17" s="340">
        <v>11.79</v>
      </c>
      <c r="AN17" s="341">
        <v>0.42</v>
      </c>
      <c r="AO17" s="342">
        <v>0.67</v>
      </c>
      <c r="AP17" s="340">
        <v>7.49</v>
      </c>
      <c r="AQ17" s="341">
        <v>2.17</v>
      </c>
      <c r="AR17" s="342">
        <v>2.91</v>
      </c>
    </row>
    <row r="18" spans="1:44" s="27" customFormat="1" ht="15.75" customHeight="1" x14ac:dyDescent="0.3">
      <c r="A18" s="16"/>
      <c r="B18" s="20" t="s">
        <v>48</v>
      </c>
      <c r="C18" s="343"/>
      <c r="D18" s="344"/>
      <c r="E18" s="344"/>
      <c r="F18" s="345"/>
      <c r="G18" s="343"/>
      <c r="H18" s="344"/>
      <c r="I18" s="344"/>
      <c r="J18" s="345"/>
      <c r="K18" s="343"/>
      <c r="L18" s="344"/>
      <c r="M18" s="344"/>
      <c r="N18" s="345"/>
      <c r="O18" s="343">
        <v>48.1</v>
      </c>
      <c r="P18" s="344">
        <v>0.87</v>
      </c>
      <c r="Q18" s="344">
        <v>47.23</v>
      </c>
      <c r="R18" s="345">
        <v>48.87</v>
      </c>
      <c r="S18" s="343"/>
      <c r="T18" s="344"/>
      <c r="U18" s="344"/>
      <c r="V18" s="345"/>
      <c r="W18" s="343">
        <v>65.5</v>
      </c>
      <c r="X18" s="344">
        <v>0.89</v>
      </c>
      <c r="Y18" s="343">
        <v>34.5</v>
      </c>
      <c r="Z18" s="344">
        <v>1.68</v>
      </c>
      <c r="AA18" s="346">
        <v>1.44</v>
      </c>
      <c r="AB18" s="347">
        <v>47.19</v>
      </c>
      <c r="AC18" s="348">
        <v>49.93</v>
      </c>
      <c r="AD18" s="346">
        <v>1.71</v>
      </c>
      <c r="AE18" s="347">
        <v>39.380000000000003</v>
      </c>
      <c r="AF18" s="348">
        <v>42.11</v>
      </c>
      <c r="AG18" s="346">
        <v>11.78</v>
      </c>
      <c r="AH18" s="347">
        <v>1.97</v>
      </c>
      <c r="AI18" s="348">
        <v>3.15</v>
      </c>
      <c r="AJ18" s="346">
        <v>3.76</v>
      </c>
      <c r="AK18" s="347">
        <v>4.72</v>
      </c>
      <c r="AL18" s="348">
        <v>5.47</v>
      </c>
      <c r="AM18" s="346">
        <v>10.76</v>
      </c>
      <c r="AN18" s="347">
        <v>0.46</v>
      </c>
      <c r="AO18" s="348">
        <v>0.7</v>
      </c>
      <c r="AP18" s="346">
        <v>12.41</v>
      </c>
      <c r="AQ18" s="347">
        <v>1.86</v>
      </c>
      <c r="AR18" s="348">
        <v>3.05</v>
      </c>
    </row>
    <row r="19" spans="1:44" s="27" customFormat="1" ht="15.75" customHeight="1" x14ac:dyDescent="0.3">
      <c r="A19" s="16"/>
      <c r="B19" s="64" t="s">
        <v>49</v>
      </c>
      <c r="C19" s="349"/>
      <c r="D19" s="350"/>
      <c r="E19" s="350"/>
      <c r="F19" s="351"/>
      <c r="G19" s="349"/>
      <c r="H19" s="350"/>
      <c r="I19" s="350"/>
      <c r="J19" s="351"/>
      <c r="K19" s="349"/>
      <c r="L19" s="350"/>
      <c r="M19" s="350"/>
      <c r="N19" s="351"/>
      <c r="O19" s="349">
        <v>47.3</v>
      </c>
      <c r="P19" s="350">
        <v>0.87</v>
      </c>
      <c r="Q19" s="350">
        <v>46.47</v>
      </c>
      <c r="R19" s="351">
        <v>48.07</v>
      </c>
      <c r="S19" s="349"/>
      <c r="T19" s="350"/>
      <c r="U19" s="350"/>
      <c r="V19" s="351"/>
      <c r="W19" s="349">
        <v>67.5</v>
      </c>
      <c r="X19" s="350">
        <v>0.89</v>
      </c>
      <c r="Y19" s="349">
        <v>32.5</v>
      </c>
      <c r="Z19" s="350">
        <v>1.85</v>
      </c>
      <c r="AA19" s="352">
        <v>1.32</v>
      </c>
      <c r="AB19" s="353">
        <v>48.95</v>
      </c>
      <c r="AC19" s="354">
        <v>51.56</v>
      </c>
      <c r="AD19" s="352">
        <v>1.64</v>
      </c>
      <c r="AE19" s="353">
        <v>38.36</v>
      </c>
      <c r="AF19" s="354">
        <v>40.909999999999997</v>
      </c>
      <c r="AG19" s="352">
        <v>12.39</v>
      </c>
      <c r="AH19" s="353">
        <v>1.65</v>
      </c>
      <c r="AI19" s="354">
        <v>2.7</v>
      </c>
      <c r="AJ19" s="352">
        <v>3.98</v>
      </c>
      <c r="AK19" s="353">
        <v>4.3499999999999996</v>
      </c>
      <c r="AL19" s="354">
        <v>5.08</v>
      </c>
      <c r="AM19" s="352">
        <v>8.89</v>
      </c>
      <c r="AN19" s="353">
        <v>0.5</v>
      </c>
      <c r="AO19" s="354">
        <v>0.71</v>
      </c>
      <c r="AP19" s="352">
        <v>12.15</v>
      </c>
      <c r="AQ19" s="353">
        <v>1.99</v>
      </c>
      <c r="AR19" s="354">
        <v>3.24</v>
      </c>
    </row>
    <row r="20" spans="1:44" s="27" customFormat="1" ht="15.75" customHeight="1" x14ac:dyDescent="0.3">
      <c r="A20" s="16"/>
      <c r="B20" s="20" t="s">
        <v>14</v>
      </c>
      <c r="C20" s="343"/>
      <c r="D20" s="344"/>
      <c r="E20" s="344"/>
      <c r="F20" s="345"/>
      <c r="G20" s="343"/>
      <c r="H20" s="344"/>
      <c r="I20" s="344"/>
      <c r="J20" s="345"/>
      <c r="K20" s="343"/>
      <c r="L20" s="344"/>
      <c r="M20" s="344"/>
      <c r="N20" s="345"/>
      <c r="O20" s="343">
        <v>45.7</v>
      </c>
      <c r="P20" s="344">
        <v>0.83</v>
      </c>
      <c r="Q20" s="344">
        <v>44.94</v>
      </c>
      <c r="R20" s="345">
        <v>46.42</v>
      </c>
      <c r="S20" s="343"/>
      <c r="T20" s="344"/>
      <c r="U20" s="344"/>
      <c r="V20" s="345"/>
      <c r="W20" s="343">
        <v>68.5</v>
      </c>
      <c r="X20" s="344">
        <v>0.87</v>
      </c>
      <c r="Y20" s="343">
        <v>31.5</v>
      </c>
      <c r="Z20" s="344">
        <v>1.9</v>
      </c>
      <c r="AA20" s="346">
        <v>1.21</v>
      </c>
      <c r="AB20" s="347">
        <v>51.74</v>
      </c>
      <c r="AC20" s="348">
        <v>54.26</v>
      </c>
      <c r="AD20" s="346">
        <v>1.69</v>
      </c>
      <c r="AE20" s="347">
        <v>36.72</v>
      </c>
      <c r="AF20" s="348">
        <v>39.229999999999997</v>
      </c>
      <c r="AG20" s="346">
        <v>10.5</v>
      </c>
      <c r="AH20" s="347">
        <v>1.8</v>
      </c>
      <c r="AI20" s="348">
        <v>2.73</v>
      </c>
      <c r="AJ20" s="346">
        <v>4.41</v>
      </c>
      <c r="AK20" s="347">
        <v>3.94</v>
      </c>
      <c r="AL20" s="348">
        <v>4.6900000000000004</v>
      </c>
      <c r="AM20" s="346">
        <v>10.09</v>
      </c>
      <c r="AN20" s="347">
        <v>0.35</v>
      </c>
      <c r="AO20" s="348">
        <v>0.53</v>
      </c>
      <c r="AP20" s="346">
        <v>13.97</v>
      </c>
      <c r="AQ20" s="347">
        <v>1.46</v>
      </c>
      <c r="AR20" s="348">
        <v>2.56</v>
      </c>
    </row>
    <row r="21" spans="1:44" s="27" customFormat="1" ht="15.75" customHeight="1" x14ac:dyDescent="0.3">
      <c r="A21" s="16"/>
      <c r="B21" s="64" t="s">
        <v>15</v>
      </c>
      <c r="C21" s="349"/>
      <c r="D21" s="350"/>
      <c r="E21" s="350"/>
      <c r="F21" s="351"/>
      <c r="G21" s="349"/>
      <c r="H21" s="350"/>
      <c r="I21" s="350"/>
      <c r="J21" s="351"/>
      <c r="K21" s="349"/>
      <c r="L21" s="350"/>
      <c r="M21" s="350"/>
      <c r="N21" s="351"/>
      <c r="O21" s="349">
        <v>45.6</v>
      </c>
      <c r="P21" s="350">
        <v>0.91</v>
      </c>
      <c r="Q21" s="350">
        <v>44.74</v>
      </c>
      <c r="R21" s="351">
        <v>46.37</v>
      </c>
      <c r="S21" s="349"/>
      <c r="T21" s="350"/>
      <c r="U21" s="350"/>
      <c r="V21" s="351"/>
      <c r="W21" s="349">
        <v>67.5</v>
      </c>
      <c r="X21" s="350">
        <v>0.9</v>
      </c>
      <c r="Y21" s="349">
        <v>32.5</v>
      </c>
      <c r="Z21" s="350">
        <v>1.86</v>
      </c>
      <c r="AA21" s="352">
        <v>1.5</v>
      </c>
      <c r="AB21" s="353">
        <v>44.98</v>
      </c>
      <c r="AC21" s="354">
        <v>47.71</v>
      </c>
      <c r="AD21" s="352">
        <v>1.62</v>
      </c>
      <c r="AE21" s="353">
        <v>41.41</v>
      </c>
      <c r="AF21" s="354">
        <v>44.12</v>
      </c>
      <c r="AG21" s="352">
        <v>11.53</v>
      </c>
      <c r="AH21" s="353">
        <v>1.88</v>
      </c>
      <c r="AI21" s="354">
        <v>2.98</v>
      </c>
      <c r="AJ21" s="352">
        <v>3.79</v>
      </c>
      <c r="AK21" s="353">
        <v>4.8099999999999996</v>
      </c>
      <c r="AL21" s="354">
        <v>5.58</v>
      </c>
      <c r="AM21" s="352">
        <v>8.3699999999999992</v>
      </c>
      <c r="AN21" s="353">
        <v>0.46</v>
      </c>
      <c r="AO21" s="354">
        <v>0.64</v>
      </c>
      <c r="AP21" s="352">
        <v>10.199999999999999</v>
      </c>
      <c r="AQ21" s="353">
        <v>2.17</v>
      </c>
      <c r="AR21" s="354">
        <v>3.25</v>
      </c>
    </row>
    <row r="22" spans="1:44" s="27" customFormat="1" ht="15.75" customHeight="1" x14ac:dyDescent="0.3">
      <c r="A22" s="16"/>
      <c r="B22" s="20" t="s">
        <v>16</v>
      </c>
      <c r="C22" s="343"/>
      <c r="D22" s="344"/>
      <c r="E22" s="344"/>
      <c r="F22" s="345"/>
      <c r="G22" s="343"/>
      <c r="H22" s="344"/>
      <c r="I22" s="344"/>
      <c r="J22" s="345"/>
      <c r="K22" s="343"/>
      <c r="L22" s="344"/>
      <c r="M22" s="344"/>
      <c r="N22" s="345"/>
      <c r="O22" s="343">
        <v>48.2</v>
      </c>
      <c r="P22" s="344">
        <v>0.83</v>
      </c>
      <c r="Q22" s="344">
        <v>47.46</v>
      </c>
      <c r="R22" s="345">
        <v>49.03</v>
      </c>
      <c r="S22" s="343"/>
      <c r="T22" s="344"/>
      <c r="U22" s="344"/>
      <c r="V22" s="345"/>
      <c r="W22" s="343">
        <v>71.8</v>
      </c>
      <c r="X22" s="344">
        <v>0.73</v>
      </c>
      <c r="Y22" s="343">
        <v>28.2</v>
      </c>
      <c r="Z22" s="344">
        <v>1.85</v>
      </c>
      <c r="AA22" s="346">
        <v>1.07</v>
      </c>
      <c r="AB22" s="347">
        <v>51.87</v>
      </c>
      <c r="AC22" s="348">
        <v>54.09</v>
      </c>
      <c r="AD22" s="346">
        <v>1.48</v>
      </c>
      <c r="AE22" s="347">
        <v>36.33</v>
      </c>
      <c r="AF22" s="348">
        <v>38.51</v>
      </c>
      <c r="AG22" s="346">
        <v>10.79</v>
      </c>
      <c r="AH22" s="347">
        <v>1.71</v>
      </c>
      <c r="AI22" s="348">
        <v>2.62</v>
      </c>
      <c r="AJ22" s="346">
        <v>4.3899999999999997</v>
      </c>
      <c r="AK22" s="347">
        <v>4.0599999999999996</v>
      </c>
      <c r="AL22" s="348">
        <v>4.82</v>
      </c>
      <c r="AM22" s="346">
        <v>7.47</v>
      </c>
      <c r="AN22" s="347">
        <v>0.3</v>
      </c>
      <c r="AO22" s="348">
        <v>0.41</v>
      </c>
      <c r="AP22" s="346">
        <v>9.92</v>
      </c>
      <c r="AQ22" s="347">
        <v>2.13</v>
      </c>
      <c r="AR22" s="348">
        <v>3.15</v>
      </c>
    </row>
    <row r="23" spans="1:44" s="27" customFormat="1" ht="15.75" customHeight="1" x14ac:dyDescent="0.3">
      <c r="A23" s="16"/>
      <c r="B23" s="64" t="s">
        <v>8</v>
      </c>
      <c r="C23" s="349"/>
      <c r="D23" s="350"/>
      <c r="E23" s="350"/>
      <c r="F23" s="351"/>
      <c r="G23" s="349"/>
      <c r="H23" s="350"/>
      <c r="I23" s="350"/>
      <c r="J23" s="351"/>
      <c r="K23" s="349"/>
      <c r="L23" s="350"/>
      <c r="M23" s="350"/>
      <c r="N23" s="351"/>
      <c r="O23" s="349">
        <v>49.4</v>
      </c>
      <c r="P23" s="350">
        <v>0.82</v>
      </c>
      <c r="Q23" s="350">
        <v>48.65</v>
      </c>
      <c r="R23" s="351">
        <v>50.23</v>
      </c>
      <c r="S23" s="349"/>
      <c r="T23" s="350"/>
      <c r="U23" s="350"/>
      <c r="V23" s="351"/>
      <c r="W23" s="349">
        <v>70.900000000000006</v>
      </c>
      <c r="X23" s="350">
        <v>0.7</v>
      </c>
      <c r="Y23" s="349">
        <v>29.1</v>
      </c>
      <c r="Z23" s="350">
        <v>1.71</v>
      </c>
      <c r="AA23" s="352">
        <v>1.39</v>
      </c>
      <c r="AB23" s="353">
        <v>50.86</v>
      </c>
      <c r="AC23" s="354">
        <v>53.7</v>
      </c>
      <c r="AD23" s="352">
        <v>1.99</v>
      </c>
      <c r="AE23" s="353">
        <v>35.53</v>
      </c>
      <c r="AF23" s="354">
        <v>38.409999999999997</v>
      </c>
      <c r="AG23" s="352">
        <v>8.94</v>
      </c>
      <c r="AH23" s="353">
        <v>2.44</v>
      </c>
      <c r="AI23" s="354">
        <v>3.48</v>
      </c>
      <c r="AJ23" s="352">
        <v>4.91</v>
      </c>
      <c r="AK23" s="353">
        <v>3.94</v>
      </c>
      <c r="AL23" s="354">
        <v>4.78</v>
      </c>
      <c r="AM23" s="352">
        <v>9.39</v>
      </c>
      <c r="AN23" s="353">
        <v>0.31</v>
      </c>
      <c r="AO23" s="354">
        <v>0.44</v>
      </c>
      <c r="AP23" s="352">
        <v>8.99</v>
      </c>
      <c r="AQ23" s="353">
        <v>2.52</v>
      </c>
      <c r="AR23" s="354">
        <v>3.6</v>
      </c>
    </row>
    <row r="24" spans="1:44" s="27" customFormat="1" ht="15.75" customHeight="1" x14ac:dyDescent="0.3">
      <c r="A24" s="16"/>
      <c r="B24" s="20" t="s">
        <v>9</v>
      </c>
      <c r="C24" s="343"/>
      <c r="D24" s="344"/>
      <c r="E24" s="344"/>
      <c r="F24" s="345"/>
      <c r="G24" s="343"/>
      <c r="H24" s="344"/>
      <c r="I24" s="344"/>
      <c r="J24" s="345"/>
      <c r="K24" s="343"/>
      <c r="L24" s="344"/>
      <c r="M24" s="344"/>
      <c r="N24" s="345"/>
      <c r="O24" s="343">
        <v>51.8</v>
      </c>
      <c r="P24" s="344">
        <v>0.81</v>
      </c>
      <c r="Q24" s="344">
        <v>50.94</v>
      </c>
      <c r="R24" s="345">
        <v>52.58</v>
      </c>
      <c r="S24" s="343"/>
      <c r="T24" s="344"/>
      <c r="U24" s="344"/>
      <c r="V24" s="345"/>
      <c r="W24" s="343">
        <v>67</v>
      </c>
      <c r="X24" s="344">
        <v>0.91</v>
      </c>
      <c r="Y24" s="343">
        <v>33</v>
      </c>
      <c r="Z24" s="344">
        <v>1.85</v>
      </c>
      <c r="AA24" s="346">
        <v>1.32</v>
      </c>
      <c r="AB24" s="347">
        <v>49</v>
      </c>
      <c r="AC24" s="348">
        <v>51.61</v>
      </c>
      <c r="AD24" s="346">
        <v>1.84</v>
      </c>
      <c r="AE24" s="347">
        <v>37.71</v>
      </c>
      <c r="AF24" s="348">
        <v>40.53</v>
      </c>
      <c r="AG24" s="346">
        <v>6.52</v>
      </c>
      <c r="AH24" s="347">
        <v>2.42</v>
      </c>
      <c r="AI24" s="348">
        <v>3.12</v>
      </c>
      <c r="AJ24" s="346">
        <v>5.0999999999999996</v>
      </c>
      <c r="AK24" s="347">
        <v>4.13</v>
      </c>
      <c r="AL24" s="348">
        <v>5.05</v>
      </c>
      <c r="AM24" s="346">
        <v>9.07</v>
      </c>
      <c r="AN24" s="347">
        <v>0.28999999999999998</v>
      </c>
      <c r="AO24" s="348">
        <v>0.42</v>
      </c>
      <c r="AP24" s="346">
        <v>12.45</v>
      </c>
      <c r="AQ24" s="347">
        <v>2.16</v>
      </c>
      <c r="AR24" s="348">
        <v>3.55</v>
      </c>
    </row>
    <row r="25" spans="1:44" s="27" customFormat="1" ht="15.75" customHeight="1" x14ac:dyDescent="0.3">
      <c r="A25" s="16"/>
      <c r="B25" s="64" t="s">
        <v>10</v>
      </c>
      <c r="C25" s="349"/>
      <c r="D25" s="350"/>
      <c r="E25" s="350"/>
      <c r="F25" s="351"/>
      <c r="G25" s="349"/>
      <c r="H25" s="350"/>
      <c r="I25" s="350"/>
      <c r="J25" s="351"/>
      <c r="K25" s="349"/>
      <c r="L25" s="350"/>
      <c r="M25" s="350"/>
      <c r="N25" s="351"/>
      <c r="O25" s="349">
        <v>50</v>
      </c>
      <c r="P25" s="350">
        <v>0.8</v>
      </c>
      <c r="Q25" s="350">
        <v>49.26</v>
      </c>
      <c r="R25" s="351">
        <v>50.82</v>
      </c>
      <c r="S25" s="349"/>
      <c r="T25" s="350"/>
      <c r="U25" s="350"/>
      <c r="V25" s="351"/>
      <c r="W25" s="349">
        <v>69.400000000000006</v>
      </c>
      <c r="X25" s="350">
        <v>0.88</v>
      </c>
      <c r="Y25" s="349">
        <v>30.6</v>
      </c>
      <c r="Z25" s="350">
        <v>2</v>
      </c>
      <c r="AA25" s="352">
        <v>1.42</v>
      </c>
      <c r="AB25" s="353">
        <v>46.53</v>
      </c>
      <c r="AC25" s="354">
        <v>49.2</v>
      </c>
      <c r="AD25" s="352">
        <v>1.81</v>
      </c>
      <c r="AE25" s="353">
        <v>39.56</v>
      </c>
      <c r="AF25" s="354">
        <v>42.47</v>
      </c>
      <c r="AG25" s="352">
        <v>10.68</v>
      </c>
      <c r="AH25" s="353">
        <v>2.02</v>
      </c>
      <c r="AI25" s="354">
        <v>3.09</v>
      </c>
      <c r="AJ25" s="352">
        <v>4.4000000000000004</v>
      </c>
      <c r="AK25" s="353">
        <v>4.7</v>
      </c>
      <c r="AL25" s="354">
        <v>5.58</v>
      </c>
      <c r="AM25" s="352">
        <v>10.97</v>
      </c>
      <c r="AN25" s="353">
        <v>0.43</v>
      </c>
      <c r="AO25" s="354">
        <v>0.66</v>
      </c>
      <c r="AP25" s="352">
        <v>13.84</v>
      </c>
      <c r="AQ25" s="353">
        <v>2.1</v>
      </c>
      <c r="AR25" s="354">
        <v>3.67</v>
      </c>
    </row>
    <row r="26" spans="1:44" s="27" customFormat="1" ht="15.75" customHeight="1" x14ac:dyDescent="0.3">
      <c r="A26" s="16"/>
      <c r="B26" s="20" t="s">
        <v>11</v>
      </c>
      <c r="C26" s="343"/>
      <c r="D26" s="344"/>
      <c r="E26" s="344"/>
      <c r="F26" s="345"/>
      <c r="G26" s="343"/>
      <c r="H26" s="344"/>
      <c r="I26" s="344"/>
      <c r="J26" s="345"/>
      <c r="K26" s="343"/>
      <c r="L26" s="344"/>
      <c r="M26" s="344"/>
      <c r="N26" s="345"/>
      <c r="O26" s="343">
        <v>49.6</v>
      </c>
      <c r="P26" s="344">
        <v>0.79</v>
      </c>
      <c r="Q26" s="344">
        <v>48.85</v>
      </c>
      <c r="R26" s="345">
        <v>50.38</v>
      </c>
      <c r="S26" s="343"/>
      <c r="T26" s="344"/>
      <c r="U26" s="344"/>
      <c r="V26" s="345"/>
      <c r="W26" s="343">
        <v>70.5</v>
      </c>
      <c r="X26" s="344">
        <v>0.88</v>
      </c>
      <c r="Y26" s="343">
        <v>29.5</v>
      </c>
      <c r="Z26" s="344">
        <v>2.11</v>
      </c>
      <c r="AA26" s="346">
        <v>1.46</v>
      </c>
      <c r="AB26" s="347">
        <v>48.35</v>
      </c>
      <c r="AC26" s="348">
        <v>51.21</v>
      </c>
      <c r="AD26" s="346">
        <v>1.82</v>
      </c>
      <c r="AE26" s="347">
        <v>37.450000000000003</v>
      </c>
      <c r="AF26" s="348">
        <v>40.22</v>
      </c>
      <c r="AG26" s="346">
        <v>7.68</v>
      </c>
      <c r="AH26" s="347">
        <v>2.19</v>
      </c>
      <c r="AI26" s="348">
        <v>2.96</v>
      </c>
      <c r="AJ26" s="346">
        <v>4.67</v>
      </c>
      <c r="AK26" s="347">
        <v>4.6399999999999997</v>
      </c>
      <c r="AL26" s="348">
        <v>5.57</v>
      </c>
      <c r="AM26" s="346">
        <v>8.1</v>
      </c>
      <c r="AN26" s="347">
        <v>0.71</v>
      </c>
      <c r="AO26" s="348">
        <v>0.97</v>
      </c>
      <c r="AP26" s="346">
        <v>9.14</v>
      </c>
      <c r="AQ26" s="347">
        <v>2.35</v>
      </c>
      <c r="AR26" s="348">
        <v>3.37</v>
      </c>
    </row>
    <row r="27" spans="1:44" s="27" customFormat="1" ht="15.75" customHeight="1" x14ac:dyDescent="0.3">
      <c r="A27" s="16"/>
      <c r="B27" s="64" t="s">
        <v>12</v>
      </c>
      <c r="C27" s="349"/>
      <c r="D27" s="350"/>
      <c r="E27" s="350"/>
      <c r="F27" s="351"/>
      <c r="G27" s="349"/>
      <c r="H27" s="350"/>
      <c r="I27" s="350"/>
      <c r="J27" s="351"/>
      <c r="K27" s="349"/>
      <c r="L27" s="350"/>
      <c r="M27" s="350"/>
      <c r="N27" s="351"/>
      <c r="O27" s="349">
        <v>53.3</v>
      </c>
      <c r="P27" s="350">
        <v>0.73</v>
      </c>
      <c r="Q27" s="350">
        <v>52.52</v>
      </c>
      <c r="R27" s="351">
        <v>54.04</v>
      </c>
      <c r="S27" s="349"/>
      <c r="T27" s="350"/>
      <c r="U27" s="350"/>
      <c r="V27" s="351"/>
      <c r="W27" s="349">
        <v>70.400000000000006</v>
      </c>
      <c r="X27" s="350">
        <v>0.91</v>
      </c>
      <c r="Y27" s="349">
        <v>29.6</v>
      </c>
      <c r="Z27" s="350">
        <v>2.17</v>
      </c>
      <c r="AA27" s="352">
        <v>1.4</v>
      </c>
      <c r="AB27" s="353">
        <v>48.46</v>
      </c>
      <c r="AC27" s="354">
        <v>51.2</v>
      </c>
      <c r="AD27" s="352">
        <v>1.8</v>
      </c>
      <c r="AE27" s="353">
        <v>36.79</v>
      </c>
      <c r="AF27" s="354">
        <v>39.479999999999997</v>
      </c>
      <c r="AG27" s="352">
        <v>9.2799999999999994</v>
      </c>
      <c r="AH27" s="353">
        <v>2.2000000000000002</v>
      </c>
      <c r="AI27" s="354">
        <v>3.18</v>
      </c>
      <c r="AJ27" s="352">
        <v>4.33</v>
      </c>
      <c r="AK27" s="353">
        <v>4.9400000000000004</v>
      </c>
      <c r="AL27" s="354">
        <v>5.85</v>
      </c>
      <c r="AM27" s="352">
        <v>6.47</v>
      </c>
      <c r="AN27" s="353">
        <v>0.81</v>
      </c>
      <c r="AO27" s="354">
        <v>1.05</v>
      </c>
      <c r="AP27" s="352">
        <v>10.18</v>
      </c>
      <c r="AQ27" s="353">
        <v>2.42</v>
      </c>
      <c r="AR27" s="354">
        <v>3.63</v>
      </c>
    </row>
    <row r="28" spans="1:44" s="27" customFormat="1" ht="15.75" customHeight="1" x14ac:dyDescent="0.3">
      <c r="A28" s="16"/>
      <c r="B28" s="20" t="s">
        <v>13</v>
      </c>
      <c r="C28" s="343"/>
      <c r="D28" s="344"/>
      <c r="E28" s="344"/>
      <c r="F28" s="345"/>
      <c r="G28" s="343"/>
      <c r="H28" s="344"/>
      <c r="I28" s="344"/>
      <c r="J28" s="345"/>
      <c r="K28" s="343"/>
      <c r="L28" s="344"/>
      <c r="M28" s="344"/>
      <c r="N28" s="345"/>
      <c r="O28" s="343">
        <v>49.8</v>
      </c>
      <c r="P28" s="344">
        <v>0.77</v>
      </c>
      <c r="Q28" s="344">
        <v>49.03</v>
      </c>
      <c r="R28" s="345">
        <v>50.52</v>
      </c>
      <c r="S28" s="343"/>
      <c r="T28" s="344"/>
      <c r="U28" s="344"/>
      <c r="V28" s="345"/>
      <c r="W28" s="343">
        <v>72.7</v>
      </c>
      <c r="X28" s="344">
        <v>0.88</v>
      </c>
      <c r="Y28" s="343">
        <v>27.3</v>
      </c>
      <c r="Z28" s="344">
        <v>2.35</v>
      </c>
      <c r="AA28" s="346">
        <v>1.0900000000000001</v>
      </c>
      <c r="AB28" s="347">
        <v>57.59</v>
      </c>
      <c r="AC28" s="348">
        <v>60.1</v>
      </c>
      <c r="AD28" s="346">
        <v>2.0299999999999998</v>
      </c>
      <c r="AE28" s="347">
        <v>29.09</v>
      </c>
      <c r="AF28" s="348">
        <v>31.5</v>
      </c>
      <c r="AG28" s="346">
        <v>10.76</v>
      </c>
      <c r="AH28" s="347">
        <v>2.4700000000000002</v>
      </c>
      <c r="AI28" s="348">
        <v>3.79</v>
      </c>
      <c r="AJ28" s="346">
        <v>5.03</v>
      </c>
      <c r="AK28" s="347">
        <v>3.27</v>
      </c>
      <c r="AL28" s="348">
        <v>3.98</v>
      </c>
      <c r="AM28" s="346">
        <v>4.84</v>
      </c>
      <c r="AN28" s="347">
        <v>0.6</v>
      </c>
      <c r="AO28" s="348">
        <v>0.72</v>
      </c>
      <c r="AP28" s="346">
        <v>7.4</v>
      </c>
      <c r="AQ28" s="347">
        <v>2.94</v>
      </c>
      <c r="AR28" s="348">
        <v>3.93</v>
      </c>
    </row>
    <row r="29" spans="1:44" s="27" customFormat="1" ht="15.75" customHeight="1" x14ac:dyDescent="0.3">
      <c r="A29" s="69" t="s">
        <v>52</v>
      </c>
      <c r="B29" s="64" t="s">
        <v>47</v>
      </c>
      <c r="C29" s="349">
        <v>12</v>
      </c>
      <c r="D29" s="350">
        <v>0.4</v>
      </c>
      <c r="E29" s="350">
        <v>11.13</v>
      </c>
      <c r="F29" s="351">
        <v>12.87</v>
      </c>
      <c r="G29" s="349">
        <v>8.16</v>
      </c>
      <c r="H29" s="350">
        <v>0.39</v>
      </c>
      <c r="I29" s="350">
        <v>7.33</v>
      </c>
      <c r="J29" s="351">
        <v>8.99</v>
      </c>
      <c r="K29" s="349">
        <v>2.1800000000000002</v>
      </c>
      <c r="L29" s="350">
        <v>0.3</v>
      </c>
      <c r="M29" s="350">
        <v>1.57</v>
      </c>
      <c r="N29" s="351">
        <v>2.79</v>
      </c>
      <c r="O29" s="349">
        <v>50.3</v>
      </c>
      <c r="P29" s="350">
        <v>0.8</v>
      </c>
      <c r="Q29" s="350">
        <v>49.47</v>
      </c>
      <c r="R29" s="351">
        <v>51.04</v>
      </c>
      <c r="S29" s="349">
        <v>2.4118128919898618</v>
      </c>
      <c r="T29" s="350">
        <v>0.47216003609257556</v>
      </c>
      <c r="U29" s="350">
        <v>1.4640594926706563</v>
      </c>
      <c r="V29" s="351">
        <v>3.3595662913090671</v>
      </c>
      <c r="W29" s="349">
        <v>71.3</v>
      </c>
      <c r="X29" s="350">
        <v>0.85</v>
      </c>
      <c r="Y29" s="349">
        <v>28.7</v>
      </c>
      <c r="Z29" s="350">
        <v>2.11</v>
      </c>
      <c r="AA29" s="352">
        <v>1.0900000000000001</v>
      </c>
      <c r="AB29" s="353">
        <v>59.65</v>
      </c>
      <c r="AC29" s="354">
        <v>62.25</v>
      </c>
      <c r="AD29" s="352">
        <v>2.1</v>
      </c>
      <c r="AE29" s="353">
        <v>28.01</v>
      </c>
      <c r="AF29" s="354">
        <v>30.41</v>
      </c>
      <c r="AG29" s="352">
        <v>6.87</v>
      </c>
      <c r="AH29" s="353">
        <v>2.31</v>
      </c>
      <c r="AI29" s="354">
        <v>3.03</v>
      </c>
      <c r="AJ29" s="352">
        <v>7.47</v>
      </c>
      <c r="AK29" s="353">
        <v>3.28</v>
      </c>
      <c r="AL29" s="354">
        <v>4.4000000000000004</v>
      </c>
      <c r="AM29" s="352">
        <v>4.67</v>
      </c>
      <c r="AN29" s="353">
        <v>0.55000000000000004</v>
      </c>
      <c r="AO29" s="354">
        <v>0.66</v>
      </c>
      <c r="AP29" s="352">
        <v>6.87</v>
      </c>
      <c r="AQ29" s="353">
        <v>2.35</v>
      </c>
      <c r="AR29" s="354">
        <v>3.08</v>
      </c>
    </row>
    <row r="30" spans="1:44" s="27" customFormat="1" ht="15.75" customHeight="1" x14ac:dyDescent="0.3">
      <c r="A30" s="26"/>
      <c r="B30" s="28" t="s">
        <v>48</v>
      </c>
      <c r="C30" s="355">
        <v>15.23</v>
      </c>
      <c r="D30" s="356">
        <v>0.41</v>
      </c>
      <c r="E30" s="356">
        <v>14.31</v>
      </c>
      <c r="F30" s="357">
        <v>16.16</v>
      </c>
      <c r="G30" s="355">
        <v>10.41</v>
      </c>
      <c r="H30" s="356">
        <v>0.41</v>
      </c>
      <c r="I30" s="356">
        <v>9.5299999999999994</v>
      </c>
      <c r="J30" s="357">
        <v>11.29</v>
      </c>
      <c r="K30" s="355">
        <v>2.4300000000000002</v>
      </c>
      <c r="L30" s="356">
        <v>0.32</v>
      </c>
      <c r="M30" s="356">
        <v>1.78</v>
      </c>
      <c r="N30" s="357">
        <v>3.09</v>
      </c>
      <c r="O30" s="355">
        <v>50.7</v>
      </c>
      <c r="P30" s="356">
        <v>0.83</v>
      </c>
      <c r="Q30" s="356">
        <v>49.85</v>
      </c>
      <c r="R30" s="357">
        <v>51.51</v>
      </c>
      <c r="S30" s="355">
        <v>1.7235125387819572</v>
      </c>
      <c r="T30" s="356">
        <v>0.36439921835516975</v>
      </c>
      <c r="U30" s="356">
        <v>0.99698035701545795</v>
      </c>
      <c r="V30" s="357">
        <v>2.4500447205484566</v>
      </c>
      <c r="W30" s="355">
        <v>64.2</v>
      </c>
      <c r="X30" s="356">
        <v>1.01</v>
      </c>
      <c r="Y30" s="355">
        <v>35.799999999999997</v>
      </c>
      <c r="Z30" s="356">
        <v>1.81</v>
      </c>
      <c r="AA30" s="346">
        <v>1.49</v>
      </c>
      <c r="AB30" s="347">
        <v>49.07</v>
      </c>
      <c r="AC30" s="348">
        <v>52.03</v>
      </c>
      <c r="AD30" s="346">
        <v>2</v>
      </c>
      <c r="AE30" s="347">
        <v>37.01</v>
      </c>
      <c r="AF30" s="348">
        <v>40.04</v>
      </c>
      <c r="AG30" s="346">
        <v>8.76</v>
      </c>
      <c r="AH30" s="347">
        <v>2.59</v>
      </c>
      <c r="AI30" s="348">
        <v>3.67</v>
      </c>
      <c r="AJ30" s="346">
        <v>5.26</v>
      </c>
      <c r="AK30" s="347">
        <v>4.0599999999999996</v>
      </c>
      <c r="AL30" s="348">
        <v>4.99</v>
      </c>
      <c r="AM30" s="346">
        <v>4.3499999999999996</v>
      </c>
      <c r="AN30" s="347">
        <v>0.56999999999999995</v>
      </c>
      <c r="AO30" s="348">
        <v>0.67</v>
      </c>
      <c r="AP30" s="346">
        <v>10.8</v>
      </c>
      <c r="AQ30" s="347">
        <v>2.09</v>
      </c>
      <c r="AR30" s="348">
        <v>3.21</v>
      </c>
    </row>
    <row r="31" spans="1:44" s="27" customFormat="1" ht="15.75" customHeight="1" x14ac:dyDescent="0.3">
      <c r="A31" s="26"/>
      <c r="B31" s="64" t="s">
        <v>49</v>
      </c>
      <c r="C31" s="349">
        <v>-44.39</v>
      </c>
      <c r="D31" s="350">
        <v>0.49</v>
      </c>
      <c r="E31" s="350">
        <v>-44.92</v>
      </c>
      <c r="F31" s="351">
        <v>-43.85</v>
      </c>
      <c r="G31" s="349">
        <v>-45.13</v>
      </c>
      <c r="H31" s="350">
        <v>0.49</v>
      </c>
      <c r="I31" s="350">
        <v>-45.65</v>
      </c>
      <c r="J31" s="351">
        <v>-44.6</v>
      </c>
      <c r="K31" s="349">
        <v>-6.65</v>
      </c>
      <c r="L31" s="350">
        <v>0.36</v>
      </c>
      <c r="M31" s="350">
        <v>-7.3</v>
      </c>
      <c r="N31" s="351">
        <v>-5.99</v>
      </c>
      <c r="O31" s="349">
        <v>32.799999999999997</v>
      </c>
      <c r="P31" s="350">
        <v>1.05</v>
      </c>
      <c r="Q31" s="350">
        <v>32.090000000000003</v>
      </c>
      <c r="R31" s="351">
        <v>33.43</v>
      </c>
      <c r="S31" s="349">
        <v>-6.3896802552806715</v>
      </c>
      <c r="T31" s="350">
        <v>0.43501518768814468</v>
      </c>
      <c r="U31" s="350">
        <v>-7.1878297072212796</v>
      </c>
      <c r="V31" s="351">
        <v>-5.5915308033400644</v>
      </c>
      <c r="W31" s="349">
        <v>65.8</v>
      </c>
      <c r="X31" s="350">
        <v>1.18</v>
      </c>
      <c r="Y31" s="349">
        <v>34.200000000000003</v>
      </c>
      <c r="Z31" s="350">
        <v>2.27</v>
      </c>
      <c r="AA31" s="352">
        <v>1.54</v>
      </c>
      <c r="AB31" s="353">
        <v>46.73</v>
      </c>
      <c r="AC31" s="354">
        <v>49.65</v>
      </c>
      <c r="AD31" s="352">
        <v>1.96</v>
      </c>
      <c r="AE31" s="353">
        <v>39.01</v>
      </c>
      <c r="AF31" s="354">
        <v>42.13</v>
      </c>
      <c r="AG31" s="352">
        <v>14.14</v>
      </c>
      <c r="AH31" s="353">
        <v>2.75</v>
      </c>
      <c r="AI31" s="354">
        <v>4.8600000000000003</v>
      </c>
      <c r="AJ31" s="352">
        <v>5.15</v>
      </c>
      <c r="AK31" s="353">
        <v>3.57</v>
      </c>
      <c r="AL31" s="354">
        <v>4.37</v>
      </c>
      <c r="AM31" s="352">
        <v>4.47</v>
      </c>
      <c r="AN31" s="353">
        <v>0.77</v>
      </c>
      <c r="AO31" s="354">
        <v>0.92</v>
      </c>
      <c r="AP31" s="352">
        <v>13.32</v>
      </c>
      <c r="AQ31" s="353">
        <v>1.93</v>
      </c>
      <c r="AR31" s="354">
        <v>3.3</v>
      </c>
    </row>
    <row r="32" spans="1:44" s="27" customFormat="1" ht="15.75" customHeight="1" x14ac:dyDescent="0.3">
      <c r="A32" s="26"/>
      <c r="B32" s="28" t="s">
        <v>14</v>
      </c>
      <c r="C32" s="355">
        <v>-95.27</v>
      </c>
      <c r="D32" s="356">
        <v>3.8</v>
      </c>
      <c r="E32" s="356">
        <v>-95.62</v>
      </c>
      <c r="F32" s="357">
        <v>-94.92</v>
      </c>
      <c r="G32" s="355">
        <v>-94.94</v>
      </c>
      <c r="H32" s="356">
        <v>4.01</v>
      </c>
      <c r="I32" s="356">
        <v>-95.34</v>
      </c>
      <c r="J32" s="357">
        <v>-94.55</v>
      </c>
      <c r="K32" s="355">
        <v>-24.47</v>
      </c>
      <c r="L32" s="356">
        <v>0.56999999999999995</v>
      </c>
      <c r="M32" s="356">
        <v>-25.32</v>
      </c>
      <c r="N32" s="357">
        <v>-23.62</v>
      </c>
      <c r="O32" s="355">
        <v>8.9</v>
      </c>
      <c r="P32" s="356">
        <v>5.34</v>
      </c>
      <c r="Q32" s="356">
        <v>7.93</v>
      </c>
      <c r="R32" s="357">
        <v>9.7799999999999994</v>
      </c>
      <c r="S32" s="355">
        <v>-35.903745164968726</v>
      </c>
      <c r="T32" s="356">
        <v>0.92107107130835897</v>
      </c>
      <c r="U32" s="356">
        <v>-37.060874404680739</v>
      </c>
      <c r="V32" s="357">
        <v>-34.746615925256712</v>
      </c>
      <c r="W32" s="355">
        <v>76.2</v>
      </c>
      <c r="X32" s="356">
        <v>3.52</v>
      </c>
      <c r="Y32" s="355">
        <v>23.8</v>
      </c>
      <c r="Z32" s="356">
        <v>11.29</v>
      </c>
      <c r="AA32" s="346">
        <v>13.9</v>
      </c>
      <c r="AB32" s="347">
        <v>5.8</v>
      </c>
      <c r="AC32" s="348">
        <v>10.14</v>
      </c>
      <c r="AD32" s="346">
        <v>6.66</v>
      </c>
      <c r="AE32" s="347">
        <v>59.15</v>
      </c>
      <c r="AF32" s="348">
        <v>76.92</v>
      </c>
      <c r="AG32" s="346">
        <v>39.119999999999997</v>
      </c>
      <c r="AH32" s="347">
        <v>2.79</v>
      </c>
      <c r="AI32" s="348">
        <v>21.14</v>
      </c>
      <c r="AJ32" s="346">
        <v>71.53</v>
      </c>
      <c r="AK32" s="347">
        <v>-0.3</v>
      </c>
      <c r="AL32" s="348">
        <v>1.79</v>
      </c>
      <c r="AM32" s="346">
        <v>50.23</v>
      </c>
      <c r="AN32" s="347">
        <v>0.05</v>
      </c>
      <c r="AO32" s="348">
        <v>6.25</v>
      </c>
      <c r="AP32" s="346">
        <v>17.14</v>
      </c>
      <c r="AQ32" s="347">
        <v>5.41</v>
      </c>
      <c r="AR32" s="348">
        <v>10.88</v>
      </c>
    </row>
    <row r="33" spans="1:44" s="27" customFormat="1" ht="15.75" customHeight="1" x14ac:dyDescent="0.3">
      <c r="A33" s="26"/>
      <c r="B33" s="64" t="s">
        <v>15</v>
      </c>
      <c r="C33" s="349">
        <v>-94.99</v>
      </c>
      <c r="D33" s="350">
        <v>3.9</v>
      </c>
      <c r="E33" s="350">
        <v>-95.37</v>
      </c>
      <c r="F33" s="351">
        <v>-94.61</v>
      </c>
      <c r="G33" s="349">
        <v>-94.64</v>
      </c>
      <c r="H33" s="350">
        <v>4.04</v>
      </c>
      <c r="I33" s="350">
        <v>-95.07</v>
      </c>
      <c r="J33" s="351">
        <v>-94.22</v>
      </c>
      <c r="K33" s="349">
        <v>-30.85</v>
      </c>
      <c r="L33" s="350">
        <v>0.74</v>
      </c>
      <c r="M33" s="350">
        <v>-31.84</v>
      </c>
      <c r="N33" s="351">
        <v>-29.85</v>
      </c>
      <c r="O33" s="349">
        <v>11.3</v>
      </c>
      <c r="P33" s="350">
        <v>4.88</v>
      </c>
      <c r="Q33" s="350">
        <v>10.18</v>
      </c>
      <c r="R33" s="351">
        <v>12.34</v>
      </c>
      <c r="S33" s="349">
        <v>-36.495477509353101</v>
      </c>
      <c r="T33" s="350">
        <v>1.0472827407161771</v>
      </c>
      <c r="U33" s="350">
        <v>-37.799018440445884</v>
      </c>
      <c r="V33" s="351">
        <v>-35.191936578260318</v>
      </c>
      <c r="W33" s="349">
        <v>88.2</v>
      </c>
      <c r="X33" s="350">
        <v>1.26</v>
      </c>
      <c r="Y33" s="349">
        <v>11.8</v>
      </c>
      <c r="Z33" s="350">
        <v>9.3699999999999992</v>
      </c>
      <c r="AA33" s="352">
        <v>22.72</v>
      </c>
      <c r="AB33" s="353">
        <v>3.61</v>
      </c>
      <c r="AC33" s="354">
        <v>9.4</v>
      </c>
      <c r="AD33" s="352">
        <v>4.34</v>
      </c>
      <c r="AE33" s="353">
        <v>61.88</v>
      </c>
      <c r="AF33" s="354">
        <v>73.400000000000006</v>
      </c>
      <c r="AG33" s="352">
        <v>13.5</v>
      </c>
      <c r="AH33" s="353">
        <v>5.61</v>
      </c>
      <c r="AI33" s="354">
        <v>9.65</v>
      </c>
      <c r="AJ33" s="352">
        <v>46.31</v>
      </c>
      <c r="AK33" s="353">
        <v>0.1</v>
      </c>
      <c r="AL33" s="354">
        <v>2.08</v>
      </c>
      <c r="AM33" s="352">
        <v>8.64</v>
      </c>
      <c r="AN33" s="353">
        <v>0.39</v>
      </c>
      <c r="AO33" s="354">
        <v>0.55000000000000004</v>
      </c>
      <c r="AP33" s="352">
        <v>18.059999999999999</v>
      </c>
      <c r="AQ33" s="353">
        <v>10.76</v>
      </c>
      <c r="AR33" s="354">
        <v>22.56</v>
      </c>
    </row>
    <row r="34" spans="1:44" s="27" customFormat="1" ht="15.75" customHeight="1" x14ac:dyDescent="0.3">
      <c r="A34" s="26"/>
      <c r="B34" s="28" t="s">
        <v>16</v>
      </c>
      <c r="C34" s="355">
        <v>-93.47</v>
      </c>
      <c r="D34" s="356">
        <v>2.74</v>
      </c>
      <c r="E34" s="356">
        <v>-93.82</v>
      </c>
      <c r="F34" s="357">
        <v>-93.12</v>
      </c>
      <c r="G34" s="355">
        <v>-92.9</v>
      </c>
      <c r="H34" s="356">
        <v>2.83</v>
      </c>
      <c r="I34" s="356">
        <v>-93.29</v>
      </c>
      <c r="J34" s="357">
        <v>-92.5</v>
      </c>
      <c r="K34" s="355">
        <v>-37.81</v>
      </c>
      <c r="L34" s="356">
        <v>0.78</v>
      </c>
      <c r="M34" s="356">
        <v>-38.76</v>
      </c>
      <c r="N34" s="357">
        <v>-36.85</v>
      </c>
      <c r="O34" s="355">
        <v>12.7</v>
      </c>
      <c r="P34" s="356">
        <v>3.75</v>
      </c>
      <c r="Q34" s="356">
        <v>11.78</v>
      </c>
      <c r="R34" s="357">
        <v>13.65</v>
      </c>
      <c r="S34" s="355">
        <v>-34.881175289761025</v>
      </c>
      <c r="T34" s="356">
        <v>0.94795092324835417</v>
      </c>
      <c r="U34" s="356">
        <v>-36.091072509857433</v>
      </c>
      <c r="V34" s="357">
        <v>-33.671278069664616</v>
      </c>
      <c r="W34" s="355">
        <v>91.7</v>
      </c>
      <c r="X34" s="356">
        <v>0.72</v>
      </c>
      <c r="Y34" s="355">
        <v>8.3000000000000007</v>
      </c>
      <c r="Z34" s="356">
        <v>7.95</v>
      </c>
      <c r="AA34" s="346">
        <v>17.64</v>
      </c>
      <c r="AB34" s="347">
        <v>2.4700000000000002</v>
      </c>
      <c r="AC34" s="348">
        <v>5.07</v>
      </c>
      <c r="AD34" s="346">
        <v>4.78</v>
      </c>
      <c r="AE34" s="347">
        <v>60.09</v>
      </c>
      <c r="AF34" s="348">
        <v>72.52</v>
      </c>
      <c r="AG34" s="346">
        <v>20.12</v>
      </c>
      <c r="AH34" s="347">
        <v>7.46</v>
      </c>
      <c r="AI34" s="348">
        <v>17.170000000000002</v>
      </c>
      <c r="AJ34" s="346">
        <v>29.12</v>
      </c>
      <c r="AK34" s="347">
        <v>0.19</v>
      </c>
      <c r="AL34" s="348">
        <v>0.68</v>
      </c>
      <c r="AM34" s="346">
        <v>9.7799999999999994</v>
      </c>
      <c r="AN34" s="347">
        <v>1.35</v>
      </c>
      <c r="AO34" s="348">
        <v>2</v>
      </c>
      <c r="AP34" s="346">
        <v>15.3</v>
      </c>
      <c r="AQ34" s="347">
        <v>10.85</v>
      </c>
      <c r="AR34" s="348">
        <v>20.149999999999999</v>
      </c>
    </row>
    <row r="35" spans="1:44" s="27" customFormat="1" ht="15.75" customHeight="1" x14ac:dyDescent="0.3">
      <c r="A35" s="26"/>
      <c r="B35" s="64" t="s">
        <v>8</v>
      </c>
      <c r="C35" s="349">
        <v>-92.58</v>
      </c>
      <c r="D35" s="350">
        <v>2.83</v>
      </c>
      <c r="E35" s="350">
        <v>-92.99</v>
      </c>
      <c r="F35" s="351">
        <v>-92.17</v>
      </c>
      <c r="G35" s="349">
        <v>-91.83</v>
      </c>
      <c r="H35" s="350">
        <v>2.86</v>
      </c>
      <c r="I35" s="350">
        <v>-92.29</v>
      </c>
      <c r="J35" s="351">
        <v>-91.38</v>
      </c>
      <c r="K35" s="349">
        <v>-42.73</v>
      </c>
      <c r="L35" s="350">
        <v>0.82</v>
      </c>
      <c r="M35" s="350">
        <v>-43.65</v>
      </c>
      <c r="N35" s="351">
        <v>-41.81</v>
      </c>
      <c r="O35" s="349">
        <v>14.1</v>
      </c>
      <c r="P35" s="350">
        <v>3.07</v>
      </c>
      <c r="Q35" s="350">
        <v>13.21</v>
      </c>
      <c r="R35" s="351">
        <v>14.9</v>
      </c>
      <c r="S35" s="349">
        <v>-36.539677407747448</v>
      </c>
      <c r="T35" s="350">
        <v>1.0213820831902081</v>
      </c>
      <c r="U35" s="350">
        <v>-37.810095242935716</v>
      </c>
      <c r="V35" s="351">
        <v>-35.269259572559179</v>
      </c>
      <c r="W35" s="349">
        <v>94.7</v>
      </c>
      <c r="X35" s="350">
        <v>0.34</v>
      </c>
      <c r="Y35" s="349">
        <v>5.3</v>
      </c>
      <c r="Z35" s="350">
        <v>6.04</v>
      </c>
      <c r="AA35" s="352">
        <v>12.88</v>
      </c>
      <c r="AB35" s="353">
        <v>1.1299999999999999</v>
      </c>
      <c r="AC35" s="354">
        <v>1.9</v>
      </c>
      <c r="AD35" s="352">
        <v>3.2</v>
      </c>
      <c r="AE35" s="353">
        <v>69.47</v>
      </c>
      <c r="AF35" s="354">
        <v>78.77</v>
      </c>
      <c r="AG35" s="352">
        <v>15.18</v>
      </c>
      <c r="AH35" s="353">
        <v>7.55</v>
      </c>
      <c r="AI35" s="354">
        <v>13.94</v>
      </c>
      <c r="AJ35" s="352">
        <v>25.92</v>
      </c>
      <c r="AK35" s="353">
        <v>0.27</v>
      </c>
      <c r="AL35" s="354">
        <v>0.82</v>
      </c>
      <c r="AM35" s="352">
        <v>18.899999999999999</v>
      </c>
      <c r="AN35" s="353">
        <v>0.23</v>
      </c>
      <c r="AO35" s="354">
        <v>0.51</v>
      </c>
      <c r="AP35" s="352">
        <v>15.86</v>
      </c>
      <c r="AQ35" s="353">
        <v>8.76</v>
      </c>
      <c r="AR35" s="354">
        <v>16.649999999999999</v>
      </c>
    </row>
    <row r="36" spans="1:44" s="27" customFormat="1" ht="15.75" customHeight="1" x14ac:dyDescent="0.3">
      <c r="A36" s="26"/>
      <c r="B36" s="28" t="s">
        <v>9</v>
      </c>
      <c r="C36" s="355">
        <v>-92.14</v>
      </c>
      <c r="D36" s="356">
        <v>2.68</v>
      </c>
      <c r="E36" s="356">
        <v>-92.55</v>
      </c>
      <c r="F36" s="357">
        <v>-91.73</v>
      </c>
      <c r="G36" s="355">
        <v>-91.46</v>
      </c>
      <c r="H36" s="356">
        <v>2.74</v>
      </c>
      <c r="I36" s="356">
        <v>-91.92</v>
      </c>
      <c r="J36" s="357">
        <v>-91</v>
      </c>
      <c r="K36" s="355">
        <v>-45.04</v>
      </c>
      <c r="L36" s="356">
        <v>0.85</v>
      </c>
      <c r="M36" s="356">
        <v>-45.96</v>
      </c>
      <c r="N36" s="357">
        <v>-44.12</v>
      </c>
      <c r="O36" s="355">
        <v>13.6</v>
      </c>
      <c r="P36" s="356">
        <v>3.13</v>
      </c>
      <c r="Q36" s="356">
        <v>12.74</v>
      </c>
      <c r="R36" s="357">
        <v>14.41</v>
      </c>
      <c r="S36" s="355">
        <v>-36.533794914931661</v>
      </c>
      <c r="T36" s="356">
        <v>1.0943583971582311</v>
      </c>
      <c r="U36" s="356">
        <v>-37.895108494555636</v>
      </c>
      <c r="V36" s="357">
        <v>-35.172481335307687</v>
      </c>
      <c r="W36" s="355">
        <v>93.9</v>
      </c>
      <c r="X36" s="356">
        <v>1.0900000000000001</v>
      </c>
      <c r="Y36" s="355">
        <v>6.1</v>
      </c>
      <c r="Z36" s="356">
        <v>16.71</v>
      </c>
      <c r="AA36" s="346">
        <v>9.92</v>
      </c>
      <c r="AB36" s="347">
        <v>3.7</v>
      </c>
      <c r="AC36" s="348">
        <v>5.48</v>
      </c>
      <c r="AD36" s="346">
        <v>2.75</v>
      </c>
      <c r="AE36" s="347">
        <v>72.489999999999995</v>
      </c>
      <c r="AF36" s="348">
        <v>80.75</v>
      </c>
      <c r="AG36" s="346">
        <v>19.22</v>
      </c>
      <c r="AH36" s="347">
        <v>6.33</v>
      </c>
      <c r="AI36" s="348">
        <v>13.98</v>
      </c>
      <c r="AJ36" s="346">
        <v>42.81</v>
      </c>
      <c r="AK36" s="347">
        <v>0.11</v>
      </c>
      <c r="AL36" s="348">
        <v>1.21</v>
      </c>
      <c r="AM36" s="346">
        <v>9.9499999999999993</v>
      </c>
      <c r="AN36" s="347">
        <v>0.43</v>
      </c>
      <c r="AO36" s="348">
        <v>0.64</v>
      </c>
      <c r="AP36" s="346">
        <v>10.26</v>
      </c>
      <c r="AQ36" s="347">
        <v>5.94</v>
      </c>
      <c r="AR36" s="348">
        <v>8.93</v>
      </c>
    </row>
    <row r="37" spans="1:44" s="27" customFormat="1" ht="15.75" customHeight="1" x14ac:dyDescent="0.3">
      <c r="A37" s="26"/>
      <c r="B37" s="64" t="s">
        <v>10</v>
      </c>
      <c r="C37" s="349">
        <v>-84.05</v>
      </c>
      <c r="D37" s="350">
        <v>1.75</v>
      </c>
      <c r="E37" s="350">
        <v>-84.6</v>
      </c>
      <c r="F37" s="351">
        <v>-83.51</v>
      </c>
      <c r="G37" s="349">
        <v>-83.15</v>
      </c>
      <c r="H37" s="350">
        <v>1.77</v>
      </c>
      <c r="I37" s="350">
        <v>-83.73</v>
      </c>
      <c r="J37" s="351">
        <v>-82.56</v>
      </c>
      <c r="K37" s="349">
        <v>-44.65</v>
      </c>
      <c r="L37" s="350">
        <v>0.82</v>
      </c>
      <c r="M37" s="350">
        <v>-45.54</v>
      </c>
      <c r="N37" s="351">
        <v>-43.77</v>
      </c>
      <c r="O37" s="349">
        <v>17.899999999999999</v>
      </c>
      <c r="P37" s="350">
        <v>2.23</v>
      </c>
      <c r="Q37" s="350">
        <v>17.149999999999999</v>
      </c>
      <c r="R37" s="351">
        <v>18.72</v>
      </c>
      <c r="S37" s="349">
        <v>-29.850556137470686</v>
      </c>
      <c r="T37" s="350">
        <v>0.92730551504371672</v>
      </c>
      <c r="U37" s="350">
        <v>-31.125535474421756</v>
      </c>
      <c r="V37" s="351">
        <v>-28.575576800519613</v>
      </c>
      <c r="W37" s="349">
        <v>93.9</v>
      </c>
      <c r="X37" s="350">
        <v>0.37</v>
      </c>
      <c r="Y37" s="349">
        <v>6.1</v>
      </c>
      <c r="Z37" s="350">
        <v>5.69</v>
      </c>
      <c r="AA37" s="352">
        <v>3.82</v>
      </c>
      <c r="AB37" s="353">
        <v>27.54</v>
      </c>
      <c r="AC37" s="354">
        <v>32</v>
      </c>
      <c r="AD37" s="352">
        <v>2.62</v>
      </c>
      <c r="AE37" s="353">
        <v>55.48</v>
      </c>
      <c r="AF37" s="354">
        <v>61.49</v>
      </c>
      <c r="AG37" s="352">
        <v>23</v>
      </c>
      <c r="AH37" s="353">
        <v>3.78</v>
      </c>
      <c r="AI37" s="354">
        <v>9.98</v>
      </c>
      <c r="AJ37" s="352">
        <v>24.72</v>
      </c>
      <c r="AK37" s="353">
        <v>0.46</v>
      </c>
      <c r="AL37" s="354">
        <v>1.32</v>
      </c>
      <c r="AM37" s="352">
        <v>12.91</v>
      </c>
      <c r="AN37" s="353">
        <v>0.27</v>
      </c>
      <c r="AO37" s="354">
        <v>0.45</v>
      </c>
      <c r="AP37" s="352">
        <v>17.010000000000002</v>
      </c>
      <c r="AQ37" s="353">
        <v>2.41</v>
      </c>
      <c r="AR37" s="354">
        <v>4.82</v>
      </c>
    </row>
    <row r="38" spans="1:44" s="27" customFormat="1" ht="15.75" customHeight="1" x14ac:dyDescent="0.3">
      <c r="A38" s="26"/>
      <c r="B38" s="28" t="s">
        <v>11</v>
      </c>
      <c r="C38" s="355">
        <v>-66.400000000000006</v>
      </c>
      <c r="D38" s="356">
        <v>0.98</v>
      </c>
      <c r="E38" s="356">
        <v>-67.040000000000006</v>
      </c>
      <c r="F38" s="357">
        <v>-65.75</v>
      </c>
      <c r="G38" s="355">
        <v>-64.55</v>
      </c>
      <c r="H38" s="356">
        <v>0.99</v>
      </c>
      <c r="I38" s="356">
        <v>-65.239999999999995</v>
      </c>
      <c r="J38" s="357">
        <v>-63.86</v>
      </c>
      <c r="K38" s="355">
        <v>-41.55</v>
      </c>
      <c r="L38" s="356">
        <v>0.76</v>
      </c>
      <c r="M38" s="356">
        <v>-42.42</v>
      </c>
      <c r="N38" s="357">
        <v>-40.68</v>
      </c>
      <c r="O38" s="355">
        <v>25.8</v>
      </c>
      <c r="P38" s="356">
        <v>1.45</v>
      </c>
      <c r="Q38" s="356">
        <v>25.08</v>
      </c>
      <c r="R38" s="357">
        <v>26.54</v>
      </c>
      <c r="S38" s="355">
        <v>-20.565246676285089</v>
      </c>
      <c r="T38" s="356">
        <v>0.80991015040705516</v>
      </c>
      <c r="U38" s="356">
        <v>-21.82621293131945</v>
      </c>
      <c r="V38" s="357">
        <v>-19.304280421250724</v>
      </c>
      <c r="W38" s="355">
        <v>90.3</v>
      </c>
      <c r="X38" s="356">
        <v>0.35</v>
      </c>
      <c r="Y38" s="355">
        <v>9.6999999999999993</v>
      </c>
      <c r="Z38" s="356">
        <v>3.25</v>
      </c>
      <c r="AA38" s="346">
        <v>1.9</v>
      </c>
      <c r="AB38" s="347">
        <v>47.49</v>
      </c>
      <c r="AC38" s="348">
        <v>51.15</v>
      </c>
      <c r="AD38" s="346">
        <v>2.1800000000000002</v>
      </c>
      <c r="AE38" s="347">
        <v>41.81</v>
      </c>
      <c r="AF38" s="348">
        <v>45.55</v>
      </c>
      <c r="AG38" s="346">
        <v>16.95</v>
      </c>
      <c r="AH38" s="347">
        <v>2.0699999999999998</v>
      </c>
      <c r="AI38" s="348">
        <v>4.13</v>
      </c>
      <c r="AJ38" s="346">
        <v>8.7799999999999994</v>
      </c>
      <c r="AK38" s="347">
        <v>0.59</v>
      </c>
      <c r="AL38" s="348">
        <v>0.83</v>
      </c>
      <c r="AM38" s="346">
        <v>17.940000000000001</v>
      </c>
      <c r="AN38" s="347">
        <v>0.27</v>
      </c>
      <c r="AO38" s="348">
        <v>0.55000000000000004</v>
      </c>
      <c r="AP38" s="346">
        <v>12.48</v>
      </c>
      <c r="AQ38" s="347">
        <v>2.1</v>
      </c>
      <c r="AR38" s="348">
        <v>3.46</v>
      </c>
    </row>
    <row r="39" spans="1:44" s="27" customFormat="1" ht="15.75" customHeight="1" x14ac:dyDescent="0.3">
      <c r="A39" s="26"/>
      <c r="B39" s="64" t="s">
        <v>12</v>
      </c>
      <c r="C39" s="349">
        <v>-60.87</v>
      </c>
      <c r="D39" s="350">
        <v>0.89</v>
      </c>
      <c r="E39" s="350">
        <v>-61.56</v>
      </c>
      <c r="F39" s="351">
        <v>-60.19</v>
      </c>
      <c r="G39" s="349">
        <v>-58.45</v>
      </c>
      <c r="H39" s="350">
        <v>0.9</v>
      </c>
      <c r="I39" s="350">
        <v>-59.19</v>
      </c>
      <c r="J39" s="351">
        <v>-57.72</v>
      </c>
      <c r="K39" s="349">
        <v>-40.24</v>
      </c>
      <c r="L39" s="350">
        <v>0.72</v>
      </c>
      <c r="M39" s="350">
        <v>-41.08</v>
      </c>
      <c r="N39" s="351">
        <v>-39.4</v>
      </c>
      <c r="O39" s="349">
        <v>30.7</v>
      </c>
      <c r="P39" s="350">
        <v>1.36</v>
      </c>
      <c r="Q39" s="350">
        <v>29.84</v>
      </c>
      <c r="R39" s="351">
        <v>31.48</v>
      </c>
      <c r="S39" s="349">
        <v>-14.896876563397532</v>
      </c>
      <c r="T39" s="350">
        <v>0.76936255441375023</v>
      </c>
      <c r="U39" s="350">
        <v>-16.180189629538685</v>
      </c>
      <c r="V39" s="351">
        <v>-13.613563497256379</v>
      </c>
      <c r="W39" s="349">
        <v>87.9</v>
      </c>
      <c r="X39" s="350">
        <v>0.63</v>
      </c>
      <c r="Y39" s="349">
        <v>12.1</v>
      </c>
      <c r="Z39" s="350">
        <v>4.57</v>
      </c>
      <c r="AA39" s="352">
        <v>1.85</v>
      </c>
      <c r="AB39" s="353">
        <v>47.94</v>
      </c>
      <c r="AC39" s="354">
        <v>51.55</v>
      </c>
      <c r="AD39" s="352">
        <v>2.1800000000000002</v>
      </c>
      <c r="AE39" s="353">
        <v>41.05</v>
      </c>
      <c r="AF39" s="354">
        <v>44.72</v>
      </c>
      <c r="AG39" s="352">
        <v>14.55</v>
      </c>
      <c r="AH39" s="353">
        <v>2.48</v>
      </c>
      <c r="AI39" s="354">
        <v>4.46</v>
      </c>
      <c r="AJ39" s="352">
        <v>18.940000000000001</v>
      </c>
      <c r="AK39" s="353">
        <v>0.69</v>
      </c>
      <c r="AL39" s="354">
        <v>1.5</v>
      </c>
      <c r="AM39" s="352">
        <v>18.97</v>
      </c>
      <c r="AN39" s="353">
        <v>0.17</v>
      </c>
      <c r="AO39" s="354">
        <v>0.38</v>
      </c>
      <c r="AP39" s="352">
        <v>8.15</v>
      </c>
      <c r="AQ39" s="353">
        <v>2.13</v>
      </c>
      <c r="AR39" s="354">
        <v>2.94</v>
      </c>
    </row>
    <row r="40" spans="1:44" s="27" customFormat="1" ht="15.75" customHeight="1" x14ac:dyDescent="0.3">
      <c r="A40" s="26"/>
      <c r="B40" s="28" t="s">
        <v>13</v>
      </c>
      <c r="C40" s="355">
        <v>-52.46</v>
      </c>
      <c r="D40" s="356">
        <v>0.72</v>
      </c>
      <c r="E40" s="356">
        <v>-53.14</v>
      </c>
      <c r="F40" s="357">
        <v>-51.79</v>
      </c>
      <c r="G40" s="355">
        <v>-49.14</v>
      </c>
      <c r="H40" s="356">
        <v>0.73</v>
      </c>
      <c r="I40" s="356">
        <v>-49.87</v>
      </c>
      <c r="J40" s="357">
        <v>-48.42</v>
      </c>
      <c r="K40" s="355">
        <v>-37.950000000000003</v>
      </c>
      <c r="L40" s="356">
        <v>0.71</v>
      </c>
      <c r="M40" s="356">
        <v>-38.81</v>
      </c>
      <c r="N40" s="357">
        <v>-37.090000000000003</v>
      </c>
      <c r="O40" s="355">
        <v>32.799999999999997</v>
      </c>
      <c r="P40" s="356">
        <v>1.18</v>
      </c>
      <c r="Q40" s="356">
        <v>32.03</v>
      </c>
      <c r="R40" s="357">
        <v>33.54</v>
      </c>
      <c r="S40" s="355">
        <v>-11.333386211203623</v>
      </c>
      <c r="T40" s="356">
        <v>0.76077856138051059</v>
      </c>
      <c r="U40" s="356">
        <v>-12.655517125265769</v>
      </c>
      <c r="V40" s="357">
        <v>-10.011255297141473</v>
      </c>
      <c r="W40" s="355">
        <v>87.6</v>
      </c>
      <c r="X40" s="356">
        <v>0.48</v>
      </c>
      <c r="Y40" s="355">
        <v>12.4</v>
      </c>
      <c r="Z40" s="356">
        <v>3.42</v>
      </c>
      <c r="AA40" s="346">
        <v>1.43</v>
      </c>
      <c r="AB40" s="347">
        <v>57.76</v>
      </c>
      <c r="AC40" s="348">
        <v>61.1</v>
      </c>
      <c r="AD40" s="346">
        <v>2.4</v>
      </c>
      <c r="AE40" s="347">
        <v>31.83</v>
      </c>
      <c r="AF40" s="348">
        <v>34.979999999999997</v>
      </c>
      <c r="AG40" s="346">
        <v>14.29</v>
      </c>
      <c r="AH40" s="347">
        <v>2.2799999999999998</v>
      </c>
      <c r="AI40" s="348">
        <v>4.05</v>
      </c>
      <c r="AJ40" s="346">
        <v>14.42</v>
      </c>
      <c r="AK40" s="347">
        <v>1.01</v>
      </c>
      <c r="AL40" s="348">
        <v>1.8</v>
      </c>
      <c r="AM40" s="346">
        <v>7.32</v>
      </c>
      <c r="AN40" s="347">
        <v>0.34</v>
      </c>
      <c r="AO40" s="348">
        <v>0.45</v>
      </c>
      <c r="AP40" s="346">
        <v>4.04</v>
      </c>
      <c r="AQ40" s="347">
        <v>2.0299999999999998</v>
      </c>
      <c r="AR40" s="348">
        <v>2.38</v>
      </c>
    </row>
    <row r="41" spans="1:44" s="27" customFormat="1" ht="15.75" customHeight="1" x14ac:dyDescent="0.3">
      <c r="A41" s="69" t="s">
        <v>124</v>
      </c>
      <c r="B41" s="64" t="s">
        <v>47</v>
      </c>
      <c r="C41" s="349">
        <v>-49.82</v>
      </c>
      <c r="D41" s="350">
        <v>0.95</v>
      </c>
      <c r="E41" s="350">
        <v>-50.75</v>
      </c>
      <c r="F41" s="351">
        <v>-48.89</v>
      </c>
      <c r="G41" s="349">
        <v>-45.56</v>
      </c>
      <c r="H41" s="350">
        <v>0.96</v>
      </c>
      <c r="I41" s="350">
        <v>-46.58</v>
      </c>
      <c r="J41" s="351">
        <v>-44.54</v>
      </c>
      <c r="K41" s="349">
        <v>-37.47</v>
      </c>
      <c r="L41" s="350">
        <v>0.7</v>
      </c>
      <c r="M41" s="350">
        <v>-38.33</v>
      </c>
      <c r="N41" s="351">
        <v>-36.61</v>
      </c>
      <c r="O41" s="349">
        <v>31.9</v>
      </c>
      <c r="P41" s="350">
        <v>1.22</v>
      </c>
      <c r="Q41" s="350">
        <v>31.16</v>
      </c>
      <c r="R41" s="351">
        <v>32.69</v>
      </c>
      <c r="S41" s="349">
        <v>-5.9258877950221116</v>
      </c>
      <c r="T41" s="350">
        <v>0.68202640367847533</v>
      </c>
      <c r="U41" s="350">
        <v>-7.1834439521796769</v>
      </c>
      <c r="V41" s="351">
        <v>-4.6683316378645454</v>
      </c>
      <c r="W41" s="349">
        <v>88.1</v>
      </c>
      <c r="X41" s="350">
        <v>0.38</v>
      </c>
      <c r="Y41" s="349">
        <v>11.9</v>
      </c>
      <c r="Z41" s="350">
        <v>2.79</v>
      </c>
      <c r="AA41" s="352">
        <v>1.51</v>
      </c>
      <c r="AB41" s="353">
        <v>60.63</v>
      </c>
      <c r="AC41" s="354">
        <v>64.31</v>
      </c>
      <c r="AD41" s="352">
        <v>2.72</v>
      </c>
      <c r="AE41" s="353">
        <v>30.01</v>
      </c>
      <c r="AF41" s="354">
        <v>33.39</v>
      </c>
      <c r="AG41" s="352">
        <v>15.22</v>
      </c>
      <c r="AH41" s="353">
        <v>1.6</v>
      </c>
      <c r="AI41" s="354">
        <v>2.95</v>
      </c>
      <c r="AJ41" s="352">
        <v>6.91</v>
      </c>
      <c r="AK41" s="353">
        <v>0.83</v>
      </c>
      <c r="AL41" s="354">
        <v>1.0900000000000001</v>
      </c>
      <c r="AM41" s="352">
        <v>7.9</v>
      </c>
      <c r="AN41" s="353">
        <v>0.18</v>
      </c>
      <c r="AO41" s="354">
        <v>0.25</v>
      </c>
      <c r="AP41" s="352">
        <v>7.85</v>
      </c>
      <c r="AQ41" s="353">
        <v>2.0099999999999998</v>
      </c>
      <c r="AR41" s="354">
        <v>2.74</v>
      </c>
    </row>
    <row r="42" spans="1:44" s="27" customFormat="1" ht="15.75" customHeight="1" x14ac:dyDescent="0.3">
      <c r="A42" s="26"/>
      <c r="B42" s="28" t="s">
        <v>48</v>
      </c>
      <c r="C42" s="355">
        <v>-56.27</v>
      </c>
      <c r="D42" s="356">
        <v>0.99</v>
      </c>
      <c r="E42" s="356">
        <v>-57.11</v>
      </c>
      <c r="F42" s="357">
        <v>-55.42</v>
      </c>
      <c r="G42" s="355">
        <v>-52.11</v>
      </c>
      <c r="H42" s="356">
        <v>1.01</v>
      </c>
      <c r="I42" s="356">
        <v>-53.06</v>
      </c>
      <c r="J42" s="357">
        <v>-51.17</v>
      </c>
      <c r="K42" s="355">
        <v>-37.979999999999997</v>
      </c>
      <c r="L42" s="356">
        <v>0.71</v>
      </c>
      <c r="M42" s="356">
        <v>-38.840000000000003</v>
      </c>
      <c r="N42" s="357">
        <v>-37.119999999999997</v>
      </c>
      <c r="O42" s="355">
        <v>31.5</v>
      </c>
      <c r="P42" s="356">
        <v>1.2</v>
      </c>
      <c r="Q42" s="356">
        <v>30.76</v>
      </c>
      <c r="R42" s="357">
        <v>32.24</v>
      </c>
      <c r="S42" s="355">
        <v>-6.3929590970946411</v>
      </c>
      <c r="T42" s="356">
        <v>0.63301719889520913</v>
      </c>
      <c r="U42" s="356">
        <v>-7.5543544869474788</v>
      </c>
      <c r="V42" s="357">
        <v>-5.2315637072418033</v>
      </c>
      <c r="W42" s="355">
        <v>87.8</v>
      </c>
      <c r="X42" s="356">
        <v>0.46</v>
      </c>
      <c r="Y42" s="355">
        <v>12.2</v>
      </c>
      <c r="Z42" s="356">
        <v>3.29</v>
      </c>
      <c r="AA42" s="346">
        <v>1.81</v>
      </c>
      <c r="AB42" s="347">
        <v>53.68</v>
      </c>
      <c r="AC42" s="348">
        <v>57.63</v>
      </c>
      <c r="AD42" s="346">
        <v>2.4900000000000002</v>
      </c>
      <c r="AE42" s="347">
        <v>35.1</v>
      </c>
      <c r="AF42" s="348">
        <v>38.700000000000003</v>
      </c>
      <c r="AG42" s="346">
        <v>9.36</v>
      </c>
      <c r="AH42" s="347">
        <v>2.11</v>
      </c>
      <c r="AI42" s="348">
        <v>3.05</v>
      </c>
      <c r="AJ42" s="346">
        <v>10.25</v>
      </c>
      <c r="AK42" s="347">
        <v>1.39</v>
      </c>
      <c r="AL42" s="348">
        <v>2.08</v>
      </c>
      <c r="AM42" s="346">
        <v>5.28</v>
      </c>
      <c r="AN42" s="347">
        <v>0.32</v>
      </c>
      <c r="AO42" s="348">
        <v>0.39</v>
      </c>
      <c r="AP42" s="346">
        <v>17.260000000000002</v>
      </c>
      <c r="AQ42" s="347">
        <v>1.84</v>
      </c>
      <c r="AR42" s="348">
        <v>3.72</v>
      </c>
    </row>
    <row r="43" spans="1:44" s="27" customFormat="1" ht="15.75" customHeight="1" x14ac:dyDescent="0.3">
      <c r="A43" s="26"/>
      <c r="B43" s="64" t="s">
        <v>49</v>
      </c>
      <c r="C43" s="349">
        <v>9.65</v>
      </c>
      <c r="D43" s="350">
        <v>0.92</v>
      </c>
      <c r="E43" s="350">
        <v>7.67</v>
      </c>
      <c r="F43" s="351">
        <v>11.63</v>
      </c>
      <c r="G43" s="349">
        <v>14.93</v>
      </c>
      <c r="H43" s="350">
        <v>0.94</v>
      </c>
      <c r="I43" s="350">
        <v>12.81</v>
      </c>
      <c r="J43" s="351">
        <v>17.05</v>
      </c>
      <c r="K43" s="349">
        <v>-30.48</v>
      </c>
      <c r="L43" s="350">
        <v>0.7</v>
      </c>
      <c r="M43" s="350">
        <v>-31.44</v>
      </c>
      <c r="N43" s="351">
        <v>-29.53</v>
      </c>
      <c r="O43" s="349">
        <v>35.299999999999997</v>
      </c>
      <c r="P43" s="350">
        <v>1.1399999999999999</v>
      </c>
      <c r="Q43" s="350">
        <v>34.53</v>
      </c>
      <c r="R43" s="351">
        <v>36.11</v>
      </c>
      <c r="S43" s="349">
        <v>3.1040943225025153</v>
      </c>
      <c r="T43" s="350">
        <v>0.71736483654025307</v>
      </c>
      <c r="U43" s="350">
        <v>1.6544145878047756</v>
      </c>
      <c r="V43" s="351">
        <v>4.553774057200255</v>
      </c>
      <c r="W43" s="349">
        <v>86.8</v>
      </c>
      <c r="X43" s="350">
        <v>0.46</v>
      </c>
      <c r="Y43" s="349">
        <v>13.2</v>
      </c>
      <c r="Z43" s="350">
        <v>3.04</v>
      </c>
      <c r="AA43" s="352">
        <v>1.47</v>
      </c>
      <c r="AB43" s="353">
        <v>54.94</v>
      </c>
      <c r="AC43" s="354">
        <v>58.2</v>
      </c>
      <c r="AD43" s="352">
        <v>2.0299999999999998</v>
      </c>
      <c r="AE43" s="353">
        <v>35.69</v>
      </c>
      <c r="AF43" s="354">
        <v>38.65</v>
      </c>
      <c r="AG43" s="352">
        <v>12.82</v>
      </c>
      <c r="AH43" s="353">
        <v>2.06</v>
      </c>
      <c r="AI43" s="354">
        <v>3.45</v>
      </c>
      <c r="AJ43" s="352">
        <v>5.94</v>
      </c>
      <c r="AK43" s="353">
        <v>1.21</v>
      </c>
      <c r="AL43" s="354">
        <v>1.52</v>
      </c>
      <c r="AM43" s="352">
        <v>15.78</v>
      </c>
      <c r="AN43" s="353">
        <v>0.16</v>
      </c>
      <c r="AO43" s="354">
        <v>0.3</v>
      </c>
      <c r="AP43" s="352">
        <v>4.63</v>
      </c>
      <c r="AQ43" s="353">
        <v>1.74</v>
      </c>
      <c r="AR43" s="354">
        <v>2.08</v>
      </c>
    </row>
    <row r="44" spans="1:44" s="27" customFormat="1" ht="15.75" customHeight="1" x14ac:dyDescent="0.3">
      <c r="A44" s="26"/>
      <c r="B44" s="28" t="s">
        <v>14</v>
      </c>
      <c r="C44" s="355">
        <v>1023.94</v>
      </c>
      <c r="D44" s="356">
        <v>3.85</v>
      </c>
      <c r="E44" s="356">
        <v>939.14</v>
      </c>
      <c r="F44" s="357">
        <v>1108.74</v>
      </c>
      <c r="G44" s="355">
        <v>992.35</v>
      </c>
      <c r="H44" s="356">
        <v>4.05</v>
      </c>
      <c r="I44" s="356">
        <v>905.64</v>
      </c>
      <c r="J44" s="357">
        <v>1079.06</v>
      </c>
      <c r="K44" s="355">
        <v>-15.14</v>
      </c>
      <c r="L44" s="356">
        <v>0.79</v>
      </c>
      <c r="M44" s="356">
        <v>-16.45</v>
      </c>
      <c r="N44" s="357">
        <v>-13.83</v>
      </c>
      <c r="O44" s="355">
        <v>28.9</v>
      </c>
      <c r="P44" s="356">
        <v>1.19</v>
      </c>
      <c r="Q44" s="356">
        <v>28.22</v>
      </c>
      <c r="R44" s="357">
        <v>29.57</v>
      </c>
      <c r="S44" s="355">
        <v>52.031387361408065</v>
      </c>
      <c r="T44" s="356">
        <v>0.91218991069542743</v>
      </c>
      <c r="U44" s="356">
        <v>49.313230007270015</v>
      </c>
      <c r="V44" s="357">
        <v>54.749544715546115</v>
      </c>
      <c r="W44" s="355">
        <v>84.5</v>
      </c>
      <c r="X44" s="356">
        <v>0.59</v>
      </c>
      <c r="Y44" s="355">
        <v>15.5</v>
      </c>
      <c r="Z44" s="356">
        <v>3.21</v>
      </c>
      <c r="AA44" s="346">
        <v>1.51</v>
      </c>
      <c r="AB44" s="347">
        <v>53.64</v>
      </c>
      <c r="AC44" s="348">
        <v>56.92</v>
      </c>
      <c r="AD44" s="346">
        <v>2.08</v>
      </c>
      <c r="AE44" s="347">
        <v>36.200000000000003</v>
      </c>
      <c r="AF44" s="348">
        <v>39.28</v>
      </c>
      <c r="AG44" s="346">
        <v>15.47</v>
      </c>
      <c r="AH44" s="347">
        <v>2.2400000000000002</v>
      </c>
      <c r="AI44" s="348">
        <v>4.18</v>
      </c>
      <c r="AJ44" s="346">
        <v>7.1</v>
      </c>
      <c r="AK44" s="347">
        <v>0.92</v>
      </c>
      <c r="AL44" s="348">
        <v>1.22</v>
      </c>
      <c r="AM44" s="346">
        <v>8.11</v>
      </c>
      <c r="AN44" s="347">
        <v>0.28999999999999998</v>
      </c>
      <c r="AO44" s="348">
        <v>0.4</v>
      </c>
      <c r="AP44" s="346">
        <v>14.71</v>
      </c>
      <c r="AQ44" s="347">
        <v>1.68</v>
      </c>
      <c r="AR44" s="348">
        <v>3.04</v>
      </c>
    </row>
    <row r="45" spans="1:44" s="27" customFormat="1" ht="15.75" customHeight="1" x14ac:dyDescent="0.3">
      <c r="A45" s="26"/>
      <c r="B45" s="64" t="s">
        <v>15</v>
      </c>
      <c r="C45" s="349">
        <v>840.21</v>
      </c>
      <c r="D45" s="350">
        <v>3.93</v>
      </c>
      <c r="E45" s="350">
        <v>767.8</v>
      </c>
      <c r="F45" s="351">
        <v>912.61</v>
      </c>
      <c r="G45" s="349">
        <v>811.15</v>
      </c>
      <c r="H45" s="350">
        <v>4.0599999999999996</v>
      </c>
      <c r="I45" s="350">
        <v>738.56</v>
      </c>
      <c r="J45" s="351">
        <v>883.74</v>
      </c>
      <c r="K45" s="349">
        <v>-9.76</v>
      </c>
      <c r="L45" s="350">
        <v>0.76</v>
      </c>
      <c r="M45" s="350">
        <v>-11.1</v>
      </c>
      <c r="N45" s="351">
        <v>-8.42</v>
      </c>
      <c r="O45" s="349">
        <v>25.7</v>
      </c>
      <c r="P45" s="350">
        <v>1.28</v>
      </c>
      <c r="Q45" s="350">
        <v>25.03</v>
      </c>
      <c r="R45" s="351">
        <v>26.32</v>
      </c>
      <c r="S45" s="349">
        <v>51.634119386061727</v>
      </c>
      <c r="T45" s="350">
        <v>0.98765415259937439</v>
      </c>
      <c r="U45" s="350">
        <v>48.698782859388821</v>
      </c>
      <c r="V45" s="351">
        <v>54.569455912734632</v>
      </c>
      <c r="W45" s="349">
        <v>85.3</v>
      </c>
      <c r="X45" s="350">
        <v>0.43</v>
      </c>
      <c r="Y45" s="349">
        <v>14.7</v>
      </c>
      <c r="Z45" s="350">
        <v>2.5099999999999998</v>
      </c>
      <c r="AA45" s="352">
        <v>1.49</v>
      </c>
      <c r="AB45" s="353">
        <v>55.12</v>
      </c>
      <c r="AC45" s="354">
        <v>58.43</v>
      </c>
      <c r="AD45" s="352">
        <v>2.2200000000000002</v>
      </c>
      <c r="AE45" s="353">
        <v>34.520000000000003</v>
      </c>
      <c r="AF45" s="354">
        <v>37.659999999999997</v>
      </c>
      <c r="AG45" s="352">
        <v>15.09</v>
      </c>
      <c r="AH45" s="353">
        <v>2.42</v>
      </c>
      <c r="AI45" s="354">
        <v>4.45</v>
      </c>
      <c r="AJ45" s="352">
        <v>8.08</v>
      </c>
      <c r="AK45" s="353">
        <v>0.89</v>
      </c>
      <c r="AL45" s="354">
        <v>1.22</v>
      </c>
      <c r="AM45" s="352">
        <v>7.48</v>
      </c>
      <c r="AN45" s="353">
        <v>0.32</v>
      </c>
      <c r="AO45" s="354">
        <v>0.43</v>
      </c>
      <c r="AP45" s="352">
        <v>15.32</v>
      </c>
      <c r="AQ45" s="353">
        <v>1.59</v>
      </c>
      <c r="AR45" s="354">
        <v>2.95</v>
      </c>
    </row>
    <row r="46" spans="1:44" s="27" customFormat="1" ht="15.75" customHeight="1" x14ac:dyDescent="0.3">
      <c r="A46" s="26"/>
      <c r="B46" s="28" t="s">
        <v>16</v>
      </c>
      <c r="C46" s="355">
        <v>917.74</v>
      </c>
      <c r="D46" s="356">
        <v>2.78</v>
      </c>
      <c r="E46" s="356">
        <v>862.39</v>
      </c>
      <c r="F46" s="357">
        <v>973.1</v>
      </c>
      <c r="G46" s="355">
        <v>870.13</v>
      </c>
      <c r="H46" s="356">
        <v>2.86</v>
      </c>
      <c r="I46" s="356">
        <v>815.7</v>
      </c>
      <c r="J46" s="357">
        <v>924.56</v>
      </c>
      <c r="K46" s="355">
        <v>3.48</v>
      </c>
      <c r="L46" s="356">
        <v>0.78</v>
      </c>
      <c r="M46" s="356">
        <v>1.9</v>
      </c>
      <c r="N46" s="357">
        <v>5.0599999999999996</v>
      </c>
      <c r="O46" s="355">
        <v>36.299999999999997</v>
      </c>
      <c r="P46" s="356">
        <v>1.01</v>
      </c>
      <c r="Q46" s="356">
        <v>35.54</v>
      </c>
      <c r="R46" s="357">
        <v>36.97</v>
      </c>
      <c r="S46" s="355">
        <v>52.104188226726308</v>
      </c>
      <c r="T46" s="356">
        <v>0.91667576257119521</v>
      </c>
      <c r="U46" s="356">
        <v>49.37135586115938</v>
      </c>
      <c r="V46" s="357">
        <v>54.83702059229325</v>
      </c>
      <c r="W46" s="355">
        <v>86.4</v>
      </c>
      <c r="X46" s="356">
        <v>0.34</v>
      </c>
      <c r="Y46" s="355">
        <v>13.6</v>
      </c>
      <c r="Z46" s="356">
        <v>2.1800000000000002</v>
      </c>
      <c r="AA46" s="346">
        <v>1.23</v>
      </c>
      <c r="AB46" s="347">
        <v>60.35</v>
      </c>
      <c r="AC46" s="348">
        <v>63.34</v>
      </c>
      <c r="AD46" s="346">
        <v>2.21</v>
      </c>
      <c r="AE46" s="347">
        <v>30.85</v>
      </c>
      <c r="AF46" s="348">
        <v>33.64</v>
      </c>
      <c r="AG46" s="346">
        <v>9.5</v>
      </c>
      <c r="AH46" s="347">
        <v>2.0699999999999998</v>
      </c>
      <c r="AI46" s="348">
        <v>3.02</v>
      </c>
      <c r="AJ46" s="346">
        <v>10.48</v>
      </c>
      <c r="AK46" s="347">
        <v>0.62</v>
      </c>
      <c r="AL46" s="348">
        <v>0.93</v>
      </c>
      <c r="AM46" s="346">
        <v>3.06</v>
      </c>
      <c r="AN46" s="347">
        <v>0.35</v>
      </c>
      <c r="AO46" s="348">
        <v>0.39</v>
      </c>
      <c r="AP46" s="346">
        <v>13.68</v>
      </c>
      <c r="AQ46" s="347">
        <v>1.62</v>
      </c>
      <c r="AR46" s="348">
        <v>2.81</v>
      </c>
    </row>
    <row r="47" spans="1:44" s="27" customFormat="1" ht="15.75" customHeight="1" x14ac:dyDescent="0.3">
      <c r="A47" s="26"/>
      <c r="B47" s="64" t="s">
        <v>8</v>
      </c>
      <c r="C47" s="349">
        <v>962.24</v>
      </c>
      <c r="D47" s="350">
        <v>2.83</v>
      </c>
      <c r="E47" s="350">
        <v>903.31</v>
      </c>
      <c r="F47" s="351">
        <v>1021.17</v>
      </c>
      <c r="G47" s="349">
        <v>884.56</v>
      </c>
      <c r="H47" s="350">
        <v>2.86</v>
      </c>
      <c r="I47" s="350">
        <v>829.34</v>
      </c>
      <c r="J47" s="351">
        <v>939.77</v>
      </c>
      <c r="K47" s="349">
        <v>17.2</v>
      </c>
      <c r="L47" s="350">
        <v>0.79</v>
      </c>
      <c r="M47" s="350">
        <v>15.38</v>
      </c>
      <c r="N47" s="351">
        <v>19.02</v>
      </c>
      <c r="O47" s="349">
        <v>43.4</v>
      </c>
      <c r="P47" s="350">
        <v>0.91</v>
      </c>
      <c r="Q47" s="350">
        <v>42.64</v>
      </c>
      <c r="R47" s="351">
        <v>44.2</v>
      </c>
      <c r="S47" s="349">
        <v>53.312965547311023</v>
      </c>
      <c r="T47" s="350">
        <v>0.96640430918482034</v>
      </c>
      <c r="U47" s="350">
        <v>50.408984260358046</v>
      </c>
      <c r="V47" s="351">
        <v>56.216946834263993</v>
      </c>
      <c r="W47" s="349">
        <v>85.5</v>
      </c>
      <c r="X47" s="350">
        <v>0.44</v>
      </c>
      <c r="Y47" s="349">
        <v>14.5</v>
      </c>
      <c r="Z47" s="350">
        <v>2.56</v>
      </c>
      <c r="AA47" s="352">
        <v>1.19</v>
      </c>
      <c r="AB47" s="353">
        <v>60.14</v>
      </c>
      <c r="AC47" s="354">
        <v>63.03</v>
      </c>
      <c r="AD47" s="352">
        <v>2.17</v>
      </c>
      <c r="AE47" s="353">
        <v>30.7</v>
      </c>
      <c r="AF47" s="354">
        <v>33.43</v>
      </c>
      <c r="AG47" s="352">
        <v>10.37</v>
      </c>
      <c r="AH47" s="353">
        <v>1.72</v>
      </c>
      <c r="AI47" s="354">
        <v>2.59</v>
      </c>
      <c r="AJ47" s="352">
        <v>12.92</v>
      </c>
      <c r="AK47" s="353">
        <v>0.95</v>
      </c>
      <c r="AL47" s="354">
        <v>1.59</v>
      </c>
      <c r="AM47" s="352">
        <v>5.83</v>
      </c>
      <c r="AN47" s="353">
        <v>0.52</v>
      </c>
      <c r="AO47" s="354">
        <v>0.66</v>
      </c>
      <c r="AP47" s="352">
        <v>11.23</v>
      </c>
      <c r="AQ47" s="353">
        <v>1.83</v>
      </c>
      <c r="AR47" s="354">
        <v>2.86</v>
      </c>
    </row>
    <row r="48" spans="1:44" s="27" customFormat="1" ht="15.75" customHeight="1" x14ac:dyDescent="0.3">
      <c r="A48" s="26"/>
      <c r="B48" s="28" t="s">
        <v>9</v>
      </c>
      <c r="C48" s="355">
        <v>881.26</v>
      </c>
      <c r="D48" s="356">
        <v>2.66</v>
      </c>
      <c r="E48" s="356">
        <v>830.15</v>
      </c>
      <c r="F48" s="357">
        <v>932.36</v>
      </c>
      <c r="G48" s="355">
        <v>822.46</v>
      </c>
      <c r="H48" s="356">
        <v>2.72</v>
      </c>
      <c r="I48" s="356">
        <v>773.29</v>
      </c>
      <c r="J48" s="357">
        <v>871.62</v>
      </c>
      <c r="K48" s="355">
        <v>25.74</v>
      </c>
      <c r="L48" s="356">
        <v>0.8</v>
      </c>
      <c r="M48" s="356">
        <v>23.77</v>
      </c>
      <c r="N48" s="357">
        <v>27.71</v>
      </c>
      <c r="O48" s="355">
        <v>45.3</v>
      </c>
      <c r="P48" s="356">
        <v>0.92</v>
      </c>
      <c r="Q48" s="356">
        <v>44.47</v>
      </c>
      <c r="R48" s="357">
        <v>46.1</v>
      </c>
      <c r="S48" s="355">
        <v>57.128874772042607</v>
      </c>
      <c r="T48" s="356">
        <v>1.0020312765560173</v>
      </c>
      <c r="U48" s="356">
        <v>54.042893051398458</v>
      </c>
      <c r="V48" s="357">
        <v>60.214856492686749</v>
      </c>
      <c r="W48" s="355">
        <v>83</v>
      </c>
      <c r="X48" s="356">
        <v>0.44</v>
      </c>
      <c r="Y48" s="355">
        <v>17</v>
      </c>
      <c r="Z48" s="356">
        <v>2.14</v>
      </c>
      <c r="AA48" s="346">
        <v>1.32</v>
      </c>
      <c r="AB48" s="347">
        <v>56.27</v>
      </c>
      <c r="AC48" s="348">
        <v>59.27</v>
      </c>
      <c r="AD48" s="346">
        <v>2.0299999999999998</v>
      </c>
      <c r="AE48" s="347">
        <v>34.32</v>
      </c>
      <c r="AF48" s="348">
        <v>37.159999999999997</v>
      </c>
      <c r="AG48" s="346">
        <v>8.83</v>
      </c>
      <c r="AH48" s="347">
        <v>1.86</v>
      </c>
      <c r="AI48" s="348">
        <v>2.63</v>
      </c>
      <c r="AJ48" s="346">
        <v>7.65</v>
      </c>
      <c r="AK48" s="347">
        <v>1.45</v>
      </c>
      <c r="AL48" s="348">
        <v>1.97</v>
      </c>
      <c r="AM48" s="346">
        <v>4.1100000000000003</v>
      </c>
      <c r="AN48" s="347">
        <v>0.4</v>
      </c>
      <c r="AO48" s="348">
        <v>0.47</v>
      </c>
      <c r="AP48" s="346">
        <v>10.59</v>
      </c>
      <c r="AQ48" s="347">
        <v>1.67</v>
      </c>
      <c r="AR48" s="348">
        <v>2.54</v>
      </c>
    </row>
    <row r="49" spans="1:44" s="27" customFormat="1" ht="15.75" customHeight="1" x14ac:dyDescent="0.3">
      <c r="A49" s="26"/>
      <c r="B49" s="64" t="s">
        <v>10</v>
      </c>
      <c r="C49" s="349">
        <v>417.69</v>
      </c>
      <c r="D49" s="350">
        <v>1.68</v>
      </c>
      <c r="E49" s="350">
        <v>400.65</v>
      </c>
      <c r="F49" s="351">
        <v>434.73</v>
      </c>
      <c r="G49" s="349">
        <v>391.99</v>
      </c>
      <c r="H49" s="350">
        <v>1.7</v>
      </c>
      <c r="I49" s="350">
        <v>375.57</v>
      </c>
      <c r="J49" s="351">
        <v>408.4</v>
      </c>
      <c r="K49" s="349">
        <v>28.66</v>
      </c>
      <c r="L49" s="350">
        <v>0.75</v>
      </c>
      <c r="M49" s="350">
        <v>26.76</v>
      </c>
      <c r="N49" s="351">
        <v>30.55</v>
      </c>
      <c r="O49" s="349">
        <v>47.1</v>
      </c>
      <c r="P49" s="350">
        <v>0.93</v>
      </c>
      <c r="Q49" s="350">
        <v>46.23</v>
      </c>
      <c r="R49" s="351">
        <v>47.95</v>
      </c>
      <c r="S49" s="349">
        <v>42.736816591624873</v>
      </c>
      <c r="T49" s="350">
        <v>0.87553581635219768</v>
      </c>
      <c r="U49" s="350">
        <v>40.287381164958852</v>
      </c>
      <c r="V49" s="351">
        <v>45.186252018290887</v>
      </c>
      <c r="W49" s="349">
        <v>82.9</v>
      </c>
      <c r="X49" s="350">
        <v>0.46</v>
      </c>
      <c r="Y49" s="349">
        <v>17.100000000000001</v>
      </c>
      <c r="Z49" s="350">
        <v>2.2599999999999998</v>
      </c>
      <c r="AA49" s="352">
        <v>1.39</v>
      </c>
      <c r="AB49" s="353">
        <v>53.21</v>
      </c>
      <c r="AC49" s="354">
        <v>56.19</v>
      </c>
      <c r="AD49" s="352">
        <v>1.81</v>
      </c>
      <c r="AE49" s="353">
        <v>36.36</v>
      </c>
      <c r="AF49" s="354">
        <v>39.049999999999997</v>
      </c>
      <c r="AG49" s="352">
        <v>10.95</v>
      </c>
      <c r="AH49" s="353">
        <v>2.2200000000000002</v>
      </c>
      <c r="AI49" s="354">
        <v>3.43</v>
      </c>
      <c r="AJ49" s="352">
        <v>5.77</v>
      </c>
      <c r="AK49" s="353">
        <v>1.91</v>
      </c>
      <c r="AL49" s="354">
        <v>2.39</v>
      </c>
      <c r="AM49" s="352">
        <v>3.47</v>
      </c>
      <c r="AN49" s="353">
        <v>0.36</v>
      </c>
      <c r="AO49" s="354">
        <v>0.41</v>
      </c>
      <c r="AP49" s="352">
        <v>10.62</v>
      </c>
      <c r="AQ49" s="353">
        <v>1.77</v>
      </c>
      <c r="AR49" s="354">
        <v>2.7</v>
      </c>
    </row>
    <row r="50" spans="1:44" s="27" customFormat="1" ht="15.75" customHeight="1" x14ac:dyDescent="0.3">
      <c r="A50" s="367"/>
      <c r="B50" s="398" t="s">
        <v>11</v>
      </c>
      <c r="C50" s="408">
        <v>192.83</v>
      </c>
      <c r="D50" s="409">
        <v>1.05</v>
      </c>
      <c r="E50" s="409">
        <v>186.81</v>
      </c>
      <c r="F50" s="410">
        <v>198.86</v>
      </c>
      <c r="G50" s="408">
        <v>175.06</v>
      </c>
      <c r="H50" s="409">
        <v>0.97</v>
      </c>
      <c r="I50" s="409">
        <v>169.84</v>
      </c>
      <c r="J50" s="410">
        <v>180.28</v>
      </c>
      <c r="K50" s="408">
        <v>25.76</v>
      </c>
      <c r="L50" s="409">
        <v>0.69</v>
      </c>
      <c r="M50" s="409">
        <v>24.05</v>
      </c>
      <c r="N50" s="410">
        <v>27.46</v>
      </c>
      <c r="O50" s="408">
        <v>51.6</v>
      </c>
      <c r="P50" s="409">
        <v>0.96</v>
      </c>
      <c r="Q50" s="409">
        <v>50.6</v>
      </c>
      <c r="R50" s="410">
        <v>52.54</v>
      </c>
      <c r="S50" s="408">
        <v>26.139821393923015</v>
      </c>
      <c r="T50" s="409">
        <v>0.64222857284519153</v>
      </c>
      <c r="U50" s="409">
        <v>24.552013683456789</v>
      </c>
      <c r="V50" s="410">
        <v>27.727629104389234</v>
      </c>
      <c r="W50" s="408">
        <v>82.8</v>
      </c>
      <c r="X50" s="409">
        <v>0.62</v>
      </c>
      <c r="Y50" s="408">
        <v>17.2</v>
      </c>
      <c r="Z50" s="409">
        <v>3</v>
      </c>
      <c r="AA50" s="411">
        <v>1.18</v>
      </c>
      <c r="AB50" s="412">
        <v>55.01</v>
      </c>
      <c r="AC50" s="413">
        <v>57.62</v>
      </c>
      <c r="AD50" s="411">
        <v>1.67</v>
      </c>
      <c r="AE50" s="412">
        <v>34.130000000000003</v>
      </c>
      <c r="AF50" s="413">
        <v>36.43</v>
      </c>
      <c r="AG50" s="411">
        <v>11</v>
      </c>
      <c r="AH50" s="412">
        <v>2.42</v>
      </c>
      <c r="AI50" s="413">
        <v>3.75</v>
      </c>
      <c r="AJ50" s="411">
        <v>5.44</v>
      </c>
      <c r="AK50" s="412">
        <v>2.29</v>
      </c>
      <c r="AL50" s="413">
        <v>2.83</v>
      </c>
      <c r="AM50" s="411">
        <v>4.83</v>
      </c>
      <c r="AN50" s="412">
        <v>0.38</v>
      </c>
      <c r="AO50" s="413">
        <v>0.46</v>
      </c>
      <c r="AP50" s="411">
        <v>12.19</v>
      </c>
      <c r="AQ50" s="412">
        <v>1.78</v>
      </c>
      <c r="AR50" s="413">
        <v>2.9</v>
      </c>
    </row>
    <row r="51" spans="1:44" s="27" customFormat="1" ht="6" customHeight="1" x14ac:dyDescent="0.2">
      <c r="A51" s="68"/>
      <c r="B51" s="53"/>
      <c r="C51" s="67"/>
      <c r="D51" s="67"/>
      <c r="E51" s="67"/>
      <c r="F51" s="67"/>
      <c r="G51" s="67"/>
    </row>
    <row r="52" spans="1:44" ht="15" customHeight="1" x14ac:dyDescent="0.2">
      <c r="A52" s="73"/>
      <c r="B52" s="462" t="s">
        <v>85</v>
      </c>
      <c r="C52" s="462"/>
      <c r="D52" s="462"/>
      <c r="E52" s="462"/>
      <c r="F52" s="462"/>
      <c r="G52" s="462"/>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74"/>
    </row>
    <row r="53" spans="1:44" x14ac:dyDescent="0.2">
      <c r="A53" s="26"/>
      <c r="B53" s="463" t="s">
        <v>17</v>
      </c>
      <c r="C53" s="463"/>
      <c r="D53" s="463"/>
      <c r="E53" s="463"/>
      <c r="F53" s="463"/>
      <c r="G53" s="463"/>
      <c r="AR53" s="56"/>
    </row>
    <row r="54" spans="1:44" ht="15.75" customHeight="1" x14ac:dyDescent="0.2">
      <c r="A54" s="26"/>
      <c r="B54" s="461" t="s">
        <v>112</v>
      </c>
      <c r="C54" s="461"/>
      <c r="D54" s="461"/>
      <c r="E54" s="461"/>
      <c r="F54" s="461"/>
      <c r="G54" s="461"/>
      <c r="H54" s="461"/>
      <c r="I54" s="461"/>
      <c r="J54" s="461"/>
      <c r="K54" s="461"/>
      <c r="L54" s="461"/>
      <c r="M54" s="461"/>
      <c r="AR54" s="56"/>
    </row>
    <row r="55" spans="1:44" ht="12" customHeight="1" x14ac:dyDescent="0.2">
      <c r="A55" s="26"/>
      <c r="B55" s="461"/>
      <c r="C55" s="461"/>
      <c r="D55" s="461"/>
      <c r="E55" s="461"/>
      <c r="F55" s="461"/>
      <c r="G55" s="461"/>
      <c r="H55" s="461"/>
      <c r="I55" s="461"/>
      <c r="J55" s="461"/>
      <c r="K55" s="461"/>
      <c r="L55" s="461"/>
      <c r="M55" s="461"/>
      <c r="AR55" s="56"/>
    </row>
    <row r="56" spans="1:44" ht="12" customHeight="1" x14ac:dyDescent="0.2">
      <c r="A56" s="26"/>
      <c r="B56" s="461"/>
      <c r="C56" s="461"/>
      <c r="D56" s="461"/>
      <c r="E56" s="461"/>
      <c r="F56" s="461"/>
      <c r="G56" s="461"/>
      <c r="H56" s="461"/>
      <c r="I56" s="461"/>
      <c r="J56" s="461"/>
      <c r="K56" s="461"/>
      <c r="L56" s="461"/>
      <c r="M56" s="461"/>
      <c r="AR56" s="56"/>
    </row>
    <row r="57" spans="1:44" s="3" customFormat="1" x14ac:dyDescent="0.2">
      <c r="A57" s="26"/>
      <c r="B57" s="268" t="str">
        <f>'1.1 V.A Ing.real'!B45</f>
        <v>Actualizado el 15 de diciembre de 2021</v>
      </c>
      <c r="C57" s="268"/>
      <c r="D57" s="268"/>
      <c r="E57" s="268"/>
      <c r="F57" s="268"/>
      <c r="G57" s="268"/>
      <c r="AR57" s="71"/>
    </row>
    <row r="58" spans="1:44" x14ac:dyDescent="0.2">
      <c r="A58" s="31"/>
      <c r="B58" s="58"/>
      <c r="C58" s="58"/>
      <c r="D58" s="58"/>
      <c r="E58" s="58"/>
      <c r="F58" s="58"/>
      <c r="G58" s="58"/>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0"/>
    </row>
  </sheetData>
  <mergeCells count="53">
    <mergeCell ref="O13:R13"/>
    <mergeCell ref="O14:O16"/>
    <mergeCell ref="P14:P16"/>
    <mergeCell ref="S13:V13"/>
    <mergeCell ref="AA15:AA16"/>
    <mergeCell ref="AA14:AC14"/>
    <mergeCell ref="U14:V15"/>
    <mergeCell ref="AA13:AR13"/>
    <mergeCell ref="AM14:AO14"/>
    <mergeCell ref="AP14:AR14"/>
    <mergeCell ref="AM15:AM16"/>
    <mergeCell ref="AN15:AO15"/>
    <mergeCell ref="AP15:AP16"/>
    <mergeCell ref="AQ15:AR15"/>
    <mergeCell ref="AG14:AI14"/>
    <mergeCell ref="AB15:AC15"/>
    <mergeCell ref="B54:M56"/>
    <mergeCell ref="A7:G8"/>
    <mergeCell ref="B52:G52"/>
    <mergeCell ref="B53:G53"/>
    <mergeCell ref="A13:A16"/>
    <mergeCell ref="B13:B16"/>
    <mergeCell ref="A10:G10"/>
    <mergeCell ref="C14:C16"/>
    <mergeCell ref="D14:D16"/>
    <mergeCell ref="C13:F13"/>
    <mergeCell ref="G13:J13"/>
    <mergeCell ref="G14:G16"/>
    <mergeCell ref="H14:H16"/>
    <mergeCell ref="E14:F15"/>
    <mergeCell ref="K13:N13"/>
    <mergeCell ref="I14:J15"/>
    <mergeCell ref="M14:N15"/>
    <mergeCell ref="Q14:R15"/>
    <mergeCell ref="S14:S16"/>
    <mergeCell ref="T14:T16"/>
    <mergeCell ref="K14:K16"/>
    <mergeCell ref="L14:L16"/>
    <mergeCell ref="AD14:AF14"/>
    <mergeCell ref="AD15:AD16"/>
    <mergeCell ref="AJ14:AL14"/>
    <mergeCell ref="AG15:AG16"/>
    <mergeCell ref="AH15:AI15"/>
    <mergeCell ref="AJ15:AJ16"/>
    <mergeCell ref="AK15:AL15"/>
    <mergeCell ref="AE15:AF15"/>
    <mergeCell ref="W14:X14"/>
    <mergeCell ref="Y14:Z14"/>
    <mergeCell ref="W13:Z13"/>
    <mergeCell ref="W15:W16"/>
    <mergeCell ref="X15:X16"/>
    <mergeCell ref="Y15:Y16"/>
    <mergeCell ref="Z15:Z16"/>
  </mergeCells>
  <hyperlinks>
    <hyperlink ref="I3" location="Contenido!A1" display="Inicio" xr:uid="{00000000-0004-0000-1800-000000000000}"/>
  </hyperlinks>
  <printOptions horizontalCentered="1"/>
  <pageMargins left="0.70866141732283472" right="0.31496062992125984" top="0.55118110236220474" bottom="0.35433070866141736" header="0.31496062992125984" footer="0.31496062992125984"/>
  <pageSetup scale="28"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IH57"/>
  <sheetViews>
    <sheetView showGridLines="0" zoomScale="80" zoomScaleNormal="80" zoomScaleSheetLayoutView="80" workbookViewId="0">
      <pane ySplit="17" topLeftCell="A18" activePane="bottomLeft" state="frozen"/>
      <selection pane="bottomLeft" activeCell="A7" sqref="A7:G8"/>
    </sheetView>
  </sheetViews>
  <sheetFormatPr baseColWidth="10" defaultColWidth="11.42578125" defaultRowHeight="12" x14ac:dyDescent="0.2"/>
  <cols>
    <col min="1" max="1" width="7.42578125" style="53" customWidth="1"/>
    <col min="2" max="2" width="11.42578125" style="39" customWidth="1"/>
    <col min="3" max="3" width="11.85546875" style="39" customWidth="1"/>
    <col min="4" max="4" width="5.7109375" style="39" customWidth="1"/>
    <col min="5" max="5" width="10.42578125" style="39" customWidth="1"/>
    <col min="6" max="6" width="11" style="39" customWidth="1"/>
    <col min="7" max="7" width="12.7109375" style="39" customWidth="1"/>
    <col min="8" max="8" width="6.85546875" style="53" customWidth="1"/>
    <col min="9" max="9" width="11.28515625" style="53" customWidth="1"/>
    <col min="10" max="10" width="13.140625" style="53" customWidth="1"/>
    <col min="11" max="11" width="12" style="53" customWidth="1"/>
    <col min="12" max="12" width="6" style="53" customWidth="1"/>
    <col min="13" max="13" width="11.7109375" style="53" customWidth="1"/>
    <col min="14" max="14" width="11.140625" style="53" customWidth="1"/>
    <col min="15" max="15" width="13.42578125" style="53" customWidth="1"/>
    <col min="16" max="16" width="6" style="53" customWidth="1"/>
    <col min="17" max="17" width="10.140625" style="53" customWidth="1"/>
    <col min="18" max="23" width="13" style="53" customWidth="1"/>
    <col min="24" max="24" width="6.42578125" style="53" customWidth="1"/>
    <col min="25" max="25" width="10.42578125" style="53" customWidth="1"/>
    <col min="26" max="26" width="13.85546875" style="53" customWidth="1"/>
    <col min="27" max="27" width="12.7109375" style="53" customWidth="1"/>
    <col min="28" max="28" width="6.42578125" style="53" customWidth="1"/>
    <col min="29" max="29" width="10.42578125" style="53" customWidth="1"/>
    <col min="30" max="30" width="11.28515625" style="53" customWidth="1"/>
    <col min="31" max="31" width="14.28515625" style="53" customWidth="1"/>
    <col min="32" max="32" width="7.42578125" style="53" customWidth="1"/>
    <col min="33" max="34" width="11.85546875" style="53" customWidth="1"/>
    <col min="35" max="35" width="13.85546875" style="53" customWidth="1"/>
    <col min="36" max="36" width="7.85546875" style="53" customWidth="1"/>
    <col min="37" max="37" width="9.42578125" style="53" customWidth="1"/>
    <col min="38" max="38" width="11.7109375" style="53" customWidth="1"/>
    <col min="39" max="42" width="13" style="53" customWidth="1"/>
    <col min="43" max="43" width="11.85546875" style="53" customWidth="1"/>
    <col min="44" max="44" width="13.42578125" style="53" customWidth="1"/>
    <col min="45" max="47" width="11.85546875" style="53" customWidth="1"/>
    <col min="48" max="48" width="14" style="53" customWidth="1"/>
    <col min="49" max="51" width="11.85546875" style="53" customWidth="1"/>
    <col min="52" max="52" width="13.85546875" style="53" customWidth="1"/>
    <col min="53" max="54" width="11.85546875" style="53" customWidth="1"/>
    <col min="55" max="55" width="14.85546875" style="53" customWidth="1"/>
    <col min="56" max="56" width="8.7109375" style="53" customWidth="1"/>
    <col min="57" max="58" width="11.85546875" style="53" customWidth="1"/>
    <col min="59" max="62" width="13" style="53" customWidth="1"/>
    <col min="63" max="63" width="13.42578125" style="53" customWidth="1"/>
    <col min="64" max="64" width="8" style="53" customWidth="1"/>
    <col min="65" max="66" width="11.42578125" style="53"/>
    <col min="67" max="67" width="12.7109375" style="53" customWidth="1"/>
    <col min="68" max="68" width="8.42578125" style="53" customWidth="1"/>
    <col min="69" max="70" width="11.42578125" style="53"/>
    <col min="71" max="71" width="13.28515625" style="53" customWidth="1"/>
    <col min="72" max="72" width="8.42578125" style="53" customWidth="1"/>
    <col min="73" max="74" width="11.42578125" style="53"/>
    <col min="75" max="75" width="14" style="53" customWidth="1"/>
    <col min="76" max="76" width="8" style="53" customWidth="1"/>
    <col min="77" max="77" width="9.140625" style="53" customWidth="1"/>
    <col min="78" max="78" width="11.140625" style="53" customWidth="1"/>
    <col min="79" max="82" width="13" style="53" customWidth="1"/>
    <col min="83" max="83" width="13.28515625" style="53" customWidth="1"/>
    <col min="84" max="84" width="6.85546875" style="53" customWidth="1"/>
    <col min="85" max="85" width="10.42578125" style="53" customWidth="1"/>
    <col min="86" max="86" width="12.42578125" style="53" customWidth="1"/>
    <col min="87" max="87" width="12.7109375" style="53" customWidth="1"/>
    <col min="88" max="88" width="8.28515625" style="53" customWidth="1"/>
    <col min="89" max="89" width="10.28515625" style="53" customWidth="1"/>
    <col min="90" max="90" width="11.28515625" style="53" customWidth="1"/>
    <col min="91" max="91" width="12.85546875" style="53" customWidth="1"/>
    <col min="92" max="92" width="7.42578125" style="53" customWidth="1"/>
    <col min="93" max="93" width="11.28515625" style="53" customWidth="1"/>
    <col min="94" max="94" width="11.7109375" style="53" customWidth="1"/>
    <col min="95" max="95" width="14.28515625" style="53" customWidth="1"/>
    <col min="96" max="96" width="9" style="53" customWidth="1"/>
    <col min="97" max="97" width="9.42578125" style="53" customWidth="1"/>
    <col min="98" max="98" width="10.85546875" style="53" customWidth="1"/>
    <col min="99" max="102" width="13" style="53" customWidth="1"/>
    <col min="103" max="103" width="13.42578125" style="53" customWidth="1"/>
    <col min="104" max="104" width="6.85546875" style="53" customWidth="1"/>
    <col min="105" max="105" width="10.140625" style="53" customWidth="1"/>
    <col min="106" max="106" width="12" style="53" customWidth="1"/>
    <col min="107" max="107" width="13" style="53" customWidth="1"/>
    <col min="108" max="108" width="8.42578125" style="53" customWidth="1"/>
    <col min="109" max="109" width="10.85546875" style="53" customWidth="1"/>
    <col min="110" max="110" width="11.85546875" style="53" customWidth="1"/>
    <col min="111" max="111" width="13.85546875" style="53" customWidth="1"/>
    <col min="112" max="112" width="8" style="53" customWidth="1"/>
    <col min="113" max="113" width="12.42578125" style="53" customWidth="1"/>
    <col min="114" max="114" width="13.85546875" style="53" customWidth="1"/>
    <col min="115" max="115" width="15.42578125" style="53" customWidth="1"/>
    <col min="116" max="116" width="13" style="53" customWidth="1"/>
    <col min="117" max="118" width="11.42578125" style="53"/>
    <col min="119" max="122" width="13" style="53" customWidth="1"/>
    <col min="123" max="123" width="15.42578125" style="53" customWidth="1"/>
    <col min="124" max="124" width="9" style="53" customWidth="1"/>
    <col min="125" max="125" width="11.42578125" style="53" customWidth="1"/>
    <col min="126" max="126" width="12" style="53" customWidth="1"/>
    <col min="127" max="127" width="12.140625" style="53" customWidth="1"/>
    <col min="128" max="128" width="5" style="53" bestFit="1" customWidth="1"/>
    <col min="129" max="129" width="11" style="53" bestFit="1" customWidth="1"/>
    <col min="130" max="130" width="12.140625" style="53" customWidth="1"/>
    <col min="131" max="131" width="13.140625" style="53" customWidth="1"/>
    <col min="132" max="132" width="8.42578125" style="53" customWidth="1"/>
    <col min="133" max="133" width="9.42578125" style="53" customWidth="1"/>
    <col min="134" max="134" width="10.7109375" style="53" customWidth="1"/>
    <col min="135" max="135" width="14.42578125" style="53" customWidth="1"/>
    <col min="136" max="136" width="7.85546875" style="53" customWidth="1"/>
    <col min="137" max="137" width="10.42578125" style="53" customWidth="1"/>
    <col min="138" max="138" width="11.28515625" style="53" customWidth="1"/>
    <col min="139" max="142" width="13" style="53" customWidth="1"/>
    <col min="143" max="143" width="12.140625" style="53" customWidth="1"/>
    <col min="144" max="144" width="7.85546875" style="53" customWidth="1"/>
    <col min="145" max="145" width="10" style="53" customWidth="1"/>
    <col min="146" max="146" width="12.140625" style="53" customWidth="1"/>
    <col min="147" max="147" width="12.85546875" style="53" customWidth="1"/>
    <col min="148" max="148" width="7.42578125" style="53" customWidth="1"/>
    <col min="149" max="149" width="9.7109375" style="53" customWidth="1"/>
    <col min="150" max="150" width="12.7109375" style="53" customWidth="1"/>
    <col min="151" max="151" width="12.28515625" style="53" customWidth="1"/>
    <col min="152" max="152" width="8.42578125" style="53" customWidth="1"/>
    <col min="153" max="153" width="10.28515625" style="53" customWidth="1"/>
    <col min="154" max="154" width="10.85546875" style="53" customWidth="1"/>
    <col min="155" max="155" width="14.7109375" style="53" customWidth="1"/>
    <col min="156" max="156" width="7.7109375" style="53" customWidth="1"/>
    <col min="157" max="158" width="11.42578125" style="53"/>
    <col min="159" max="162" width="13" style="53" customWidth="1"/>
    <col min="163" max="163" width="13.140625" style="53" customWidth="1"/>
    <col min="164" max="164" width="8.140625" style="53" customWidth="1"/>
    <col min="165" max="165" width="11.85546875" style="53" customWidth="1"/>
    <col min="166" max="166" width="12.140625" style="53" customWidth="1"/>
    <col min="167" max="167" width="12.7109375" style="53" customWidth="1"/>
    <col min="168" max="168" width="8.140625" style="53" customWidth="1"/>
    <col min="169" max="170" width="11.42578125" style="53"/>
    <col min="171" max="171" width="13" style="53" customWidth="1"/>
    <col min="172" max="172" width="7.85546875" style="53" customWidth="1"/>
    <col min="173" max="174" width="11.42578125" style="53"/>
    <col min="175" max="175" width="14.7109375" style="53" customWidth="1"/>
    <col min="176" max="176" width="7.28515625" style="53" customWidth="1"/>
    <col min="177" max="178" width="11.42578125" style="53"/>
    <col min="179" max="182" width="13" style="53" customWidth="1"/>
    <col min="183" max="183" width="14.7109375" style="53" customWidth="1"/>
    <col min="184" max="184" width="8.42578125" style="53" customWidth="1"/>
    <col min="185" max="185" width="11.140625" style="53" customWidth="1"/>
    <col min="186" max="186" width="13.140625" style="53" customWidth="1"/>
    <col min="187" max="187" width="12.7109375" style="53" customWidth="1"/>
    <col min="188" max="188" width="5.28515625" style="53" customWidth="1"/>
    <col min="189" max="189" width="11.42578125" style="53" customWidth="1"/>
    <col min="190" max="190" width="12.42578125" style="53" customWidth="1"/>
    <col min="191" max="191" width="13" style="53" customWidth="1"/>
    <col min="192" max="192" width="6.7109375" style="53" customWidth="1"/>
    <col min="193" max="193" width="10.42578125" style="53" customWidth="1"/>
    <col min="194" max="194" width="13" style="53" customWidth="1"/>
    <col min="195" max="195" width="14.28515625" style="53" customWidth="1"/>
    <col min="196" max="196" width="7.85546875" style="53" customWidth="1"/>
    <col min="197" max="197" width="10.7109375" style="53" customWidth="1"/>
    <col min="198" max="198" width="12.140625" style="53" customWidth="1"/>
    <col min="199" max="202" width="13" style="53" customWidth="1"/>
    <col min="203" max="203" width="15" style="53" customWidth="1"/>
    <col min="204" max="204" width="7" style="53" customWidth="1"/>
    <col min="205" max="205" width="10.42578125" style="53" customWidth="1"/>
    <col min="206" max="206" width="12.42578125" style="53" customWidth="1"/>
    <col min="207" max="207" width="14" style="53" customWidth="1"/>
    <col min="208" max="208" width="7.85546875" style="53" customWidth="1"/>
    <col min="209" max="210" width="11.42578125" style="53"/>
    <col min="211" max="211" width="13" style="53" customWidth="1"/>
    <col min="212" max="212" width="7.42578125" style="53" customWidth="1"/>
    <col min="213" max="213" width="9.7109375" style="53" customWidth="1"/>
    <col min="214" max="214" width="10.85546875" style="53" customWidth="1"/>
    <col min="215" max="215" width="13.85546875" style="53" customWidth="1"/>
    <col min="216" max="216" width="7.85546875" style="53" customWidth="1"/>
    <col min="217" max="218" width="11.42578125" style="53"/>
    <col min="219" max="222" width="13" style="53" customWidth="1"/>
    <col min="223" max="223" width="12.85546875" style="53" customWidth="1"/>
    <col min="224" max="224" width="7.7109375" style="53" customWidth="1"/>
    <col min="225" max="225" width="9.85546875" style="53" customWidth="1"/>
    <col min="226" max="226" width="12.42578125" style="53" customWidth="1"/>
    <col min="227" max="227" width="13.28515625" style="53" customWidth="1"/>
    <col min="228" max="228" width="8" style="53" customWidth="1"/>
    <col min="229" max="229" width="10.140625" style="53" customWidth="1"/>
    <col min="230" max="230" width="12" style="53" customWidth="1"/>
    <col min="231" max="231" width="12.85546875" style="53" customWidth="1"/>
    <col min="232" max="232" width="7.42578125" style="53" customWidth="1"/>
    <col min="233" max="233" width="12.42578125" style="53" customWidth="1"/>
    <col min="234" max="234" width="12.140625" style="53" customWidth="1"/>
    <col min="235" max="235" width="14.140625" style="53" customWidth="1"/>
    <col min="236" max="236" width="8.42578125" style="53" customWidth="1"/>
    <col min="237" max="237" width="10.28515625" style="53" customWidth="1"/>
    <col min="238" max="238" width="11.7109375" style="53" customWidth="1"/>
    <col min="239" max="242" width="13" style="53" customWidth="1"/>
    <col min="243" max="16384" width="11.42578125" style="53"/>
  </cols>
  <sheetData>
    <row r="1" spans="1:242" s="3" customFormat="1" ht="12" customHeight="1" x14ac:dyDescent="0.2">
      <c r="A1" s="1"/>
      <c r="B1" s="2"/>
      <c r="C1" s="2"/>
      <c r="D1" s="2"/>
      <c r="E1" s="2"/>
      <c r="F1" s="2"/>
      <c r="G1" s="2"/>
      <c r="FI1" s="475"/>
      <c r="FJ1" s="475"/>
      <c r="FK1" s="475"/>
      <c r="FL1" s="475"/>
      <c r="FM1" s="475"/>
      <c r="FN1" s="475"/>
      <c r="FO1" s="475"/>
      <c r="FP1" s="475"/>
      <c r="FQ1" s="475"/>
      <c r="FR1" s="475"/>
      <c r="FS1" s="475"/>
      <c r="FT1" s="475"/>
      <c r="FU1" s="475"/>
      <c r="FV1" s="475"/>
      <c r="FW1" s="475"/>
      <c r="FX1" s="475"/>
      <c r="FY1" s="475"/>
      <c r="FZ1" s="475"/>
      <c r="GA1" s="475"/>
      <c r="GB1" s="475"/>
      <c r="GC1" s="336"/>
      <c r="GD1" s="336"/>
      <c r="GE1" s="336"/>
      <c r="GF1" s="336"/>
    </row>
    <row r="2" spans="1:242" s="6" customFormat="1" x14ac:dyDescent="0.2">
      <c r="A2" s="4"/>
      <c r="B2" s="5"/>
      <c r="C2" s="5"/>
      <c r="D2" s="5"/>
      <c r="E2" s="5"/>
      <c r="F2" s="5"/>
      <c r="G2" s="5"/>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CA2" s="52"/>
      <c r="CB2" s="52"/>
      <c r="CC2" s="52"/>
      <c r="CD2" s="52"/>
      <c r="CU2" s="52"/>
      <c r="CV2" s="52"/>
      <c r="CW2" s="52"/>
      <c r="CX2" s="52"/>
      <c r="DO2" s="52"/>
      <c r="DP2" s="52"/>
      <c r="DQ2" s="52"/>
      <c r="DR2" s="52"/>
      <c r="EI2" s="52"/>
      <c r="EJ2" s="52"/>
      <c r="EK2" s="52"/>
      <c r="EL2" s="52"/>
      <c r="FC2" s="52"/>
      <c r="FD2" s="52"/>
      <c r="FE2" s="52"/>
      <c r="FF2" s="52"/>
      <c r="FU2" s="20"/>
      <c r="FV2" s="20"/>
      <c r="FW2" s="52"/>
      <c r="FX2" s="52"/>
      <c r="FY2" s="52"/>
      <c r="FZ2" s="52"/>
      <c r="GA2" s="20"/>
      <c r="GB2" s="20"/>
      <c r="GC2" s="20"/>
      <c r="GQ2" s="52"/>
      <c r="GR2" s="52"/>
      <c r="GS2" s="52"/>
      <c r="GT2" s="52"/>
      <c r="HK2" s="52"/>
      <c r="HL2" s="52"/>
      <c r="HM2" s="52"/>
      <c r="HN2" s="52"/>
      <c r="IE2" s="52"/>
      <c r="IF2" s="52"/>
      <c r="IG2" s="52"/>
      <c r="IH2" s="52"/>
    </row>
    <row r="3" spans="1:242" s="6" customFormat="1" ht="16.5" x14ac:dyDescent="0.3">
      <c r="A3" s="4"/>
      <c r="B3" s="5"/>
      <c r="C3" s="5"/>
      <c r="D3" s="5"/>
      <c r="E3" s="5"/>
      <c r="F3" s="5"/>
      <c r="G3" s="5"/>
      <c r="H3" s="52"/>
      <c r="I3" s="224" t="s">
        <v>0</v>
      </c>
      <c r="J3" s="52"/>
      <c r="K3" s="52"/>
      <c r="L3" s="52"/>
      <c r="M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CA3" s="52"/>
      <c r="CB3" s="52"/>
      <c r="CC3" s="52"/>
      <c r="CD3" s="52"/>
      <c r="CU3" s="52"/>
      <c r="CV3" s="52"/>
      <c r="CW3" s="52"/>
      <c r="CX3" s="52"/>
      <c r="DO3" s="52"/>
      <c r="DP3" s="52"/>
      <c r="DQ3" s="52"/>
      <c r="DR3" s="52"/>
      <c r="EI3" s="52"/>
      <c r="EJ3" s="52"/>
      <c r="EK3" s="52"/>
      <c r="EL3" s="52"/>
      <c r="FC3" s="52"/>
      <c r="FD3" s="52"/>
      <c r="FE3" s="52"/>
      <c r="FF3" s="52"/>
      <c r="FU3" s="20"/>
      <c r="FV3" s="20"/>
      <c r="FW3" s="52"/>
      <c r="FX3" s="52"/>
      <c r="FY3" s="52"/>
      <c r="FZ3" s="52"/>
      <c r="GA3" s="20"/>
      <c r="GB3" s="20"/>
      <c r="GC3" s="20"/>
      <c r="GQ3" s="52"/>
      <c r="GR3" s="52"/>
      <c r="GS3" s="52"/>
      <c r="GT3" s="52"/>
      <c r="HK3" s="52"/>
      <c r="HL3" s="52"/>
      <c r="HM3" s="52"/>
      <c r="HN3" s="52"/>
      <c r="IE3" s="52"/>
      <c r="IF3" s="52"/>
      <c r="IG3" s="52"/>
      <c r="IH3" s="52"/>
    </row>
    <row r="4" spans="1:242" s="6" customFormat="1" x14ac:dyDescent="0.2">
      <c r="A4" s="4"/>
      <c r="B4" s="5"/>
      <c r="C4" s="5"/>
      <c r="D4" s="5"/>
      <c r="E4" s="5"/>
      <c r="F4" s="5"/>
      <c r="G4" s="5"/>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CA4" s="52"/>
      <c r="CB4" s="52"/>
      <c r="CC4" s="52"/>
      <c r="CD4" s="52"/>
      <c r="CU4" s="52"/>
      <c r="CV4" s="52"/>
      <c r="CW4" s="52"/>
      <c r="CX4" s="52"/>
      <c r="DO4" s="52"/>
      <c r="DP4" s="52"/>
      <c r="DQ4" s="52"/>
      <c r="DR4" s="52"/>
      <c r="EI4" s="52"/>
      <c r="EJ4" s="52"/>
      <c r="EK4" s="52"/>
      <c r="EL4" s="52"/>
      <c r="FC4" s="52"/>
      <c r="FD4" s="52"/>
      <c r="FE4" s="52"/>
      <c r="FF4" s="52"/>
      <c r="FW4" s="52"/>
      <c r="FX4" s="52"/>
      <c r="FY4" s="52"/>
      <c r="FZ4" s="52"/>
      <c r="GQ4" s="52"/>
      <c r="GR4" s="52"/>
      <c r="GS4" s="52"/>
      <c r="GT4" s="52"/>
      <c r="HK4" s="52"/>
      <c r="HL4" s="52"/>
      <c r="HM4" s="52"/>
      <c r="HN4" s="52"/>
      <c r="IE4" s="52"/>
      <c r="IF4" s="52"/>
      <c r="IG4" s="52"/>
      <c r="IH4" s="52"/>
    </row>
    <row r="5" spans="1:242" s="6" customFormat="1" x14ac:dyDescent="0.2">
      <c r="A5" s="4"/>
      <c r="B5" s="5"/>
      <c r="C5" s="5"/>
      <c r="D5" s="5"/>
      <c r="E5" s="5"/>
      <c r="F5" s="5"/>
      <c r="G5" s="5"/>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CA5" s="52"/>
      <c r="CB5" s="52"/>
      <c r="CC5" s="52"/>
      <c r="CD5" s="52"/>
      <c r="CU5" s="52"/>
      <c r="CV5" s="52"/>
      <c r="CW5" s="52"/>
      <c r="CX5" s="52"/>
      <c r="DO5" s="52"/>
      <c r="DP5" s="52"/>
      <c r="DQ5" s="52"/>
      <c r="DR5" s="52"/>
      <c r="EI5" s="52"/>
      <c r="EJ5" s="52"/>
      <c r="EK5" s="52"/>
      <c r="EL5" s="52"/>
      <c r="FC5" s="52"/>
      <c r="FD5" s="52"/>
      <c r="FE5" s="52"/>
      <c r="FF5" s="52"/>
      <c r="FW5" s="52"/>
      <c r="FX5" s="52"/>
      <c r="FY5" s="52"/>
      <c r="FZ5" s="52"/>
      <c r="GQ5" s="52"/>
      <c r="GR5" s="52"/>
      <c r="GS5" s="52"/>
      <c r="GT5" s="52"/>
      <c r="HK5" s="52"/>
      <c r="HL5" s="52"/>
      <c r="HM5" s="52"/>
      <c r="HN5" s="52"/>
      <c r="IE5" s="52"/>
      <c r="IF5" s="52"/>
      <c r="IG5" s="52"/>
      <c r="IH5" s="52"/>
    </row>
    <row r="6" spans="1:242" s="6" customFormat="1" x14ac:dyDescent="0.2">
      <c r="A6" s="4"/>
      <c r="B6" s="5"/>
      <c r="C6" s="5"/>
      <c r="D6" s="5"/>
      <c r="E6" s="5"/>
      <c r="F6" s="5"/>
      <c r="G6" s="5"/>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CA6" s="52"/>
      <c r="CB6" s="52"/>
      <c r="CC6" s="52"/>
      <c r="CD6" s="52"/>
      <c r="CU6" s="52"/>
      <c r="CV6" s="52"/>
      <c r="CW6" s="52"/>
      <c r="CX6" s="52"/>
      <c r="DO6" s="52"/>
      <c r="DP6" s="52"/>
      <c r="DQ6" s="52"/>
      <c r="DR6" s="52"/>
      <c r="EI6" s="52"/>
      <c r="EJ6" s="52"/>
      <c r="EK6" s="52"/>
      <c r="EL6" s="52"/>
      <c r="FC6" s="52"/>
      <c r="FD6" s="52"/>
      <c r="FE6" s="52"/>
      <c r="FF6" s="52"/>
      <c r="FW6" s="52"/>
      <c r="FX6" s="52"/>
      <c r="FY6" s="52"/>
      <c r="FZ6" s="52"/>
      <c r="GQ6" s="52"/>
      <c r="GR6" s="52"/>
      <c r="GS6" s="52"/>
      <c r="GT6" s="52"/>
      <c r="HK6" s="52"/>
      <c r="HL6" s="52"/>
      <c r="HM6" s="52"/>
      <c r="HN6" s="52"/>
      <c r="IE6" s="52"/>
      <c r="IF6" s="52"/>
      <c r="IG6" s="52"/>
      <c r="IH6" s="52"/>
    </row>
    <row r="7" spans="1:242" s="6" customFormat="1" ht="15" customHeight="1" x14ac:dyDescent="0.2">
      <c r="A7" s="421" t="s">
        <v>4</v>
      </c>
      <c r="B7" s="421"/>
      <c r="C7" s="421"/>
      <c r="D7" s="421"/>
      <c r="E7" s="421"/>
      <c r="F7" s="421"/>
      <c r="G7" s="421"/>
      <c r="H7" s="197"/>
      <c r="I7" s="197"/>
      <c r="J7" s="197"/>
      <c r="K7" s="197"/>
      <c r="L7" s="197"/>
      <c r="M7" s="197"/>
      <c r="N7" s="197"/>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CA7" s="28"/>
      <c r="CB7" s="28"/>
      <c r="CC7" s="28"/>
      <c r="CD7" s="28"/>
      <c r="CU7" s="28"/>
      <c r="CV7" s="28"/>
      <c r="CW7" s="28"/>
      <c r="CX7" s="28"/>
      <c r="DO7" s="28"/>
      <c r="DP7" s="28"/>
      <c r="DQ7" s="28"/>
      <c r="DR7" s="28"/>
      <c r="EI7" s="28"/>
      <c r="EJ7" s="28"/>
      <c r="EK7" s="28"/>
      <c r="EL7" s="28"/>
      <c r="FC7" s="28"/>
      <c r="FD7" s="28"/>
      <c r="FE7" s="28"/>
      <c r="FF7" s="28"/>
      <c r="FW7" s="28"/>
      <c r="FX7" s="28"/>
      <c r="FY7" s="28"/>
      <c r="FZ7" s="28"/>
      <c r="GQ7" s="28"/>
      <c r="GR7" s="28"/>
      <c r="GS7" s="28"/>
      <c r="GT7" s="28"/>
      <c r="HK7" s="28"/>
      <c r="HL7" s="28"/>
      <c r="HM7" s="28"/>
      <c r="HN7" s="28"/>
      <c r="IE7" s="28"/>
      <c r="IF7" s="28"/>
      <c r="IG7" s="28"/>
      <c r="IH7" s="28"/>
    </row>
    <row r="8" spans="1:242" s="6" customFormat="1" ht="15" customHeight="1" x14ac:dyDescent="0.2">
      <c r="A8" s="421"/>
      <c r="B8" s="421"/>
      <c r="C8" s="421"/>
      <c r="D8" s="421"/>
      <c r="E8" s="421"/>
      <c r="F8" s="421"/>
      <c r="G8" s="421"/>
      <c r="H8" s="197"/>
      <c r="I8" s="197"/>
      <c r="J8" s="197"/>
      <c r="K8" s="197"/>
      <c r="L8" s="197"/>
      <c r="M8" s="197"/>
      <c r="N8" s="197"/>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CA8" s="28"/>
      <c r="CB8" s="28"/>
      <c r="CC8" s="28"/>
      <c r="CD8" s="28"/>
      <c r="CU8" s="28"/>
      <c r="CV8" s="28"/>
      <c r="CW8" s="28"/>
      <c r="CX8" s="28"/>
      <c r="DO8" s="28"/>
      <c r="DP8" s="28"/>
      <c r="DQ8" s="28"/>
      <c r="DR8" s="28"/>
      <c r="EI8" s="28"/>
      <c r="EJ8" s="28"/>
      <c r="EK8" s="28"/>
      <c r="EL8" s="28"/>
      <c r="FC8" s="28"/>
      <c r="FD8" s="28"/>
      <c r="FE8" s="28"/>
      <c r="FF8" s="28"/>
      <c r="FW8" s="28"/>
      <c r="FX8" s="28"/>
      <c r="FY8" s="28"/>
      <c r="FZ8" s="28"/>
      <c r="GQ8" s="28"/>
      <c r="GR8" s="28"/>
      <c r="GS8" s="28"/>
      <c r="GT8" s="28"/>
      <c r="HK8" s="28"/>
      <c r="HL8" s="28"/>
      <c r="HM8" s="28"/>
      <c r="HN8" s="28"/>
      <c r="IE8" s="28"/>
      <c r="IF8" s="28"/>
      <c r="IG8" s="28"/>
      <c r="IH8" s="28"/>
    </row>
    <row r="9" spans="1:242" s="52" customFormat="1" ht="15" customHeight="1" x14ac:dyDescent="0.2">
      <c r="A9" s="259"/>
      <c r="B9" s="259"/>
      <c r="C9" s="259"/>
      <c r="D9" s="259"/>
      <c r="E9" s="259"/>
      <c r="F9" s="259"/>
      <c r="G9" s="259"/>
      <c r="H9" s="252"/>
      <c r="I9" s="252"/>
      <c r="J9" s="252"/>
      <c r="K9" s="252"/>
      <c r="L9" s="252"/>
      <c r="M9" s="252"/>
      <c r="N9" s="252"/>
      <c r="O9" s="252"/>
      <c r="P9" s="252"/>
      <c r="Q9" s="252"/>
      <c r="R9" s="252"/>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252"/>
      <c r="AU9" s="252"/>
      <c r="AV9" s="252"/>
      <c r="AW9" s="252"/>
      <c r="AX9" s="252"/>
      <c r="AY9" s="252"/>
      <c r="AZ9" s="252"/>
      <c r="BA9" s="252"/>
      <c r="BB9" s="252"/>
      <c r="BC9" s="252"/>
      <c r="BD9" s="252"/>
      <c r="BE9" s="252"/>
      <c r="BF9" s="252"/>
      <c r="BG9" s="252"/>
      <c r="BH9" s="252"/>
      <c r="BI9" s="252"/>
      <c r="BJ9" s="252"/>
      <c r="CA9" s="252"/>
      <c r="CB9" s="252"/>
      <c r="CC9" s="252"/>
      <c r="CD9" s="252"/>
      <c r="CU9" s="252"/>
      <c r="CV9" s="252"/>
      <c r="CW9" s="252"/>
      <c r="CX9" s="252"/>
      <c r="DO9" s="252"/>
      <c r="DP9" s="252"/>
      <c r="DQ9" s="252"/>
      <c r="DR9" s="252"/>
      <c r="EI9" s="252"/>
      <c r="EJ9" s="252"/>
      <c r="EK9" s="252"/>
      <c r="EL9" s="252"/>
      <c r="FC9" s="252"/>
      <c r="FD9" s="252"/>
      <c r="FE9" s="252"/>
      <c r="FF9" s="252"/>
      <c r="FW9" s="252"/>
      <c r="FX9" s="252"/>
      <c r="FY9" s="252"/>
      <c r="FZ9" s="252"/>
      <c r="GQ9" s="252"/>
      <c r="GR9" s="252"/>
      <c r="GS9" s="252"/>
      <c r="GT9" s="252"/>
      <c r="HK9" s="252"/>
      <c r="HL9" s="252"/>
      <c r="HM9" s="252"/>
      <c r="HN9" s="252"/>
      <c r="IE9" s="252"/>
      <c r="IF9" s="252"/>
      <c r="IG9" s="252"/>
      <c r="IH9" s="252"/>
    </row>
    <row r="10" spans="1:242" ht="24" customHeight="1" x14ac:dyDescent="0.2">
      <c r="A10" s="478" t="s">
        <v>149</v>
      </c>
      <c r="B10" s="478"/>
      <c r="C10" s="478"/>
      <c r="D10" s="478"/>
      <c r="E10" s="478"/>
      <c r="F10" s="478"/>
      <c r="G10" s="478"/>
      <c r="H10" s="256"/>
      <c r="I10" s="256"/>
      <c r="J10" s="256"/>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256"/>
      <c r="AH10" s="256"/>
      <c r="AI10" s="256"/>
      <c r="AJ10" s="256"/>
      <c r="AK10" s="256"/>
      <c r="AL10" s="256"/>
      <c r="AM10" s="256"/>
      <c r="AN10" s="256"/>
      <c r="AO10" s="256"/>
      <c r="AP10" s="256"/>
      <c r="AQ10" s="256"/>
      <c r="AR10" s="256"/>
      <c r="AS10" s="256"/>
      <c r="AT10" s="256"/>
      <c r="AU10" s="256"/>
      <c r="AV10" s="256"/>
      <c r="AW10" s="256"/>
      <c r="AX10" s="256"/>
      <c r="AY10" s="256"/>
      <c r="AZ10" s="256"/>
      <c r="BA10" s="256"/>
      <c r="BB10" s="256"/>
      <c r="BC10" s="256"/>
      <c r="BD10" s="256"/>
      <c r="BE10" s="256"/>
      <c r="BF10" s="256"/>
      <c r="BG10" s="256"/>
      <c r="BH10" s="256"/>
      <c r="BI10" s="256"/>
      <c r="BJ10" s="256"/>
      <c r="CA10" s="256"/>
      <c r="CB10" s="256"/>
      <c r="CC10" s="256"/>
      <c r="CD10" s="256"/>
      <c r="CU10" s="256"/>
      <c r="CV10" s="256"/>
      <c r="CW10" s="256"/>
      <c r="CX10" s="256"/>
      <c r="DO10" s="256"/>
      <c r="DP10" s="256"/>
      <c r="DQ10" s="256"/>
      <c r="DR10" s="256"/>
      <c r="EI10" s="256"/>
      <c r="EJ10" s="256"/>
      <c r="EK10" s="256"/>
      <c r="EL10" s="256"/>
      <c r="FC10" s="256"/>
      <c r="FD10" s="256"/>
      <c r="FE10" s="256"/>
      <c r="FF10" s="256"/>
      <c r="FW10" s="256"/>
      <c r="FX10" s="256"/>
      <c r="FY10" s="256"/>
      <c r="FZ10" s="256"/>
      <c r="GQ10" s="256"/>
      <c r="GR10" s="256"/>
      <c r="GS10" s="256"/>
      <c r="GT10" s="256"/>
      <c r="HK10" s="256"/>
      <c r="HL10" s="256"/>
      <c r="HM10" s="256"/>
      <c r="HN10" s="256"/>
      <c r="IE10" s="256"/>
      <c r="IF10" s="256"/>
      <c r="IG10" s="256"/>
      <c r="IH10" s="256"/>
    </row>
    <row r="11" spans="1:242" ht="15" customHeight="1" x14ac:dyDescent="0.2">
      <c r="A11" s="255" t="str">
        <f>'5.1 Porc Ocupación.escala.hab'!A12</f>
        <v>Enero 2019 - octubre 2021</v>
      </c>
      <c r="B11" s="255"/>
      <c r="C11" s="255"/>
      <c r="D11" s="255"/>
      <c r="E11" s="255"/>
      <c r="F11" s="255"/>
      <c r="G11" s="255"/>
      <c r="H11" s="257"/>
      <c r="I11" s="257"/>
      <c r="J11" s="257"/>
      <c r="K11" s="257"/>
      <c r="L11" s="257"/>
      <c r="M11" s="257"/>
      <c r="N11" s="257"/>
      <c r="O11" s="257"/>
      <c r="P11" s="257"/>
      <c r="Q11" s="257"/>
      <c r="R11" s="257"/>
      <c r="S11" s="257"/>
      <c r="T11" s="257"/>
      <c r="U11" s="257"/>
      <c r="V11" s="257"/>
      <c r="W11" s="257"/>
      <c r="X11" s="257"/>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7"/>
      <c r="CA11" s="257"/>
      <c r="CB11" s="257"/>
      <c r="CC11" s="257"/>
      <c r="CD11" s="257"/>
      <c r="CU11" s="257"/>
      <c r="CV11" s="257"/>
      <c r="CW11" s="257"/>
      <c r="CX11" s="257"/>
      <c r="DO11" s="257"/>
      <c r="DP11" s="257"/>
      <c r="DQ11" s="257"/>
      <c r="DR11" s="257"/>
      <c r="EI11" s="257"/>
      <c r="EJ11" s="257"/>
      <c r="EK11" s="257"/>
      <c r="EL11" s="257"/>
      <c r="FC11" s="257"/>
      <c r="FD11" s="257"/>
      <c r="FE11" s="257"/>
      <c r="FF11" s="257"/>
      <c r="FW11" s="257"/>
      <c r="FX11" s="257"/>
      <c r="FY11" s="257"/>
      <c r="FZ11" s="257"/>
      <c r="GQ11" s="257"/>
      <c r="GR11" s="257"/>
      <c r="GS11" s="257"/>
      <c r="GT11" s="257"/>
      <c r="HK11" s="257"/>
      <c r="HL11" s="257"/>
      <c r="HM11" s="257"/>
      <c r="HN11" s="257"/>
      <c r="IE11" s="257"/>
      <c r="IF11" s="257"/>
      <c r="IG11" s="257"/>
      <c r="IH11" s="257"/>
    </row>
    <row r="12" spans="1:242" x14ac:dyDescent="0.2">
      <c r="A12" s="260"/>
      <c r="B12" s="260"/>
      <c r="C12" s="260"/>
      <c r="D12" s="260"/>
      <c r="E12" s="260"/>
      <c r="F12" s="260"/>
      <c r="G12" s="260"/>
      <c r="H12" s="258"/>
      <c r="I12" s="258"/>
      <c r="J12" s="258"/>
      <c r="K12" s="258"/>
      <c r="L12" s="258"/>
      <c r="M12" s="258"/>
      <c r="N12" s="258"/>
      <c r="O12" s="258"/>
      <c r="P12" s="258"/>
      <c r="Q12" s="258"/>
      <c r="R12" s="258"/>
      <c r="S12" s="258"/>
      <c r="T12" s="258"/>
      <c r="U12" s="258"/>
      <c r="V12" s="258"/>
      <c r="W12" s="258"/>
      <c r="X12" s="258"/>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8"/>
      <c r="CA12" s="258"/>
      <c r="CB12" s="258"/>
      <c r="CC12" s="258"/>
      <c r="CD12" s="258"/>
      <c r="CU12" s="258"/>
      <c r="CV12" s="258"/>
      <c r="CW12" s="258"/>
      <c r="CX12" s="258"/>
      <c r="DO12" s="258"/>
      <c r="DP12" s="258"/>
      <c r="DQ12" s="258"/>
      <c r="DR12" s="258"/>
      <c r="EI12" s="258"/>
      <c r="EJ12" s="258"/>
      <c r="EK12" s="258"/>
      <c r="EL12" s="258"/>
      <c r="FC12" s="258"/>
      <c r="FD12" s="258"/>
      <c r="FE12" s="258"/>
      <c r="FF12" s="258"/>
      <c r="FW12" s="258"/>
      <c r="FX12" s="258"/>
      <c r="FY12" s="258"/>
      <c r="FZ12" s="258"/>
      <c r="GQ12" s="258"/>
      <c r="GR12" s="258"/>
      <c r="GS12" s="258"/>
      <c r="GT12" s="258"/>
      <c r="HK12" s="258"/>
      <c r="HL12" s="258"/>
      <c r="HM12" s="258"/>
      <c r="HN12" s="258"/>
      <c r="IE12" s="258"/>
      <c r="IF12" s="258"/>
      <c r="IG12" s="258"/>
      <c r="IH12" s="258"/>
    </row>
    <row r="13" spans="1:242" s="261" customFormat="1" ht="16.5" customHeight="1" x14ac:dyDescent="0.25">
      <c r="A13" s="479" t="s">
        <v>25</v>
      </c>
      <c r="B13" s="476" t="s">
        <v>43</v>
      </c>
      <c r="C13" s="472" t="s">
        <v>5</v>
      </c>
      <c r="D13" s="473"/>
      <c r="E13" s="473"/>
      <c r="F13" s="473"/>
      <c r="G13" s="473"/>
      <c r="H13" s="473"/>
      <c r="I13" s="473"/>
      <c r="J13" s="473"/>
      <c r="K13" s="473"/>
      <c r="L13" s="473"/>
      <c r="M13" s="473"/>
      <c r="N13" s="473"/>
      <c r="O13" s="473"/>
      <c r="P13" s="473"/>
      <c r="Q13" s="473"/>
      <c r="R13" s="473"/>
      <c r="S13" s="473"/>
      <c r="T13" s="473"/>
      <c r="U13" s="473"/>
      <c r="V13" s="474"/>
      <c r="W13" s="469" t="s">
        <v>6</v>
      </c>
      <c r="X13" s="470"/>
      <c r="Y13" s="470"/>
      <c r="Z13" s="470"/>
      <c r="AA13" s="470"/>
      <c r="AB13" s="470"/>
      <c r="AC13" s="470"/>
      <c r="AD13" s="470"/>
      <c r="AE13" s="470"/>
      <c r="AF13" s="470"/>
      <c r="AG13" s="470"/>
      <c r="AH13" s="470"/>
      <c r="AI13" s="470"/>
      <c r="AJ13" s="470"/>
      <c r="AK13" s="470"/>
      <c r="AL13" s="470"/>
      <c r="AM13" s="470"/>
      <c r="AN13" s="470"/>
      <c r="AO13" s="470"/>
      <c r="AP13" s="471"/>
      <c r="AQ13" s="469" t="s">
        <v>20</v>
      </c>
      <c r="AR13" s="470"/>
      <c r="AS13" s="470"/>
      <c r="AT13" s="470"/>
      <c r="AU13" s="470"/>
      <c r="AV13" s="470"/>
      <c r="AW13" s="470"/>
      <c r="AX13" s="470"/>
      <c r="AY13" s="470"/>
      <c r="AZ13" s="470"/>
      <c r="BA13" s="470"/>
      <c r="BB13" s="470"/>
      <c r="BC13" s="470"/>
      <c r="BD13" s="470"/>
      <c r="BE13" s="470"/>
      <c r="BF13" s="470"/>
      <c r="BG13" s="470"/>
      <c r="BH13" s="470"/>
      <c r="BI13" s="470"/>
      <c r="BJ13" s="471"/>
      <c r="BK13" s="469" t="s">
        <v>21</v>
      </c>
      <c r="BL13" s="470"/>
      <c r="BM13" s="470"/>
      <c r="BN13" s="470"/>
      <c r="BO13" s="470"/>
      <c r="BP13" s="470"/>
      <c r="BQ13" s="470"/>
      <c r="BR13" s="470"/>
      <c r="BS13" s="470"/>
      <c r="BT13" s="470"/>
      <c r="BU13" s="470"/>
      <c r="BV13" s="470"/>
      <c r="BW13" s="470"/>
      <c r="BX13" s="470"/>
      <c r="BY13" s="470"/>
      <c r="BZ13" s="470"/>
      <c r="CA13" s="470"/>
      <c r="CB13" s="470"/>
      <c r="CC13" s="470"/>
      <c r="CD13" s="471"/>
      <c r="CE13" s="469" t="s">
        <v>22</v>
      </c>
      <c r="CF13" s="470"/>
      <c r="CG13" s="470"/>
      <c r="CH13" s="470"/>
      <c r="CI13" s="470"/>
      <c r="CJ13" s="470"/>
      <c r="CK13" s="470"/>
      <c r="CL13" s="470"/>
      <c r="CM13" s="470"/>
      <c r="CN13" s="470"/>
      <c r="CO13" s="470"/>
      <c r="CP13" s="470"/>
      <c r="CQ13" s="470"/>
      <c r="CR13" s="470"/>
      <c r="CS13" s="470"/>
      <c r="CT13" s="470"/>
      <c r="CU13" s="470"/>
      <c r="CV13" s="470"/>
      <c r="CW13" s="470"/>
      <c r="CX13" s="471"/>
      <c r="CY13" s="469" t="s">
        <v>3</v>
      </c>
      <c r="CZ13" s="470"/>
      <c r="DA13" s="470"/>
      <c r="DB13" s="470"/>
      <c r="DC13" s="470"/>
      <c r="DD13" s="470"/>
      <c r="DE13" s="470"/>
      <c r="DF13" s="470"/>
      <c r="DG13" s="470"/>
      <c r="DH13" s="470"/>
      <c r="DI13" s="470"/>
      <c r="DJ13" s="470"/>
      <c r="DK13" s="470"/>
      <c r="DL13" s="470"/>
      <c r="DM13" s="470"/>
      <c r="DN13" s="470"/>
      <c r="DO13" s="470"/>
      <c r="DP13" s="470"/>
      <c r="DQ13" s="470"/>
      <c r="DR13" s="471"/>
      <c r="DS13" s="469" t="s">
        <v>7</v>
      </c>
      <c r="DT13" s="470"/>
      <c r="DU13" s="470"/>
      <c r="DV13" s="470"/>
      <c r="DW13" s="470"/>
      <c r="DX13" s="470"/>
      <c r="DY13" s="470"/>
      <c r="DZ13" s="470"/>
      <c r="EA13" s="470"/>
      <c r="EB13" s="470"/>
      <c r="EC13" s="470"/>
      <c r="ED13" s="470"/>
      <c r="EE13" s="470"/>
      <c r="EF13" s="470"/>
      <c r="EG13" s="470"/>
      <c r="EH13" s="470"/>
      <c r="EI13" s="470"/>
      <c r="EJ13" s="470"/>
      <c r="EK13" s="470"/>
      <c r="EL13" s="471"/>
      <c r="EM13" s="469" t="s">
        <v>41</v>
      </c>
      <c r="EN13" s="470"/>
      <c r="EO13" s="470"/>
      <c r="EP13" s="470"/>
      <c r="EQ13" s="470"/>
      <c r="ER13" s="470"/>
      <c r="ES13" s="470"/>
      <c r="ET13" s="470"/>
      <c r="EU13" s="470"/>
      <c r="EV13" s="470"/>
      <c r="EW13" s="470"/>
      <c r="EX13" s="470"/>
      <c r="EY13" s="470"/>
      <c r="EZ13" s="470"/>
      <c r="FA13" s="470"/>
      <c r="FB13" s="470"/>
      <c r="FC13" s="470"/>
      <c r="FD13" s="470"/>
      <c r="FE13" s="470"/>
      <c r="FF13" s="471"/>
      <c r="FG13" s="469" t="s">
        <v>38</v>
      </c>
      <c r="FH13" s="470"/>
      <c r="FI13" s="470"/>
      <c r="FJ13" s="470"/>
      <c r="FK13" s="470"/>
      <c r="FL13" s="470"/>
      <c r="FM13" s="470"/>
      <c r="FN13" s="470"/>
      <c r="FO13" s="470"/>
      <c r="FP13" s="470"/>
      <c r="FQ13" s="470"/>
      <c r="FR13" s="470"/>
      <c r="FS13" s="470"/>
      <c r="FT13" s="470"/>
      <c r="FU13" s="470"/>
      <c r="FV13" s="470"/>
      <c r="FW13" s="470"/>
      <c r="FX13" s="470"/>
      <c r="FY13" s="470"/>
      <c r="FZ13" s="471"/>
      <c r="GA13" s="469" t="s">
        <v>42</v>
      </c>
      <c r="GB13" s="470"/>
      <c r="GC13" s="470"/>
      <c r="GD13" s="470"/>
      <c r="GE13" s="470"/>
      <c r="GF13" s="470"/>
      <c r="GG13" s="470"/>
      <c r="GH13" s="470"/>
      <c r="GI13" s="470"/>
      <c r="GJ13" s="470"/>
      <c r="GK13" s="470"/>
      <c r="GL13" s="470"/>
      <c r="GM13" s="470"/>
      <c r="GN13" s="470"/>
      <c r="GO13" s="470"/>
      <c r="GP13" s="470"/>
      <c r="GQ13" s="470"/>
      <c r="GR13" s="470"/>
      <c r="GS13" s="470"/>
      <c r="GT13" s="471"/>
      <c r="GU13" s="469" t="s">
        <v>23</v>
      </c>
      <c r="GV13" s="470"/>
      <c r="GW13" s="470"/>
      <c r="GX13" s="470"/>
      <c r="GY13" s="470"/>
      <c r="GZ13" s="470"/>
      <c r="HA13" s="470"/>
      <c r="HB13" s="470"/>
      <c r="HC13" s="470"/>
      <c r="HD13" s="470"/>
      <c r="HE13" s="470"/>
      <c r="HF13" s="470"/>
      <c r="HG13" s="470"/>
      <c r="HH13" s="470"/>
      <c r="HI13" s="470"/>
      <c r="HJ13" s="470"/>
      <c r="HK13" s="470"/>
      <c r="HL13" s="470"/>
      <c r="HM13" s="470"/>
      <c r="HN13" s="471"/>
      <c r="HO13" s="469" t="s">
        <v>40</v>
      </c>
      <c r="HP13" s="470"/>
      <c r="HQ13" s="470"/>
      <c r="HR13" s="470"/>
      <c r="HS13" s="470"/>
      <c r="HT13" s="470"/>
      <c r="HU13" s="470"/>
      <c r="HV13" s="470"/>
      <c r="HW13" s="470"/>
      <c r="HX13" s="470"/>
      <c r="HY13" s="470"/>
      <c r="HZ13" s="470"/>
      <c r="IA13" s="470"/>
      <c r="IB13" s="470"/>
      <c r="IC13" s="470"/>
      <c r="ID13" s="470"/>
      <c r="IE13" s="470"/>
      <c r="IF13" s="470"/>
      <c r="IG13" s="470"/>
      <c r="IH13" s="471"/>
    </row>
    <row r="14" spans="1:242" s="261" customFormat="1" ht="17.100000000000001" customHeight="1" x14ac:dyDescent="0.25">
      <c r="A14" s="479"/>
      <c r="B14" s="476"/>
      <c r="C14" s="449" t="s">
        <v>57</v>
      </c>
      <c r="D14" s="451"/>
      <c r="E14" s="451"/>
      <c r="F14" s="450"/>
      <c r="G14" s="449" t="s">
        <v>58</v>
      </c>
      <c r="H14" s="451"/>
      <c r="I14" s="451"/>
      <c r="J14" s="450"/>
      <c r="K14" s="449" t="s">
        <v>71</v>
      </c>
      <c r="L14" s="451"/>
      <c r="M14" s="451"/>
      <c r="N14" s="450"/>
      <c r="O14" s="449" t="s">
        <v>83</v>
      </c>
      <c r="P14" s="451"/>
      <c r="Q14" s="451"/>
      <c r="R14" s="450"/>
      <c r="S14" s="449" t="s">
        <v>167</v>
      </c>
      <c r="T14" s="451"/>
      <c r="U14" s="451"/>
      <c r="V14" s="450"/>
      <c r="W14" s="449" t="s">
        <v>57</v>
      </c>
      <c r="X14" s="451"/>
      <c r="Y14" s="451"/>
      <c r="Z14" s="450"/>
      <c r="AA14" s="449" t="s">
        <v>58</v>
      </c>
      <c r="AB14" s="451"/>
      <c r="AC14" s="451"/>
      <c r="AD14" s="450"/>
      <c r="AE14" s="449" t="s">
        <v>71</v>
      </c>
      <c r="AF14" s="451"/>
      <c r="AG14" s="451"/>
      <c r="AH14" s="450"/>
      <c r="AI14" s="449" t="s">
        <v>83</v>
      </c>
      <c r="AJ14" s="451"/>
      <c r="AK14" s="451"/>
      <c r="AL14" s="450"/>
      <c r="AM14" s="449" t="s">
        <v>167</v>
      </c>
      <c r="AN14" s="451"/>
      <c r="AO14" s="451"/>
      <c r="AP14" s="450"/>
      <c r="AQ14" s="449" t="s">
        <v>57</v>
      </c>
      <c r="AR14" s="451"/>
      <c r="AS14" s="451"/>
      <c r="AT14" s="450"/>
      <c r="AU14" s="449" t="s">
        <v>58</v>
      </c>
      <c r="AV14" s="451"/>
      <c r="AW14" s="451"/>
      <c r="AX14" s="450"/>
      <c r="AY14" s="449" t="s">
        <v>71</v>
      </c>
      <c r="AZ14" s="451"/>
      <c r="BA14" s="451"/>
      <c r="BB14" s="450"/>
      <c r="BC14" s="449" t="s">
        <v>83</v>
      </c>
      <c r="BD14" s="451"/>
      <c r="BE14" s="451"/>
      <c r="BF14" s="450"/>
      <c r="BG14" s="449" t="s">
        <v>167</v>
      </c>
      <c r="BH14" s="451"/>
      <c r="BI14" s="451"/>
      <c r="BJ14" s="450"/>
      <c r="BK14" s="449" t="s">
        <v>57</v>
      </c>
      <c r="BL14" s="451"/>
      <c r="BM14" s="451"/>
      <c r="BN14" s="450"/>
      <c r="BO14" s="449" t="s">
        <v>58</v>
      </c>
      <c r="BP14" s="451"/>
      <c r="BQ14" s="451"/>
      <c r="BR14" s="450"/>
      <c r="BS14" s="449" t="s">
        <v>71</v>
      </c>
      <c r="BT14" s="451"/>
      <c r="BU14" s="451"/>
      <c r="BV14" s="450"/>
      <c r="BW14" s="449" t="s">
        <v>83</v>
      </c>
      <c r="BX14" s="451"/>
      <c r="BY14" s="451"/>
      <c r="BZ14" s="450"/>
      <c r="CA14" s="449" t="s">
        <v>167</v>
      </c>
      <c r="CB14" s="451"/>
      <c r="CC14" s="451"/>
      <c r="CD14" s="450"/>
      <c r="CE14" s="449" t="s">
        <v>57</v>
      </c>
      <c r="CF14" s="451"/>
      <c r="CG14" s="451"/>
      <c r="CH14" s="450"/>
      <c r="CI14" s="449" t="s">
        <v>58</v>
      </c>
      <c r="CJ14" s="451"/>
      <c r="CK14" s="451"/>
      <c r="CL14" s="450"/>
      <c r="CM14" s="449" t="s">
        <v>71</v>
      </c>
      <c r="CN14" s="451"/>
      <c r="CO14" s="451"/>
      <c r="CP14" s="450"/>
      <c r="CQ14" s="449" t="s">
        <v>83</v>
      </c>
      <c r="CR14" s="451"/>
      <c r="CS14" s="451"/>
      <c r="CT14" s="450"/>
      <c r="CU14" s="449" t="s">
        <v>167</v>
      </c>
      <c r="CV14" s="451"/>
      <c r="CW14" s="451"/>
      <c r="CX14" s="450"/>
      <c r="CY14" s="449" t="s">
        <v>57</v>
      </c>
      <c r="CZ14" s="451"/>
      <c r="DA14" s="451"/>
      <c r="DB14" s="450"/>
      <c r="DC14" s="449" t="s">
        <v>58</v>
      </c>
      <c r="DD14" s="451"/>
      <c r="DE14" s="451"/>
      <c r="DF14" s="450"/>
      <c r="DG14" s="449" t="s">
        <v>71</v>
      </c>
      <c r="DH14" s="451"/>
      <c r="DI14" s="451"/>
      <c r="DJ14" s="450"/>
      <c r="DK14" s="449" t="s">
        <v>83</v>
      </c>
      <c r="DL14" s="451"/>
      <c r="DM14" s="451"/>
      <c r="DN14" s="450"/>
      <c r="DO14" s="449" t="s">
        <v>167</v>
      </c>
      <c r="DP14" s="451"/>
      <c r="DQ14" s="451"/>
      <c r="DR14" s="450"/>
      <c r="DS14" s="449" t="s">
        <v>57</v>
      </c>
      <c r="DT14" s="451"/>
      <c r="DU14" s="451"/>
      <c r="DV14" s="450"/>
      <c r="DW14" s="449" t="s">
        <v>58</v>
      </c>
      <c r="DX14" s="451"/>
      <c r="DY14" s="451"/>
      <c r="DZ14" s="450"/>
      <c r="EA14" s="449" t="s">
        <v>71</v>
      </c>
      <c r="EB14" s="451"/>
      <c r="EC14" s="451"/>
      <c r="ED14" s="450"/>
      <c r="EE14" s="449" t="s">
        <v>83</v>
      </c>
      <c r="EF14" s="451"/>
      <c r="EG14" s="451"/>
      <c r="EH14" s="450"/>
      <c r="EI14" s="449" t="s">
        <v>167</v>
      </c>
      <c r="EJ14" s="451"/>
      <c r="EK14" s="451"/>
      <c r="EL14" s="450"/>
      <c r="EM14" s="449" t="s">
        <v>57</v>
      </c>
      <c r="EN14" s="451"/>
      <c r="EO14" s="451"/>
      <c r="EP14" s="450"/>
      <c r="EQ14" s="449" t="s">
        <v>58</v>
      </c>
      <c r="ER14" s="451"/>
      <c r="ES14" s="451"/>
      <c r="ET14" s="450"/>
      <c r="EU14" s="449" t="s">
        <v>71</v>
      </c>
      <c r="EV14" s="451"/>
      <c r="EW14" s="451"/>
      <c r="EX14" s="450"/>
      <c r="EY14" s="449" t="s">
        <v>83</v>
      </c>
      <c r="EZ14" s="451"/>
      <c r="FA14" s="451"/>
      <c r="FB14" s="450"/>
      <c r="FC14" s="449" t="s">
        <v>167</v>
      </c>
      <c r="FD14" s="451"/>
      <c r="FE14" s="451"/>
      <c r="FF14" s="450"/>
      <c r="FG14" s="449" t="s">
        <v>57</v>
      </c>
      <c r="FH14" s="451"/>
      <c r="FI14" s="451"/>
      <c r="FJ14" s="450"/>
      <c r="FK14" s="449" t="s">
        <v>58</v>
      </c>
      <c r="FL14" s="451"/>
      <c r="FM14" s="451"/>
      <c r="FN14" s="450"/>
      <c r="FO14" s="449" t="s">
        <v>71</v>
      </c>
      <c r="FP14" s="451"/>
      <c r="FQ14" s="451"/>
      <c r="FR14" s="450"/>
      <c r="FS14" s="449" t="s">
        <v>83</v>
      </c>
      <c r="FT14" s="451"/>
      <c r="FU14" s="451"/>
      <c r="FV14" s="450"/>
      <c r="FW14" s="449" t="s">
        <v>167</v>
      </c>
      <c r="FX14" s="451"/>
      <c r="FY14" s="451"/>
      <c r="FZ14" s="450"/>
      <c r="GA14" s="449" t="s">
        <v>57</v>
      </c>
      <c r="GB14" s="451"/>
      <c r="GC14" s="451"/>
      <c r="GD14" s="450"/>
      <c r="GE14" s="449" t="s">
        <v>58</v>
      </c>
      <c r="GF14" s="451"/>
      <c r="GG14" s="451"/>
      <c r="GH14" s="450"/>
      <c r="GI14" s="449" t="s">
        <v>71</v>
      </c>
      <c r="GJ14" s="451"/>
      <c r="GK14" s="451"/>
      <c r="GL14" s="450"/>
      <c r="GM14" s="449" t="s">
        <v>83</v>
      </c>
      <c r="GN14" s="451"/>
      <c r="GO14" s="451"/>
      <c r="GP14" s="450"/>
      <c r="GQ14" s="449" t="s">
        <v>167</v>
      </c>
      <c r="GR14" s="451"/>
      <c r="GS14" s="451"/>
      <c r="GT14" s="450"/>
      <c r="GU14" s="449" t="s">
        <v>57</v>
      </c>
      <c r="GV14" s="451"/>
      <c r="GW14" s="451"/>
      <c r="GX14" s="450"/>
      <c r="GY14" s="449" t="s">
        <v>58</v>
      </c>
      <c r="GZ14" s="451"/>
      <c r="HA14" s="451"/>
      <c r="HB14" s="450"/>
      <c r="HC14" s="449" t="s">
        <v>71</v>
      </c>
      <c r="HD14" s="451"/>
      <c r="HE14" s="451"/>
      <c r="HF14" s="450"/>
      <c r="HG14" s="449" t="s">
        <v>83</v>
      </c>
      <c r="HH14" s="451"/>
      <c r="HI14" s="451"/>
      <c r="HJ14" s="450"/>
      <c r="HK14" s="449" t="s">
        <v>167</v>
      </c>
      <c r="HL14" s="451"/>
      <c r="HM14" s="451"/>
      <c r="HN14" s="450"/>
      <c r="HO14" s="449" t="s">
        <v>57</v>
      </c>
      <c r="HP14" s="451"/>
      <c r="HQ14" s="451"/>
      <c r="HR14" s="450"/>
      <c r="HS14" s="449" t="s">
        <v>58</v>
      </c>
      <c r="HT14" s="451"/>
      <c r="HU14" s="451"/>
      <c r="HV14" s="450"/>
      <c r="HW14" s="449" t="s">
        <v>71</v>
      </c>
      <c r="HX14" s="451"/>
      <c r="HY14" s="451"/>
      <c r="HZ14" s="450"/>
      <c r="IA14" s="449" t="s">
        <v>83</v>
      </c>
      <c r="IB14" s="451"/>
      <c r="IC14" s="451"/>
      <c r="ID14" s="450"/>
      <c r="IE14" s="449" t="s">
        <v>167</v>
      </c>
      <c r="IF14" s="451"/>
      <c r="IG14" s="451"/>
      <c r="IH14" s="450"/>
    </row>
    <row r="15" spans="1:242" s="261" customFormat="1" ht="16.5" customHeight="1" x14ac:dyDescent="0.25">
      <c r="A15" s="479"/>
      <c r="B15" s="476"/>
      <c r="C15" s="452" t="s">
        <v>129</v>
      </c>
      <c r="D15" s="452" t="s">
        <v>133</v>
      </c>
      <c r="E15" s="456" t="s">
        <v>130</v>
      </c>
      <c r="F15" s="457"/>
      <c r="G15" s="452" t="s">
        <v>129</v>
      </c>
      <c r="H15" s="452" t="s">
        <v>133</v>
      </c>
      <c r="I15" s="456" t="s">
        <v>130</v>
      </c>
      <c r="J15" s="457"/>
      <c r="K15" s="452" t="s">
        <v>129</v>
      </c>
      <c r="L15" s="452" t="s">
        <v>133</v>
      </c>
      <c r="M15" s="456" t="s">
        <v>130</v>
      </c>
      <c r="N15" s="457"/>
      <c r="O15" s="452" t="s">
        <v>135</v>
      </c>
      <c r="P15" s="452" t="s">
        <v>133</v>
      </c>
      <c r="Q15" s="456" t="s">
        <v>130</v>
      </c>
      <c r="R15" s="457"/>
      <c r="S15" s="448" t="s">
        <v>168</v>
      </c>
      <c r="T15" s="448"/>
      <c r="U15" s="448" t="s">
        <v>169</v>
      </c>
      <c r="V15" s="448"/>
      <c r="W15" s="452" t="s">
        <v>129</v>
      </c>
      <c r="X15" s="452" t="s">
        <v>133</v>
      </c>
      <c r="Y15" s="456" t="s">
        <v>130</v>
      </c>
      <c r="Z15" s="457"/>
      <c r="AA15" s="452" t="s">
        <v>129</v>
      </c>
      <c r="AB15" s="452" t="s">
        <v>133</v>
      </c>
      <c r="AC15" s="456" t="s">
        <v>130</v>
      </c>
      <c r="AD15" s="457"/>
      <c r="AE15" s="452" t="s">
        <v>129</v>
      </c>
      <c r="AF15" s="452" t="s">
        <v>133</v>
      </c>
      <c r="AG15" s="456" t="s">
        <v>130</v>
      </c>
      <c r="AH15" s="457"/>
      <c r="AI15" s="452" t="s">
        <v>135</v>
      </c>
      <c r="AJ15" s="452" t="s">
        <v>133</v>
      </c>
      <c r="AK15" s="456" t="s">
        <v>130</v>
      </c>
      <c r="AL15" s="457"/>
      <c r="AM15" s="448" t="s">
        <v>168</v>
      </c>
      <c r="AN15" s="448"/>
      <c r="AO15" s="448" t="s">
        <v>169</v>
      </c>
      <c r="AP15" s="448"/>
      <c r="AQ15" s="452" t="s">
        <v>129</v>
      </c>
      <c r="AR15" s="452" t="s">
        <v>133</v>
      </c>
      <c r="AS15" s="456" t="s">
        <v>130</v>
      </c>
      <c r="AT15" s="457"/>
      <c r="AU15" s="452" t="s">
        <v>129</v>
      </c>
      <c r="AV15" s="452" t="s">
        <v>133</v>
      </c>
      <c r="AW15" s="456" t="s">
        <v>130</v>
      </c>
      <c r="AX15" s="457"/>
      <c r="AY15" s="452" t="s">
        <v>129</v>
      </c>
      <c r="AZ15" s="452" t="s">
        <v>133</v>
      </c>
      <c r="BA15" s="456" t="s">
        <v>130</v>
      </c>
      <c r="BB15" s="457"/>
      <c r="BC15" s="452" t="s">
        <v>135</v>
      </c>
      <c r="BD15" s="452" t="s">
        <v>133</v>
      </c>
      <c r="BE15" s="456" t="s">
        <v>130</v>
      </c>
      <c r="BF15" s="457"/>
      <c r="BG15" s="448" t="s">
        <v>168</v>
      </c>
      <c r="BH15" s="448"/>
      <c r="BI15" s="448" t="s">
        <v>169</v>
      </c>
      <c r="BJ15" s="448"/>
      <c r="BK15" s="452" t="s">
        <v>129</v>
      </c>
      <c r="BL15" s="452" t="s">
        <v>133</v>
      </c>
      <c r="BM15" s="456" t="s">
        <v>130</v>
      </c>
      <c r="BN15" s="457"/>
      <c r="BO15" s="452" t="s">
        <v>129</v>
      </c>
      <c r="BP15" s="452" t="s">
        <v>133</v>
      </c>
      <c r="BQ15" s="456" t="s">
        <v>130</v>
      </c>
      <c r="BR15" s="457"/>
      <c r="BS15" s="452" t="s">
        <v>129</v>
      </c>
      <c r="BT15" s="452" t="s">
        <v>133</v>
      </c>
      <c r="BU15" s="456" t="s">
        <v>130</v>
      </c>
      <c r="BV15" s="457"/>
      <c r="BW15" s="452" t="s">
        <v>135</v>
      </c>
      <c r="BX15" s="452" t="s">
        <v>133</v>
      </c>
      <c r="BY15" s="456" t="s">
        <v>130</v>
      </c>
      <c r="BZ15" s="457"/>
      <c r="CA15" s="448" t="s">
        <v>168</v>
      </c>
      <c r="CB15" s="448"/>
      <c r="CC15" s="448" t="s">
        <v>169</v>
      </c>
      <c r="CD15" s="448"/>
      <c r="CE15" s="452" t="s">
        <v>129</v>
      </c>
      <c r="CF15" s="452" t="s">
        <v>134</v>
      </c>
      <c r="CG15" s="456" t="s">
        <v>130</v>
      </c>
      <c r="CH15" s="457"/>
      <c r="CI15" s="452" t="s">
        <v>129</v>
      </c>
      <c r="CJ15" s="452" t="s">
        <v>134</v>
      </c>
      <c r="CK15" s="456" t="s">
        <v>130</v>
      </c>
      <c r="CL15" s="457"/>
      <c r="CM15" s="452" t="s">
        <v>129</v>
      </c>
      <c r="CN15" s="452" t="s">
        <v>134</v>
      </c>
      <c r="CO15" s="456" t="s">
        <v>130</v>
      </c>
      <c r="CP15" s="457"/>
      <c r="CQ15" s="452" t="s">
        <v>135</v>
      </c>
      <c r="CR15" s="452" t="s">
        <v>133</v>
      </c>
      <c r="CS15" s="456" t="s">
        <v>130</v>
      </c>
      <c r="CT15" s="457"/>
      <c r="CU15" s="448" t="s">
        <v>168</v>
      </c>
      <c r="CV15" s="448"/>
      <c r="CW15" s="448" t="s">
        <v>169</v>
      </c>
      <c r="CX15" s="448"/>
      <c r="CY15" s="452" t="s">
        <v>129</v>
      </c>
      <c r="CZ15" s="452" t="s">
        <v>134</v>
      </c>
      <c r="DA15" s="456" t="s">
        <v>130</v>
      </c>
      <c r="DB15" s="457"/>
      <c r="DC15" s="452" t="s">
        <v>129</v>
      </c>
      <c r="DD15" s="452" t="s">
        <v>134</v>
      </c>
      <c r="DE15" s="456" t="s">
        <v>130</v>
      </c>
      <c r="DF15" s="457"/>
      <c r="DG15" s="452" t="s">
        <v>129</v>
      </c>
      <c r="DH15" s="452" t="s">
        <v>134</v>
      </c>
      <c r="DI15" s="456" t="s">
        <v>130</v>
      </c>
      <c r="DJ15" s="457"/>
      <c r="DK15" s="452" t="s">
        <v>135</v>
      </c>
      <c r="DL15" s="452" t="s">
        <v>133</v>
      </c>
      <c r="DM15" s="456" t="s">
        <v>130</v>
      </c>
      <c r="DN15" s="457"/>
      <c r="DO15" s="448" t="s">
        <v>168</v>
      </c>
      <c r="DP15" s="448"/>
      <c r="DQ15" s="448" t="s">
        <v>169</v>
      </c>
      <c r="DR15" s="448"/>
      <c r="DS15" s="452" t="s">
        <v>129</v>
      </c>
      <c r="DT15" s="452" t="s">
        <v>134</v>
      </c>
      <c r="DU15" s="456" t="s">
        <v>130</v>
      </c>
      <c r="DV15" s="457"/>
      <c r="DW15" s="452" t="s">
        <v>129</v>
      </c>
      <c r="DX15" s="452" t="s">
        <v>134</v>
      </c>
      <c r="DY15" s="456" t="s">
        <v>130</v>
      </c>
      <c r="DZ15" s="457"/>
      <c r="EA15" s="452" t="s">
        <v>129</v>
      </c>
      <c r="EB15" s="452" t="s">
        <v>134</v>
      </c>
      <c r="EC15" s="456" t="s">
        <v>130</v>
      </c>
      <c r="ED15" s="457"/>
      <c r="EE15" s="452" t="s">
        <v>135</v>
      </c>
      <c r="EF15" s="452" t="s">
        <v>133</v>
      </c>
      <c r="EG15" s="456" t="s">
        <v>130</v>
      </c>
      <c r="EH15" s="457"/>
      <c r="EI15" s="448" t="s">
        <v>168</v>
      </c>
      <c r="EJ15" s="448"/>
      <c r="EK15" s="448" t="s">
        <v>169</v>
      </c>
      <c r="EL15" s="448"/>
      <c r="EM15" s="452" t="s">
        <v>129</v>
      </c>
      <c r="EN15" s="452" t="s">
        <v>134</v>
      </c>
      <c r="EO15" s="456" t="s">
        <v>130</v>
      </c>
      <c r="EP15" s="457"/>
      <c r="EQ15" s="452" t="s">
        <v>129</v>
      </c>
      <c r="ER15" s="452" t="s">
        <v>134</v>
      </c>
      <c r="ES15" s="456" t="s">
        <v>130</v>
      </c>
      <c r="ET15" s="457"/>
      <c r="EU15" s="452" t="s">
        <v>129</v>
      </c>
      <c r="EV15" s="452" t="s">
        <v>134</v>
      </c>
      <c r="EW15" s="456" t="s">
        <v>130</v>
      </c>
      <c r="EX15" s="457"/>
      <c r="EY15" s="452" t="s">
        <v>135</v>
      </c>
      <c r="EZ15" s="452" t="s">
        <v>133</v>
      </c>
      <c r="FA15" s="456" t="s">
        <v>130</v>
      </c>
      <c r="FB15" s="457"/>
      <c r="FC15" s="448" t="s">
        <v>168</v>
      </c>
      <c r="FD15" s="448"/>
      <c r="FE15" s="448" t="s">
        <v>169</v>
      </c>
      <c r="FF15" s="448"/>
      <c r="FG15" s="452" t="s">
        <v>129</v>
      </c>
      <c r="FH15" s="452" t="s">
        <v>134</v>
      </c>
      <c r="FI15" s="456" t="s">
        <v>130</v>
      </c>
      <c r="FJ15" s="457"/>
      <c r="FK15" s="452" t="s">
        <v>129</v>
      </c>
      <c r="FL15" s="452" t="s">
        <v>134</v>
      </c>
      <c r="FM15" s="456" t="s">
        <v>130</v>
      </c>
      <c r="FN15" s="457"/>
      <c r="FO15" s="452" t="s">
        <v>129</v>
      </c>
      <c r="FP15" s="452" t="s">
        <v>134</v>
      </c>
      <c r="FQ15" s="456" t="s">
        <v>130</v>
      </c>
      <c r="FR15" s="457"/>
      <c r="FS15" s="452" t="s">
        <v>135</v>
      </c>
      <c r="FT15" s="452" t="s">
        <v>133</v>
      </c>
      <c r="FU15" s="456" t="s">
        <v>130</v>
      </c>
      <c r="FV15" s="457"/>
      <c r="FW15" s="448" t="s">
        <v>168</v>
      </c>
      <c r="FX15" s="448"/>
      <c r="FY15" s="448" t="s">
        <v>169</v>
      </c>
      <c r="FZ15" s="448"/>
      <c r="GA15" s="452" t="s">
        <v>129</v>
      </c>
      <c r="GB15" s="452" t="s">
        <v>134</v>
      </c>
      <c r="GC15" s="456" t="s">
        <v>130</v>
      </c>
      <c r="GD15" s="457"/>
      <c r="GE15" s="452" t="s">
        <v>129</v>
      </c>
      <c r="GF15" s="452" t="s">
        <v>134</v>
      </c>
      <c r="GG15" s="456" t="s">
        <v>130</v>
      </c>
      <c r="GH15" s="457"/>
      <c r="GI15" s="452" t="s">
        <v>129</v>
      </c>
      <c r="GJ15" s="452" t="s">
        <v>134</v>
      </c>
      <c r="GK15" s="456" t="s">
        <v>130</v>
      </c>
      <c r="GL15" s="457"/>
      <c r="GM15" s="452" t="s">
        <v>135</v>
      </c>
      <c r="GN15" s="452" t="s">
        <v>133</v>
      </c>
      <c r="GO15" s="456" t="s">
        <v>130</v>
      </c>
      <c r="GP15" s="457"/>
      <c r="GQ15" s="448" t="s">
        <v>168</v>
      </c>
      <c r="GR15" s="448"/>
      <c r="GS15" s="448" t="s">
        <v>169</v>
      </c>
      <c r="GT15" s="448"/>
      <c r="GU15" s="452" t="s">
        <v>129</v>
      </c>
      <c r="GV15" s="452" t="s">
        <v>134</v>
      </c>
      <c r="GW15" s="456" t="s">
        <v>130</v>
      </c>
      <c r="GX15" s="457"/>
      <c r="GY15" s="452" t="s">
        <v>129</v>
      </c>
      <c r="GZ15" s="452" t="s">
        <v>134</v>
      </c>
      <c r="HA15" s="456" t="s">
        <v>130</v>
      </c>
      <c r="HB15" s="457"/>
      <c r="HC15" s="452" t="s">
        <v>129</v>
      </c>
      <c r="HD15" s="452" t="s">
        <v>134</v>
      </c>
      <c r="HE15" s="456" t="s">
        <v>130</v>
      </c>
      <c r="HF15" s="457"/>
      <c r="HG15" s="452" t="s">
        <v>135</v>
      </c>
      <c r="HH15" s="452" t="s">
        <v>133</v>
      </c>
      <c r="HI15" s="456" t="s">
        <v>130</v>
      </c>
      <c r="HJ15" s="457"/>
      <c r="HK15" s="448" t="s">
        <v>168</v>
      </c>
      <c r="HL15" s="448"/>
      <c r="HM15" s="448" t="s">
        <v>169</v>
      </c>
      <c r="HN15" s="448"/>
      <c r="HO15" s="452" t="s">
        <v>129</v>
      </c>
      <c r="HP15" s="452" t="s">
        <v>134</v>
      </c>
      <c r="HQ15" s="456" t="s">
        <v>130</v>
      </c>
      <c r="HR15" s="457"/>
      <c r="HS15" s="452" t="s">
        <v>129</v>
      </c>
      <c r="HT15" s="452" t="s">
        <v>134</v>
      </c>
      <c r="HU15" s="456" t="s">
        <v>130</v>
      </c>
      <c r="HV15" s="457"/>
      <c r="HW15" s="452" t="s">
        <v>129</v>
      </c>
      <c r="HX15" s="452" t="s">
        <v>134</v>
      </c>
      <c r="HY15" s="456" t="s">
        <v>130</v>
      </c>
      <c r="HZ15" s="457"/>
      <c r="IA15" s="452" t="s">
        <v>135</v>
      </c>
      <c r="IB15" s="452" t="s">
        <v>133</v>
      </c>
      <c r="IC15" s="456" t="s">
        <v>130</v>
      </c>
      <c r="ID15" s="457"/>
      <c r="IE15" s="448" t="s">
        <v>168</v>
      </c>
      <c r="IF15" s="448"/>
      <c r="IG15" s="448" t="s">
        <v>169</v>
      </c>
      <c r="IH15" s="448"/>
    </row>
    <row r="16" spans="1:242" s="261" customFormat="1" ht="15.95" customHeight="1" x14ac:dyDescent="0.25">
      <c r="A16" s="479"/>
      <c r="B16" s="476"/>
      <c r="C16" s="460"/>
      <c r="D16" s="460"/>
      <c r="E16" s="458"/>
      <c r="F16" s="459"/>
      <c r="G16" s="460"/>
      <c r="H16" s="460"/>
      <c r="I16" s="458"/>
      <c r="J16" s="459"/>
      <c r="K16" s="460"/>
      <c r="L16" s="460"/>
      <c r="M16" s="458"/>
      <c r="N16" s="459"/>
      <c r="O16" s="460"/>
      <c r="P16" s="460"/>
      <c r="Q16" s="458"/>
      <c r="R16" s="459"/>
      <c r="S16" s="448"/>
      <c r="T16" s="448"/>
      <c r="U16" s="448"/>
      <c r="V16" s="448"/>
      <c r="W16" s="460"/>
      <c r="X16" s="460"/>
      <c r="Y16" s="458"/>
      <c r="Z16" s="459"/>
      <c r="AA16" s="460"/>
      <c r="AB16" s="460"/>
      <c r="AC16" s="458"/>
      <c r="AD16" s="459"/>
      <c r="AE16" s="460"/>
      <c r="AF16" s="460"/>
      <c r="AG16" s="458"/>
      <c r="AH16" s="459"/>
      <c r="AI16" s="460"/>
      <c r="AJ16" s="460"/>
      <c r="AK16" s="458"/>
      <c r="AL16" s="459"/>
      <c r="AM16" s="448"/>
      <c r="AN16" s="448"/>
      <c r="AO16" s="448"/>
      <c r="AP16" s="448"/>
      <c r="AQ16" s="460"/>
      <c r="AR16" s="460"/>
      <c r="AS16" s="458"/>
      <c r="AT16" s="459"/>
      <c r="AU16" s="460"/>
      <c r="AV16" s="460"/>
      <c r="AW16" s="458"/>
      <c r="AX16" s="459"/>
      <c r="AY16" s="460"/>
      <c r="AZ16" s="460"/>
      <c r="BA16" s="458"/>
      <c r="BB16" s="459"/>
      <c r="BC16" s="460"/>
      <c r="BD16" s="460"/>
      <c r="BE16" s="458"/>
      <c r="BF16" s="459"/>
      <c r="BG16" s="448"/>
      <c r="BH16" s="448"/>
      <c r="BI16" s="448"/>
      <c r="BJ16" s="448"/>
      <c r="BK16" s="460"/>
      <c r="BL16" s="460"/>
      <c r="BM16" s="458"/>
      <c r="BN16" s="459"/>
      <c r="BO16" s="460"/>
      <c r="BP16" s="460"/>
      <c r="BQ16" s="458"/>
      <c r="BR16" s="459"/>
      <c r="BS16" s="460"/>
      <c r="BT16" s="460"/>
      <c r="BU16" s="458"/>
      <c r="BV16" s="459"/>
      <c r="BW16" s="460"/>
      <c r="BX16" s="460"/>
      <c r="BY16" s="458"/>
      <c r="BZ16" s="459"/>
      <c r="CA16" s="448"/>
      <c r="CB16" s="448"/>
      <c r="CC16" s="448"/>
      <c r="CD16" s="448"/>
      <c r="CE16" s="460"/>
      <c r="CF16" s="460"/>
      <c r="CG16" s="458"/>
      <c r="CH16" s="459"/>
      <c r="CI16" s="460"/>
      <c r="CJ16" s="460"/>
      <c r="CK16" s="458"/>
      <c r="CL16" s="459"/>
      <c r="CM16" s="460"/>
      <c r="CN16" s="460"/>
      <c r="CO16" s="458"/>
      <c r="CP16" s="459"/>
      <c r="CQ16" s="460"/>
      <c r="CR16" s="460"/>
      <c r="CS16" s="458"/>
      <c r="CT16" s="459"/>
      <c r="CU16" s="448"/>
      <c r="CV16" s="448"/>
      <c r="CW16" s="448"/>
      <c r="CX16" s="448"/>
      <c r="CY16" s="460"/>
      <c r="CZ16" s="460"/>
      <c r="DA16" s="458"/>
      <c r="DB16" s="459"/>
      <c r="DC16" s="460"/>
      <c r="DD16" s="460"/>
      <c r="DE16" s="458"/>
      <c r="DF16" s="459"/>
      <c r="DG16" s="460"/>
      <c r="DH16" s="460"/>
      <c r="DI16" s="458"/>
      <c r="DJ16" s="459"/>
      <c r="DK16" s="460"/>
      <c r="DL16" s="460"/>
      <c r="DM16" s="458"/>
      <c r="DN16" s="459"/>
      <c r="DO16" s="448"/>
      <c r="DP16" s="448"/>
      <c r="DQ16" s="448"/>
      <c r="DR16" s="448"/>
      <c r="DS16" s="460"/>
      <c r="DT16" s="460"/>
      <c r="DU16" s="458"/>
      <c r="DV16" s="459"/>
      <c r="DW16" s="460"/>
      <c r="DX16" s="460"/>
      <c r="DY16" s="458"/>
      <c r="DZ16" s="459"/>
      <c r="EA16" s="460"/>
      <c r="EB16" s="460"/>
      <c r="EC16" s="458"/>
      <c r="ED16" s="459"/>
      <c r="EE16" s="460"/>
      <c r="EF16" s="460"/>
      <c r="EG16" s="458"/>
      <c r="EH16" s="459"/>
      <c r="EI16" s="448"/>
      <c r="EJ16" s="448"/>
      <c r="EK16" s="448"/>
      <c r="EL16" s="448"/>
      <c r="EM16" s="460"/>
      <c r="EN16" s="460"/>
      <c r="EO16" s="458"/>
      <c r="EP16" s="459"/>
      <c r="EQ16" s="460"/>
      <c r="ER16" s="460"/>
      <c r="ES16" s="458"/>
      <c r="ET16" s="459"/>
      <c r="EU16" s="460"/>
      <c r="EV16" s="460"/>
      <c r="EW16" s="458"/>
      <c r="EX16" s="459"/>
      <c r="EY16" s="460"/>
      <c r="EZ16" s="460"/>
      <c r="FA16" s="458"/>
      <c r="FB16" s="459"/>
      <c r="FC16" s="448"/>
      <c r="FD16" s="448"/>
      <c r="FE16" s="448"/>
      <c r="FF16" s="448"/>
      <c r="FG16" s="460"/>
      <c r="FH16" s="460"/>
      <c r="FI16" s="458"/>
      <c r="FJ16" s="459"/>
      <c r="FK16" s="460"/>
      <c r="FL16" s="460"/>
      <c r="FM16" s="458"/>
      <c r="FN16" s="459"/>
      <c r="FO16" s="460"/>
      <c r="FP16" s="460"/>
      <c r="FQ16" s="458"/>
      <c r="FR16" s="459"/>
      <c r="FS16" s="460"/>
      <c r="FT16" s="460"/>
      <c r="FU16" s="458"/>
      <c r="FV16" s="459"/>
      <c r="FW16" s="448"/>
      <c r="FX16" s="448"/>
      <c r="FY16" s="448"/>
      <c r="FZ16" s="448"/>
      <c r="GA16" s="460"/>
      <c r="GB16" s="460"/>
      <c r="GC16" s="458"/>
      <c r="GD16" s="459"/>
      <c r="GE16" s="460"/>
      <c r="GF16" s="460"/>
      <c r="GG16" s="458"/>
      <c r="GH16" s="459"/>
      <c r="GI16" s="460"/>
      <c r="GJ16" s="460"/>
      <c r="GK16" s="458"/>
      <c r="GL16" s="459"/>
      <c r="GM16" s="460"/>
      <c r="GN16" s="460"/>
      <c r="GO16" s="458"/>
      <c r="GP16" s="459"/>
      <c r="GQ16" s="448"/>
      <c r="GR16" s="448"/>
      <c r="GS16" s="448"/>
      <c r="GT16" s="448"/>
      <c r="GU16" s="460"/>
      <c r="GV16" s="460"/>
      <c r="GW16" s="458"/>
      <c r="GX16" s="459"/>
      <c r="GY16" s="460"/>
      <c r="GZ16" s="460"/>
      <c r="HA16" s="458"/>
      <c r="HB16" s="459"/>
      <c r="HC16" s="460"/>
      <c r="HD16" s="460"/>
      <c r="HE16" s="458"/>
      <c r="HF16" s="459"/>
      <c r="HG16" s="460"/>
      <c r="HH16" s="460"/>
      <c r="HI16" s="458"/>
      <c r="HJ16" s="459"/>
      <c r="HK16" s="448"/>
      <c r="HL16" s="448"/>
      <c r="HM16" s="448"/>
      <c r="HN16" s="448"/>
      <c r="HO16" s="460"/>
      <c r="HP16" s="460"/>
      <c r="HQ16" s="458"/>
      <c r="HR16" s="459"/>
      <c r="HS16" s="460"/>
      <c r="HT16" s="460"/>
      <c r="HU16" s="458"/>
      <c r="HV16" s="459"/>
      <c r="HW16" s="460"/>
      <c r="HX16" s="460"/>
      <c r="HY16" s="458"/>
      <c r="HZ16" s="459"/>
      <c r="IA16" s="460"/>
      <c r="IB16" s="460"/>
      <c r="IC16" s="458"/>
      <c r="ID16" s="459"/>
      <c r="IE16" s="448"/>
      <c r="IF16" s="448"/>
      <c r="IG16" s="448"/>
      <c r="IH16" s="448"/>
    </row>
    <row r="17" spans="1:242" s="54" customFormat="1" ht="47.1" customHeight="1" x14ac:dyDescent="0.2">
      <c r="A17" s="480"/>
      <c r="B17" s="477"/>
      <c r="C17" s="453"/>
      <c r="D17" s="453"/>
      <c r="E17" s="334" t="s">
        <v>131</v>
      </c>
      <c r="F17" s="335" t="s">
        <v>132</v>
      </c>
      <c r="G17" s="453"/>
      <c r="H17" s="453"/>
      <c r="I17" s="334" t="s">
        <v>131</v>
      </c>
      <c r="J17" s="335" t="s">
        <v>132</v>
      </c>
      <c r="K17" s="453"/>
      <c r="L17" s="453"/>
      <c r="M17" s="334" t="s">
        <v>131</v>
      </c>
      <c r="N17" s="335" t="s">
        <v>132</v>
      </c>
      <c r="O17" s="453"/>
      <c r="P17" s="453"/>
      <c r="Q17" s="334" t="s">
        <v>131</v>
      </c>
      <c r="R17" s="335" t="s">
        <v>132</v>
      </c>
      <c r="S17" s="391" t="s">
        <v>129</v>
      </c>
      <c r="T17" s="391" t="s">
        <v>133</v>
      </c>
      <c r="U17" s="391" t="s">
        <v>129</v>
      </c>
      <c r="V17" s="391" t="s">
        <v>133</v>
      </c>
      <c r="W17" s="453"/>
      <c r="X17" s="453"/>
      <c r="Y17" s="334" t="s">
        <v>131</v>
      </c>
      <c r="Z17" s="370" t="s">
        <v>132</v>
      </c>
      <c r="AA17" s="453"/>
      <c r="AB17" s="453"/>
      <c r="AC17" s="334" t="s">
        <v>131</v>
      </c>
      <c r="AD17" s="335" t="s">
        <v>132</v>
      </c>
      <c r="AE17" s="453"/>
      <c r="AF17" s="453"/>
      <c r="AG17" s="334" t="s">
        <v>131</v>
      </c>
      <c r="AH17" s="335" t="s">
        <v>132</v>
      </c>
      <c r="AI17" s="453"/>
      <c r="AJ17" s="453"/>
      <c r="AK17" s="334" t="s">
        <v>131</v>
      </c>
      <c r="AL17" s="335" t="s">
        <v>132</v>
      </c>
      <c r="AM17" s="391" t="s">
        <v>129</v>
      </c>
      <c r="AN17" s="391" t="s">
        <v>133</v>
      </c>
      <c r="AO17" s="391" t="s">
        <v>129</v>
      </c>
      <c r="AP17" s="391" t="s">
        <v>133</v>
      </c>
      <c r="AQ17" s="453"/>
      <c r="AR17" s="453"/>
      <c r="AS17" s="334" t="s">
        <v>131</v>
      </c>
      <c r="AT17" s="335" t="s">
        <v>132</v>
      </c>
      <c r="AU17" s="453"/>
      <c r="AV17" s="453"/>
      <c r="AW17" s="334" t="s">
        <v>131</v>
      </c>
      <c r="AX17" s="335" t="s">
        <v>132</v>
      </c>
      <c r="AY17" s="453"/>
      <c r="AZ17" s="453"/>
      <c r="BA17" s="334" t="s">
        <v>131</v>
      </c>
      <c r="BB17" s="335" t="s">
        <v>132</v>
      </c>
      <c r="BC17" s="453"/>
      <c r="BD17" s="453"/>
      <c r="BE17" s="334" t="s">
        <v>131</v>
      </c>
      <c r="BF17" s="335" t="s">
        <v>132</v>
      </c>
      <c r="BG17" s="391" t="s">
        <v>129</v>
      </c>
      <c r="BH17" s="391" t="s">
        <v>133</v>
      </c>
      <c r="BI17" s="391" t="s">
        <v>129</v>
      </c>
      <c r="BJ17" s="391" t="s">
        <v>133</v>
      </c>
      <c r="BK17" s="453"/>
      <c r="BL17" s="453"/>
      <c r="BM17" s="334" t="s">
        <v>131</v>
      </c>
      <c r="BN17" s="335" t="s">
        <v>132</v>
      </c>
      <c r="BO17" s="453"/>
      <c r="BP17" s="453"/>
      <c r="BQ17" s="334" t="s">
        <v>131</v>
      </c>
      <c r="BR17" s="335" t="s">
        <v>132</v>
      </c>
      <c r="BS17" s="453"/>
      <c r="BT17" s="453"/>
      <c r="BU17" s="334" t="s">
        <v>131</v>
      </c>
      <c r="BV17" s="335" t="s">
        <v>132</v>
      </c>
      <c r="BW17" s="453"/>
      <c r="BX17" s="453"/>
      <c r="BY17" s="334" t="s">
        <v>131</v>
      </c>
      <c r="BZ17" s="335" t="s">
        <v>132</v>
      </c>
      <c r="CA17" s="391" t="s">
        <v>129</v>
      </c>
      <c r="CB17" s="391" t="s">
        <v>133</v>
      </c>
      <c r="CC17" s="391" t="s">
        <v>129</v>
      </c>
      <c r="CD17" s="391" t="s">
        <v>133</v>
      </c>
      <c r="CE17" s="453"/>
      <c r="CF17" s="453"/>
      <c r="CG17" s="334" t="s">
        <v>131</v>
      </c>
      <c r="CH17" s="335" t="s">
        <v>132</v>
      </c>
      <c r="CI17" s="453"/>
      <c r="CJ17" s="453"/>
      <c r="CK17" s="334" t="s">
        <v>131</v>
      </c>
      <c r="CL17" s="335" t="s">
        <v>132</v>
      </c>
      <c r="CM17" s="453"/>
      <c r="CN17" s="453"/>
      <c r="CO17" s="334" t="s">
        <v>131</v>
      </c>
      <c r="CP17" s="335" t="s">
        <v>132</v>
      </c>
      <c r="CQ17" s="453"/>
      <c r="CR17" s="453"/>
      <c r="CS17" s="334" t="s">
        <v>131</v>
      </c>
      <c r="CT17" s="335" t="s">
        <v>132</v>
      </c>
      <c r="CU17" s="391" t="s">
        <v>129</v>
      </c>
      <c r="CV17" s="391" t="s">
        <v>133</v>
      </c>
      <c r="CW17" s="391" t="s">
        <v>129</v>
      </c>
      <c r="CX17" s="391" t="s">
        <v>133</v>
      </c>
      <c r="CY17" s="453"/>
      <c r="CZ17" s="453"/>
      <c r="DA17" s="334" t="s">
        <v>131</v>
      </c>
      <c r="DB17" s="335" t="s">
        <v>132</v>
      </c>
      <c r="DC17" s="453"/>
      <c r="DD17" s="453"/>
      <c r="DE17" s="334" t="s">
        <v>131</v>
      </c>
      <c r="DF17" s="335" t="s">
        <v>132</v>
      </c>
      <c r="DG17" s="453"/>
      <c r="DH17" s="453"/>
      <c r="DI17" s="334" t="s">
        <v>131</v>
      </c>
      <c r="DJ17" s="335" t="s">
        <v>132</v>
      </c>
      <c r="DK17" s="453"/>
      <c r="DL17" s="453"/>
      <c r="DM17" s="334" t="s">
        <v>131</v>
      </c>
      <c r="DN17" s="335" t="s">
        <v>132</v>
      </c>
      <c r="DO17" s="391" t="s">
        <v>129</v>
      </c>
      <c r="DP17" s="391" t="s">
        <v>133</v>
      </c>
      <c r="DQ17" s="391" t="s">
        <v>129</v>
      </c>
      <c r="DR17" s="391" t="s">
        <v>133</v>
      </c>
      <c r="DS17" s="453"/>
      <c r="DT17" s="453"/>
      <c r="DU17" s="334" t="s">
        <v>131</v>
      </c>
      <c r="DV17" s="335" t="s">
        <v>132</v>
      </c>
      <c r="DW17" s="453"/>
      <c r="DX17" s="453"/>
      <c r="DY17" s="334" t="s">
        <v>131</v>
      </c>
      <c r="DZ17" s="335" t="s">
        <v>132</v>
      </c>
      <c r="EA17" s="453"/>
      <c r="EB17" s="453"/>
      <c r="EC17" s="334" t="s">
        <v>131</v>
      </c>
      <c r="ED17" s="335" t="s">
        <v>132</v>
      </c>
      <c r="EE17" s="453"/>
      <c r="EF17" s="453"/>
      <c r="EG17" s="334" t="s">
        <v>131</v>
      </c>
      <c r="EH17" s="335" t="s">
        <v>132</v>
      </c>
      <c r="EI17" s="391" t="s">
        <v>129</v>
      </c>
      <c r="EJ17" s="391" t="s">
        <v>133</v>
      </c>
      <c r="EK17" s="391" t="s">
        <v>129</v>
      </c>
      <c r="EL17" s="391" t="s">
        <v>133</v>
      </c>
      <c r="EM17" s="453"/>
      <c r="EN17" s="453"/>
      <c r="EO17" s="334" t="s">
        <v>131</v>
      </c>
      <c r="EP17" s="335" t="s">
        <v>132</v>
      </c>
      <c r="EQ17" s="453"/>
      <c r="ER17" s="453"/>
      <c r="ES17" s="334" t="s">
        <v>131</v>
      </c>
      <c r="ET17" s="335" t="s">
        <v>132</v>
      </c>
      <c r="EU17" s="453"/>
      <c r="EV17" s="453"/>
      <c r="EW17" s="334" t="s">
        <v>131</v>
      </c>
      <c r="EX17" s="335" t="s">
        <v>132</v>
      </c>
      <c r="EY17" s="453"/>
      <c r="EZ17" s="453"/>
      <c r="FA17" s="334" t="s">
        <v>131</v>
      </c>
      <c r="FB17" s="335" t="s">
        <v>132</v>
      </c>
      <c r="FC17" s="391" t="s">
        <v>129</v>
      </c>
      <c r="FD17" s="391" t="s">
        <v>133</v>
      </c>
      <c r="FE17" s="391" t="s">
        <v>129</v>
      </c>
      <c r="FF17" s="391" t="s">
        <v>133</v>
      </c>
      <c r="FG17" s="453"/>
      <c r="FH17" s="453"/>
      <c r="FI17" s="334" t="s">
        <v>131</v>
      </c>
      <c r="FJ17" s="335" t="s">
        <v>132</v>
      </c>
      <c r="FK17" s="453"/>
      <c r="FL17" s="453"/>
      <c r="FM17" s="334" t="s">
        <v>131</v>
      </c>
      <c r="FN17" s="335" t="s">
        <v>132</v>
      </c>
      <c r="FO17" s="453"/>
      <c r="FP17" s="453"/>
      <c r="FQ17" s="334" t="s">
        <v>131</v>
      </c>
      <c r="FR17" s="335" t="s">
        <v>132</v>
      </c>
      <c r="FS17" s="453"/>
      <c r="FT17" s="453"/>
      <c r="FU17" s="334" t="s">
        <v>131</v>
      </c>
      <c r="FV17" s="335" t="s">
        <v>132</v>
      </c>
      <c r="FW17" s="391" t="s">
        <v>129</v>
      </c>
      <c r="FX17" s="391" t="s">
        <v>133</v>
      </c>
      <c r="FY17" s="391" t="s">
        <v>129</v>
      </c>
      <c r="FZ17" s="391" t="s">
        <v>133</v>
      </c>
      <c r="GA17" s="453"/>
      <c r="GB17" s="453"/>
      <c r="GC17" s="334" t="s">
        <v>131</v>
      </c>
      <c r="GD17" s="335" t="s">
        <v>132</v>
      </c>
      <c r="GE17" s="453"/>
      <c r="GF17" s="453"/>
      <c r="GG17" s="334" t="s">
        <v>131</v>
      </c>
      <c r="GH17" s="335" t="s">
        <v>132</v>
      </c>
      <c r="GI17" s="453"/>
      <c r="GJ17" s="453"/>
      <c r="GK17" s="334" t="s">
        <v>131</v>
      </c>
      <c r="GL17" s="335" t="s">
        <v>132</v>
      </c>
      <c r="GM17" s="453"/>
      <c r="GN17" s="453"/>
      <c r="GO17" s="334" t="s">
        <v>131</v>
      </c>
      <c r="GP17" s="335" t="s">
        <v>132</v>
      </c>
      <c r="GQ17" s="391" t="s">
        <v>129</v>
      </c>
      <c r="GR17" s="391" t="s">
        <v>133</v>
      </c>
      <c r="GS17" s="391" t="s">
        <v>129</v>
      </c>
      <c r="GT17" s="391" t="s">
        <v>133</v>
      </c>
      <c r="GU17" s="453"/>
      <c r="GV17" s="453"/>
      <c r="GW17" s="334" t="s">
        <v>131</v>
      </c>
      <c r="GX17" s="335" t="s">
        <v>132</v>
      </c>
      <c r="GY17" s="453"/>
      <c r="GZ17" s="453"/>
      <c r="HA17" s="334" t="s">
        <v>131</v>
      </c>
      <c r="HB17" s="335" t="s">
        <v>132</v>
      </c>
      <c r="HC17" s="453"/>
      <c r="HD17" s="453"/>
      <c r="HE17" s="334" t="s">
        <v>131</v>
      </c>
      <c r="HF17" s="335" t="s">
        <v>132</v>
      </c>
      <c r="HG17" s="453"/>
      <c r="HH17" s="453"/>
      <c r="HI17" s="334" t="s">
        <v>131</v>
      </c>
      <c r="HJ17" s="335" t="s">
        <v>132</v>
      </c>
      <c r="HK17" s="391" t="s">
        <v>129</v>
      </c>
      <c r="HL17" s="391" t="s">
        <v>133</v>
      </c>
      <c r="HM17" s="391" t="s">
        <v>129</v>
      </c>
      <c r="HN17" s="391" t="s">
        <v>133</v>
      </c>
      <c r="HO17" s="453"/>
      <c r="HP17" s="453"/>
      <c r="HQ17" s="334" t="s">
        <v>131</v>
      </c>
      <c r="HR17" s="335" t="s">
        <v>132</v>
      </c>
      <c r="HS17" s="453"/>
      <c r="HT17" s="453"/>
      <c r="HU17" s="334" t="s">
        <v>131</v>
      </c>
      <c r="HV17" s="335" t="s">
        <v>132</v>
      </c>
      <c r="HW17" s="453"/>
      <c r="HX17" s="453"/>
      <c r="HY17" s="334" t="s">
        <v>131</v>
      </c>
      <c r="HZ17" s="335" t="s">
        <v>132</v>
      </c>
      <c r="IA17" s="453"/>
      <c r="IB17" s="453"/>
      <c r="IC17" s="334" t="s">
        <v>131</v>
      </c>
      <c r="ID17" s="335" t="s">
        <v>132</v>
      </c>
      <c r="IE17" s="391" t="s">
        <v>129</v>
      </c>
      <c r="IF17" s="391" t="s">
        <v>133</v>
      </c>
      <c r="IG17" s="391" t="s">
        <v>129</v>
      </c>
      <c r="IH17" s="391" t="s">
        <v>133</v>
      </c>
    </row>
    <row r="18" spans="1:242" s="27" customFormat="1" ht="15.75" customHeight="1" x14ac:dyDescent="0.2">
      <c r="A18" s="301" t="s">
        <v>51</v>
      </c>
      <c r="B18" s="302" t="s">
        <v>47</v>
      </c>
      <c r="C18" s="205"/>
      <c r="D18" s="206"/>
      <c r="E18" s="206"/>
      <c r="F18" s="328"/>
      <c r="G18" s="205"/>
      <c r="H18" s="206"/>
      <c r="I18" s="206"/>
      <c r="J18" s="328"/>
      <c r="K18" s="205"/>
      <c r="L18" s="206"/>
      <c r="M18" s="206"/>
      <c r="N18" s="328"/>
      <c r="O18" s="205">
        <v>44.8</v>
      </c>
      <c r="P18" s="206">
        <v>2.44</v>
      </c>
      <c r="Q18" s="206">
        <v>42.66</v>
      </c>
      <c r="R18" s="328">
        <v>46.95</v>
      </c>
      <c r="S18" s="206">
        <v>50.67</v>
      </c>
      <c r="T18" s="206">
        <v>2.36</v>
      </c>
      <c r="U18" s="206">
        <v>49.33</v>
      </c>
      <c r="V18" s="206">
        <v>2.42</v>
      </c>
      <c r="W18" s="205"/>
      <c r="X18" s="206"/>
      <c r="Y18" s="206"/>
      <c r="Z18" s="328"/>
      <c r="AA18" s="205"/>
      <c r="AB18" s="206"/>
      <c r="AC18" s="206"/>
      <c r="AD18" s="328"/>
      <c r="AE18" s="205"/>
      <c r="AF18" s="206"/>
      <c r="AG18" s="206"/>
      <c r="AH18" s="328"/>
      <c r="AI18" s="205">
        <v>67.2</v>
      </c>
      <c r="AJ18" s="206">
        <v>1.31</v>
      </c>
      <c r="AK18" s="206">
        <v>65.48</v>
      </c>
      <c r="AL18" s="328">
        <v>68.94</v>
      </c>
      <c r="AM18" s="206">
        <v>51.71</v>
      </c>
      <c r="AN18" s="206">
        <v>2.68</v>
      </c>
      <c r="AO18" s="206">
        <v>48.29</v>
      </c>
      <c r="AP18" s="206">
        <v>2.87</v>
      </c>
      <c r="AQ18" s="205"/>
      <c r="AR18" s="206"/>
      <c r="AS18" s="206"/>
      <c r="AT18" s="328"/>
      <c r="AU18" s="205"/>
      <c r="AV18" s="206"/>
      <c r="AW18" s="206"/>
      <c r="AX18" s="328"/>
      <c r="AY18" s="205"/>
      <c r="AZ18" s="206"/>
      <c r="BA18" s="206"/>
      <c r="BB18" s="328"/>
      <c r="BC18" s="205">
        <v>38.299999999999997</v>
      </c>
      <c r="BD18" s="206">
        <v>2.91</v>
      </c>
      <c r="BE18" s="206">
        <v>36.130000000000003</v>
      </c>
      <c r="BF18" s="328">
        <v>40.5</v>
      </c>
      <c r="BG18" s="206">
        <v>94.45</v>
      </c>
      <c r="BH18" s="206">
        <v>0.89</v>
      </c>
      <c r="BI18" s="206">
        <v>5.55</v>
      </c>
      <c r="BJ18" s="206">
        <v>15.13</v>
      </c>
      <c r="BK18" s="205"/>
      <c r="BL18" s="206"/>
      <c r="BM18" s="206"/>
      <c r="BN18" s="328"/>
      <c r="BO18" s="205"/>
      <c r="BP18" s="206"/>
      <c r="BQ18" s="206"/>
      <c r="BR18" s="328"/>
      <c r="BS18" s="205"/>
      <c r="BT18" s="206"/>
      <c r="BU18" s="206"/>
      <c r="BV18" s="328"/>
      <c r="BW18" s="205">
        <v>51.1</v>
      </c>
      <c r="BX18" s="206">
        <v>2.12</v>
      </c>
      <c r="BY18" s="206">
        <v>48.96</v>
      </c>
      <c r="BZ18" s="328">
        <v>53.19</v>
      </c>
      <c r="CA18" s="206">
        <v>77.569999999999993</v>
      </c>
      <c r="CB18" s="206">
        <v>1.89</v>
      </c>
      <c r="CC18" s="206">
        <v>22.43</v>
      </c>
      <c r="CD18" s="206">
        <v>6.55</v>
      </c>
      <c r="CE18" s="205"/>
      <c r="CF18" s="206"/>
      <c r="CG18" s="206"/>
      <c r="CH18" s="328"/>
      <c r="CI18" s="205"/>
      <c r="CJ18" s="206"/>
      <c r="CK18" s="206"/>
      <c r="CL18" s="328"/>
      <c r="CM18" s="205"/>
      <c r="CN18" s="206"/>
      <c r="CO18" s="206"/>
      <c r="CP18" s="328"/>
      <c r="CQ18" s="205">
        <v>49.6</v>
      </c>
      <c r="CR18" s="206">
        <v>2.2000000000000002</v>
      </c>
      <c r="CS18" s="206">
        <v>47.42</v>
      </c>
      <c r="CT18" s="328">
        <v>51.7</v>
      </c>
      <c r="CU18" s="206">
        <v>86.41</v>
      </c>
      <c r="CV18" s="206">
        <v>2.4900000000000002</v>
      </c>
      <c r="CW18" s="206">
        <v>13.59</v>
      </c>
      <c r="CX18" s="206">
        <v>15.82</v>
      </c>
      <c r="CY18" s="205"/>
      <c r="CZ18" s="206"/>
      <c r="DA18" s="206"/>
      <c r="DB18" s="328"/>
      <c r="DC18" s="205"/>
      <c r="DD18" s="206"/>
      <c r="DE18" s="206"/>
      <c r="DF18" s="328"/>
      <c r="DG18" s="205"/>
      <c r="DH18" s="206"/>
      <c r="DI18" s="206"/>
      <c r="DJ18" s="328"/>
      <c r="DK18" s="205">
        <v>46.7</v>
      </c>
      <c r="DL18" s="206">
        <v>2.61</v>
      </c>
      <c r="DM18" s="206">
        <v>44.28</v>
      </c>
      <c r="DN18" s="328">
        <v>49.05</v>
      </c>
      <c r="DO18" s="206">
        <v>69.37</v>
      </c>
      <c r="DP18" s="206">
        <v>2.83</v>
      </c>
      <c r="DQ18" s="206">
        <v>30.63</v>
      </c>
      <c r="DR18" s="206">
        <v>6.41</v>
      </c>
      <c r="DS18" s="205"/>
      <c r="DT18" s="206"/>
      <c r="DU18" s="206"/>
      <c r="DV18" s="328"/>
      <c r="DW18" s="205"/>
      <c r="DX18" s="206"/>
      <c r="DY18" s="206"/>
      <c r="DZ18" s="328"/>
      <c r="EA18" s="205"/>
      <c r="EB18" s="206"/>
      <c r="EC18" s="206"/>
      <c r="ED18" s="328"/>
      <c r="EE18" s="205">
        <v>71.5</v>
      </c>
      <c r="EF18" s="206">
        <v>1.02</v>
      </c>
      <c r="EG18" s="206">
        <v>70.12</v>
      </c>
      <c r="EH18" s="328">
        <v>72.97</v>
      </c>
      <c r="EI18" s="206">
        <v>71.75</v>
      </c>
      <c r="EJ18" s="206">
        <v>0.99</v>
      </c>
      <c r="EK18" s="206">
        <v>28.25</v>
      </c>
      <c r="EL18" s="206">
        <v>2.5</v>
      </c>
      <c r="EM18" s="205"/>
      <c r="EN18" s="206"/>
      <c r="EO18" s="206"/>
      <c r="EP18" s="328"/>
      <c r="EQ18" s="205"/>
      <c r="ER18" s="206"/>
      <c r="ES18" s="206"/>
      <c r="ET18" s="328"/>
      <c r="EU18" s="205"/>
      <c r="EV18" s="206"/>
      <c r="EW18" s="206"/>
      <c r="EX18" s="328"/>
      <c r="EY18" s="205">
        <v>35</v>
      </c>
      <c r="EZ18" s="206">
        <v>2.57</v>
      </c>
      <c r="FA18" s="206">
        <v>33.26</v>
      </c>
      <c r="FB18" s="328">
        <v>36.79</v>
      </c>
      <c r="FC18" s="206">
        <v>82.41</v>
      </c>
      <c r="FD18" s="206">
        <v>0.64</v>
      </c>
      <c r="FE18" s="206">
        <v>17.59</v>
      </c>
      <c r="FF18" s="206">
        <v>3</v>
      </c>
      <c r="FG18" s="205"/>
      <c r="FH18" s="206"/>
      <c r="FI18" s="206"/>
      <c r="FJ18" s="328"/>
      <c r="FK18" s="205"/>
      <c r="FL18" s="206"/>
      <c r="FM18" s="206"/>
      <c r="FN18" s="328"/>
      <c r="FO18" s="205"/>
      <c r="FP18" s="206"/>
      <c r="FQ18" s="206"/>
      <c r="FR18" s="328"/>
      <c r="FS18" s="205">
        <v>38</v>
      </c>
      <c r="FT18" s="206">
        <v>2.96</v>
      </c>
      <c r="FU18" s="206">
        <v>35.83</v>
      </c>
      <c r="FV18" s="328">
        <v>40.25</v>
      </c>
      <c r="FW18" s="206">
        <v>87.73</v>
      </c>
      <c r="FX18" s="206">
        <v>0.98</v>
      </c>
      <c r="FY18" s="206">
        <v>12.27</v>
      </c>
      <c r="FZ18" s="206">
        <v>6.99</v>
      </c>
      <c r="GA18" s="205"/>
      <c r="GB18" s="206"/>
      <c r="GC18" s="206"/>
      <c r="GD18" s="328"/>
      <c r="GE18" s="205"/>
      <c r="GF18" s="206"/>
      <c r="GG18" s="206"/>
      <c r="GH18" s="328"/>
      <c r="GI18" s="205"/>
      <c r="GJ18" s="206"/>
      <c r="GK18" s="206"/>
      <c r="GL18" s="328"/>
      <c r="GM18" s="205">
        <v>38</v>
      </c>
      <c r="GN18" s="206">
        <v>4.9400000000000004</v>
      </c>
      <c r="GO18" s="206">
        <v>34.31</v>
      </c>
      <c r="GP18" s="328">
        <v>41.67</v>
      </c>
      <c r="GQ18" s="206">
        <v>96.1</v>
      </c>
      <c r="GR18" s="206">
        <v>0.39</v>
      </c>
      <c r="GS18" s="206">
        <v>3.9</v>
      </c>
      <c r="GT18" s="206">
        <v>9.69</v>
      </c>
      <c r="GU18" s="205"/>
      <c r="GV18" s="206"/>
      <c r="GW18" s="206"/>
      <c r="GX18" s="328"/>
      <c r="GY18" s="205"/>
      <c r="GZ18" s="206"/>
      <c r="HA18" s="206"/>
      <c r="HB18" s="328"/>
      <c r="HC18" s="205"/>
      <c r="HD18" s="206"/>
      <c r="HE18" s="206"/>
      <c r="HF18" s="328"/>
      <c r="HG18" s="205">
        <v>31.2</v>
      </c>
      <c r="HH18" s="206">
        <v>3.08</v>
      </c>
      <c r="HI18" s="206">
        <v>29.33</v>
      </c>
      <c r="HJ18" s="328">
        <v>33.11</v>
      </c>
      <c r="HK18" s="206">
        <v>93.51</v>
      </c>
      <c r="HL18" s="206">
        <v>0.97</v>
      </c>
      <c r="HM18" s="206">
        <v>6.49</v>
      </c>
      <c r="HN18" s="206">
        <v>14.05</v>
      </c>
      <c r="HO18" s="205"/>
      <c r="HP18" s="206"/>
      <c r="HQ18" s="206"/>
      <c r="HR18" s="328"/>
      <c r="HS18" s="205"/>
      <c r="HT18" s="206"/>
      <c r="HU18" s="206"/>
      <c r="HV18" s="328"/>
      <c r="HW18" s="205"/>
      <c r="HX18" s="206"/>
      <c r="HY18" s="206"/>
      <c r="HZ18" s="328"/>
      <c r="IA18" s="205">
        <v>39.6</v>
      </c>
      <c r="IB18" s="206">
        <v>2.21</v>
      </c>
      <c r="IC18" s="206">
        <v>37.869999999999997</v>
      </c>
      <c r="ID18" s="328">
        <v>41.3</v>
      </c>
      <c r="IE18" s="205">
        <v>92.98</v>
      </c>
      <c r="IF18" s="206">
        <v>0.62</v>
      </c>
      <c r="IG18" s="206">
        <v>7.02</v>
      </c>
      <c r="IH18" s="328">
        <v>8.19</v>
      </c>
    </row>
    <row r="19" spans="1:242" s="27" customFormat="1" ht="15.75" customHeight="1" x14ac:dyDescent="0.2">
      <c r="A19" s="16"/>
      <c r="B19" s="20" t="s">
        <v>48</v>
      </c>
      <c r="C19" s="207"/>
      <c r="D19" s="208"/>
      <c r="E19" s="208"/>
      <c r="F19" s="329"/>
      <c r="G19" s="207"/>
      <c r="H19" s="208"/>
      <c r="I19" s="208"/>
      <c r="J19" s="329"/>
      <c r="K19" s="207"/>
      <c r="L19" s="208"/>
      <c r="M19" s="208"/>
      <c r="N19" s="329"/>
      <c r="O19" s="207">
        <v>58.7</v>
      </c>
      <c r="P19" s="208">
        <v>2</v>
      </c>
      <c r="Q19" s="208">
        <v>56.42</v>
      </c>
      <c r="R19" s="329">
        <v>61.03</v>
      </c>
      <c r="S19" s="208">
        <v>48.78</v>
      </c>
      <c r="T19" s="208">
        <v>2.64</v>
      </c>
      <c r="U19" s="208">
        <v>51.22</v>
      </c>
      <c r="V19" s="208">
        <v>2.5099999999999998</v>
      </c>
      <c r="W19" s="207"/>
      <c r="X19" s="208"/>
      <c r="Y19" s="208"/>
      <c r="Z19" s="329"/>
      <c r="AA19" s="207"/>
      <c r="AB19" s="208"/>
      <c r="AC19" s="208"/>
      <c r="AD19" s="329"/>
      <c r="AE19" s="207"/>
      <c r="AF19" s="208"/>
      <c r="AG19" s="208"/>
      <c r="AH19" s="329"/>
      <c r="AI19" s="207">
        <v>65.3</v>
      </c>
      <c r="AJ19" s="208">
        <v>2.36</v>
      </c>
      <c r="AK19" s="208">
        <v>62.31</v>
      </c>
      <c r="AL19" s="329">
        <v>68.34</v>
      </c>
      <c r="AM19" s="208">
        <v>44.18</v>
      </c>
      <c r="AN19" s="208">
        <v>3.1</v>
      </c>
      <c r="AO19" s="208">
        <v>55.82</v>
      </c>
      <c r="AP19" s="208">
        <v>2.46</v>
      </c>
      <c r="AQ19" s="207"/>
      <c r="AR19" s="208"/>
      <c r="AS19" s="208"/>
      <c r="AT19" s="329"/>
      <c r="AU19" s="207"/>
      <c r="AV19" s="208"/>
      <c r="AW19" s="208"/>
      <c r="AX19" s="329"/>
      <c r="AY19" s="207"/>
      <c r="AZ19" s="208"/>
      <c r="BA19" s="208"/>
      <c r="BB19" s="329"/>
      <c r="BC19" s="207">
        <v>31</v>
      </c>
      <c r="BD19" s="208">
        <v>3.26</v>
      </c>
      <c r="BE19" s="208">
        <v>29.04</v>
      </c>
      <c r="BF19" s="329">
        <v>33</v>
      </c>
      <c r="BG19" s="208">
        <v>90.93</v>
      </c>
      <c r="BH19" s="208">
        <v>1.62</v>
      </c>
      <c r="BI19" s="208">
        <v>9.07</v>
      </c>
      <c r="BJ19" s="208">
        <v>16.23</v>
      </c>
      <c r="BK19" s="207"/>
      <c r="BL19" s="208"/>
      <c r="BM19" s="208"/>
      <c r="BN19" s="329"/>
      <c r="BO19" s="207"/>
      <c r="BP19" s="208"/>
      <c r="BQ19" s="208"/>
      <c r="BR19" s="329"/>
      <c r="BS19" s="207"/>
      <c r="BT19" s="208"/>
      <c r="BU19" s="208"/>
      <c r="BV19" s="329"/>
      <c r="BW19" s="207">
        <v>45.7</v>
      </c>
      <c r="BX19" s="208">
        <v>2.82</v>
      </c>
      <c r="BY19" s="208">
        <v>43.2</v>
      </c>
      <c r="BZ19" s="329">
        <v>48.25</v>
      </c>
      <c r="CA19" s="208">
        <v>74.92</v>
      </c>
      <c r="CB19" s="208">
        <v>1.86</v>
      </c>
      <c r="CC19" s="208">
        <v>25.08</v>
      </c>
      <c r="CD19" s="208">
        <v>5.56</v>
      </c>
      <c r="CE19" s="207"/>
      <c r="CF19" s="208"/>
      <c r="CG19" s="208"/>
      <c r="CH19" s="329"/>
      <c r="CI19" s="207"/>
      <c r="CJ19" s="208"/>
      <c r="CK19" s="208"/>
      <c r="CL19" s="329"/>
      <c r="CM19" s="207"/>
      <c r="CN19" s="208"/>
      <c r="CO19" s="208"/>
      <c r="CP19" s="329"/>
      <c r="CQ19" s="207">
        <v>39.1</v>
      </c>
      <c r="CR19" s="208">
        <v>3.21</v>
      </c>
      <c r="CS19" s="208">
        <v>36.61</v>
      </c>
      <c r="CT19" s="329">
        <v>41.52</v>
      </c>
      <c r="CU19" s="208">
        <v>85.82</v>
      </c>
      <c r="CV19" s="208">
        <v>2.08</v>
      </c>
      <c r="CW19" s="208">
        <v>14.18</v>
      </c>
      <c r="CX19" s="208">
        <v>12.61</v>
      </c>
      <c r="CY19" s="207"/>
      <c r="CZ19" s="208"/>
      <c r="DA19" s="208"/>
      <c r="DB19" s="329"/>
      <c r="DC19" s="207"/>
      <c r="DD19" s="208"/>
      <c r="DE19" s="208"/>
      <c r="DF19" s="329"/>
      <c r="DG19" s="207"/>
      <c r="DH19" s="208"/>
      <c r="DI19" s="208"/>
      <c r="DJ19" s="329"/>
      <c r="DK19" s="207">
        <v>45.6</v>
      </c>
      <c r="DL19" s="208">
        <v>2.81</v>
      </c>
      <c r="DM19" s="208">
        <v>43.05</v>
      </c>
      <c r="DN19" s="329">
        <v>48.06</v>
      </c>
      <c r="DO19" s="208">
        <v>65.63</v>
      </c>
      <c r="DP19" s="208">
        <v>3.46</v>
      </c>
      <c r="DQ19" s="208">
        <v>34.369999999999997</v>
      </c>
      <c r="DR19" s="208">
        <v>6.61</v>
      </c>
      <c r="DS19" s="207"/>
      <c r="DT19" s="208"/>
      <c r="DU19" s="208"/>
      <c r="DV19" s="329"/>
      <c r="DW19" s="207"/>
      <c r="DX19" s="208"/>
      <c r="DY19" s="208"/>
      <c r="DZ19" s="329"/>
      <c r="EA19" s="207"/>
      <c r="EB19" s="208"/>
      <c r="EC19" s="208"/>
      <c r="ED19" s="329"/>
      <c r="EE19" s="207">
        <v>71.3</v>
      </c>
      <c r="EF19" s="208">
        <v>1.1299999999999999</v>
      </c>
      <c r="EG19" s="208">
        <v>69.73</v>
      </c>
      <c r="EH19" s="329">
        <v>72.87</v>
      </c>
      <c r="EI19" s="208">
        <v>69.16</v>
      </c>
      <c r="EJ19" s="208">
        <v>0.56000000000000005</v>
      </c>
      <c r="EK19" s="208">
        <v>30.84</v>
      </c>
      <c r="EL19" s="208">
        <v>1.26</v>
      </c>
      <c r="EM19" s="207"/>
      <c r="EN19" s="208"/>
      <c r="EO19" s="208"/>
      <c r="EP19" s="329"/>
      <c r="EQ19" s="207"/>
      <c r="ER19" s="208"/>
      <c r="ES19" s="208"/>
      <c r="ET19" s="329"/>
      <c r="EU19" s="207"/>
      <c r="EV19" s="208"/>
      <c r="EW19" s="208"/>
      <c r="EX19" s="329"/>
      <c r="EY19" s="207">
        <v>38.9</v>
      </c>
      <c r="EZ19" s="208">
        <v>2.67</v>
      </c>
      <c r="FA19" s="208">
        <v>36.880000000000003</v>
      </c>
      <c r="FB19" s="329">
        <v>40.96</v>
      </c>
      <c r="FC19" s="208">
        <v>77.900000000000006</v>
      </c>
      <c r="FD19" s="208">
        <v>0.75</v>
      </c>
      <c r="FE19" s="208">
        <v>22.1</v>
      </c>
      <c r="FF19" s="208">
        <v>2.64</v>
      </c>
      <c r="FG19" s="207"/>
      <c r="FH19" s="208"/>
      <c r="FI19" s="208"/>
      <c r="FJ19" s="329"/>
      <c r="FK19" s="207"/>
      <c r="FL19" s="208"/>
      <c r="FM19" s="208"/>
      <c r="FN19" s="329"/>
      <c r="FO19" s="207"/>
      <c r="FP19" s="208"/>
      <c r="FQ19" s="208"/>
      <c r="FR19" s="329"/>
      <c r="FS19" s="207">
        <v>40.5</v>
      </c>
      <c r="FT19" s="208">
        <v>3.22</v>
      </c>
      <c r="FU19" s="208">
        <v>37.909999999999997</v>
      </c>
      <c r="FV19" s="329">
        <v>43.01</v>
      </c>
      <c r="FW19" s="208">
        <v>82.22</v>
      </c>
      <c r="FX19" s="208">
        <v>1.25</v>
      </c>
      <c r="FY19" s="208">
        <v>17.78</v>
      </c>
      <c r="FZ19" s="208">
        <v>5.78</v>
      </c>
      <c r="GA19" s="207"/>
      <c r="GB19" s="208"/>
      <c r="GC19" s="208"/>
      <c r="GD19" s="329"/>
      <c r="GE19" s="207"/>
      <c r="GF19" s="208"/>
      <c r="GG19" s="208"/>
      <c r="GH19" s="329"/>
      <c r="GI19" s="207"/>
      <c r="GJ19" s="208"/>
      <c r="GK19" s="208"/>
      <c r="GL19" s="329"/>
      <c r="GM19" s="207">
        <v>33.200000000000003</v>
      </c>
      <c r="GN19" s="208">
        <v>7.28</v>
      </c>
      <c r="GO19" s="208">
        <v>28.45</v>
      </c>
      <c r="GP19" s="329">
        <v>37.909999999999997</v>
      </c>
      <c r="GQ19" s="208">
        <v>95.47</v>
      </c>
      <c r="GR19" s="208">
        <v>0.25</v>
      </c>
      <c r="GS19" s="208">
        <v>4.53</v>
      </c>
      <c r="GT19" s="208">
        <v>5.21</v>
      </c>
      <c r="GU19" s="207"/>
      <c r="GV19" s="208"/>
      <c r="GW19" s="208"/>
      <c r="GX19" s="329"/>
      <c r="GY19" s="207"/>
      <c r="GZ19" s="208"/>
      <c r="HA19" s="208"/>
      <c r="HB19" s="329"/>
      <c r="HC19" s="207"/>
      <c r="HD19" s="208"/>
      <c r="HE19" s="208"/>
      <c r="HF19" s="329"/>
      <c r="HG19" s="207">
        <v>30.4</v>
      </c>
      <c r="HH19" s="208">
        <v>3.86</v>
      </c>
      <c r="HI19" s="208">
        <v>28.12</v>
      </c>
      <c r="HJ19" s="329">
        <v>32.72</v>
      </c>
      <c r="HK19" s="208">
        <v>90.9</v>
      </c>
      <c r="HL19" s="208">
        <v>1.01</v>
      </c>
      <c r="HM19" s="208">
        <v>9.1</v>
      </c>
      <c r="HN19" s="208">
        <v>10.11</v>
      </c>
      <c r="HO19" s="207"/>
      <c r="HP19" s="208"/>
      <c r="HQ19" s="208"/>
      <c r="HR19" s="329"/>
      <c r="HS19" s="207"/>
      <c r="HT19" s="208"/>
      <c r="HU19" s="208"/>
      <c r="HV19" s="329"/>
      <c r="HW19" s="207"/>
      <c r="HX19" s="208"/>
      <c r="HY19" s="208"/>
      <c r="HZ19" s="329"/>
      <c r="IA19" s="207">
        <v>46.9</v>
      </c>
      <c r="IB19" s="208">
        <v>1.84</v>
      </c>
      <c r="IC19" s="208">
        <v>45.18</v>
      </c>
      <c r="ID19" s="329">
        <v>48.56</v>
      </c>
      <c r="IE19" s="207">
        <v>94.3</v>
      </c>
      <c r="IF19" s="208">
        <v>0.6</v>
      </c>
      <c r="IG19" s="208">
        <v>5.7</v>
      </c>
      <c r="IH19" s="329">
        <v>10</v>
      </c>
    </row>
    <row r="20" spans="1:242" s="27" customFormat="1" ht="15.75" customHeight="1" x14ac:dyDescent="0.2">
      <c r="A20" s="16"/>
      <c r="B20" s="64" t="s">
        <v>49</v>
      </c>
      <c r="C20" s="209"/>
      <c r="D20" s="210"/>
      <c r="E20" s="210"/>
      <c r="F20" s="330"/>
      <c r="G20" s="209"/>
      <c r="H20" s="210"/>
      <c r="I20" s="210"/>
      <c r="J20" s="330"/>
      <c r="K20" s="209"/>
      <c r="L20" s="210"/>
      <c r="M20" s="210"/>
      <c r="N20" s="330"/>
      <c r="O20" s="209">
        <v>55.6</v>
      </c>
      <c r="P20" s="210">
        <v>2.2799999999999998</v>
      </c>
      <c r="Q20" s="210">
        <v>53.13</v>
      </c>
      <c r="R20" s="330">
        <v>58.1</v>
      </c>
      <c r="S20" s="210">
        <v>52.56</v>
      </c>
      <c r="T20" s="210">
        <v>2.57</v>
      </c>
      <c r="U20" s="210">
        <v>47.44</v>
      </c>
      <c r="V20" s="210">
        <v>2.85</v>
      </c>
      <c r="W20" s="209"/>
      <c r="X20" s="210"/>
      <c r="Y20" s="210"/>
      <c r="Z20" s="330"/>
      <c r="AA20" s="209"/>
      <c r="AB20" s="210"/>
      <c r="AC20" s="210"/>
      <c r="AD20" s="330"/>
      <c r="AE20" s="209"/>
      <c r="AF20" s="210"/>
      <c r="AG20" s="210"/>
      <c r="AH20" s="330"/>
      <c r="AI20" s="209">
        <v>65.900000000000006</v>
      </c>
      <c r="AJ20" s="210">
        <v>1.56</v>
      </c>
      <c r="AK20" s="210">
        <v>63.86</v>
      </c>
      <c r="AL20" s="330">
        <v>67.89</v>
      </c>
      <c r="AM20" s="210">
        <v>47.61</v>
      </c>
      <c r="AN20" s="210">
        <v>3.18</v>
      </c>
      <c r="AO20" s="210">
        <v>52.39</v>
      </c>
      <c r="AP20" s="210">
        <v>2.89</v>
      </c>
      <c r="AQ20" s="209"/>
      <c r="AR20" s="210"/>
      <c r="AS20" s="210"/>
      <c r="AT20" s="330"/>
      <c r="AU20" s="209"/>
      <c r="AV20" s="210"/>
      <c r="AW20" s="210"/>
      <c r="AX20" s="330"/>
      <c r="AY20" s="209"/>
      <c r="AZ20" s="210"/>
      <c r="BA20" s="210"/>
      <c r="BB20" s="330"/>
      <c r="BC20" s="209">
        <v>30.8</v>
      </c>
      <c r="BD20" s="210">
        <v>3.26</v>
      </c>
      <c r="BE20" s="210">
        <v>28.83</v>
      </c>
      <c r="BF20" s="330">
        <v>32.76</v>
      </c>
      <c r="BG20" s="210">
        <v>92.01</v>
      </c>
      <c r="BH20" s="210">
        <v>1.24</v>
      </c>
      <c r="BI20" s="210">
        <v>7.99</v>
      </c>
      <c r="BJ20" s="210">
        <v>14.34</v>
      </c>
      <c r="BK20" s="209"/>
      <c r="BL20" s="210"/>
      <c r="BM20" s="210"/>
      <c r="BN20" s="330"/>
      <c r="BO20" s="209"/>
      <c r="BP20" s="210"/>
      <c r="BQ20" s="210"/>
      <c r="BR20" s="330"/>
      <c r="BS20" s="209"/>
      <c r="BT20" s="210"/>
      <c r="BU20" s="210"/>
      <c r="BV20" s="330"/>
      <c r="BW20" s="209">
        <v>49.5</v>
      </c>
      <c r="BX20" s="210">
        <v>2.5499999999999998</v>
      </c>
      <c r="BY20" s="210">
        <v>46.99</v>
      </c>
      <c r="BZ20" s="330">
        <v>51.94</v>
      </c>
      <c r="CA20" s="210">
        <v>74.7</v>
      </c>
      <c r="CB20" s="210">
        <v>1.84</v>
      </c>
      <c r="CC20" s="210">
        <v>25.3</v>
      </c>
      <c r="CD20" s="210">
        <v>5.42</v>
      </c>
      <c r="CE20" s="209"/>
      <c r="CF20" s="210"/>
      <c r="CG20" s="210"/>
      <c r="CH20" s="330"/>
      <c r="CI20" s="209"/>
      <c r="CJ20" s="210"/>
      <c r="CK20" s="210"/>
      <c r="CL20" s="330"/>
      <c r="CM20" s="209"/>
      <c r="CN20" s="210"/>
      <c r="CO20" s="210"/>
      <c r="CP20" s="330"/>
      <c r="CQ20" s="209">
        <v>39.5</v>
      </c>
      <c r="CR20" s="210">
        <v>2.99</v>
      </c>
      <c r="CS20" s="210">
        <v>37.159999999999997</v>
      </c>
      <c r="CT20" s="330">
        <v>41.8</v>
      </c>
      <c r="CU20" s="210">
        <v>88.06</v>
      </c>
      <c r="CV20" s="210">
        <v>1.76</v>
      </c>
      <c r="CW20" s="210">
        <v>11.94</v>
      </c>
      <c r="CX20" s="210">
        <v>12.99</v>
      </c>
      <c r="CY20" s="209"/>
      <c r="CZ20" s="210"/>
      <c r="DA20" s="210"/>
      <c r="DB20" s="330"/>
      <c r="DC20" s="209"/>
      <c r="DD20" s="210"/>
      <c r="DE20" s="210"/>
      <c r="DF20" s="330"/>
      <c r="DG20" s="209"/>
      <c r="DH20" s="210"/>
      <c r="DI20" s="210"/>
      <c r="DJ20" s="330"/>
      <c r="DK20" s="209">
        <v>44.6</v>
      </c>
      <c r="DL20" s="210">
        <v>2.71</v>
      </c>
      <c r="DM20" s="210">
        <v>42.25</v>
      </c>
      <c r="DN20" s="330">
        <v>46.99</v>
      </c>
      <c r="DO20" s="210">
        <v>66.13</v>
      </c>
      <c r="DP20" s="210">
        <v>3.54</v>
      </c>
      <c r="DQ20" s="210">
        <v>33.869999999999997</v>
      </c>
      <c r="DR20" s="210">
        <v>6.92</v>
      </c>
      <c r="DS20" s="209"/>
      <c r="DT20" s="210"/>
      <c r="DU20" s="210"/>
      <c r="DV20" s="330"/>
      <c r="DW20" s="209"/>
      <c r="DX20" s="210"/>
      <c r="DY20" s="210"/>
      <c r="DZ20" s="330"/>
      <c r="EA20" s="209"/>
      <c r="EB20" s="210"/>
      <c r="EC20" s="210"/>
      <c r="ED20" s="330"/>
      <c r="EE20" s="209">
        <v>69.900000000000006</v>
      </c>
      <c r="EF20" s="210">
        <v>0.93</v>
      </c>
      <c r="EG20" s="210">
        <v>68.62</v>
      </c>
      <c r="EH20" s="330">
        <v>71.16</v>
      </c>
      <c r="EI20" s="210">
        <v>67.75</v>
      </c>
      <c r="EJ20" s="210">
        <v>0.46</v>
      </c>
      <c r="EK20" s="210">
        <v>32.25</v>
      </c>
      <c r="EL20" s="210">
        <v>0.97</v>
      </c>
      <c r="EM20" s="209"/>
      <c r="EN20" s="210"/>
      <c r="EO20" s="210"/>
      <c r="EP20" s="330"/>
      <c r="EQ20" s="209"/>
      <c r="ER20" s="210"/>
      <c r="ES20" s="210"/>
      <c r="ET20" s="330"/>
      <c r="EU20" s="209"/>
      <c r="EV20" s="210"/>
      <c r="EW20" s="210"/>
      <c r="EX20" s="330"/>
      <c r="EY20" s="209">
        <v>35.799999999999997</v>
      </c>
      <c r="EZ20" s="210">
        <v>2.54</v>
      </c>
      <c r="FA20" s="210">
        <v>33.99</v>
      </c>
      <c r="FB20" s="330">
        <v>37.54</v>
      </c>
      <c r="FC20" s="210">
        <v>80.819999999999993</v>
      </c>
      <c r="FD20" s="210">
        <v>0.75</v>
      </c>
      <c r="FE20" s="210">
        <v>19.18</v>
      </c>
      <c r="FF20" s="210">
        <v>3.14</v>
      </c>
      <c r="FG20" s="209"/>
      <c r="FH20" s="210"/>
      <c r="FI20" s="210"/>
      <c r="FJ20" s="330"/>
      <c r="FK20" s="209"/>
      <c r="FL20" s="210"/>
      <c r="FM20" s="210"/>
      <c r="FN20" s="330"/>
      <c r="FO20" s="209"/>
      <c r="FP20" s="210"/>
      <c r="FQ20" s="210"/>
      <c r="FR20" s="330"/>
      <c r="FS20" s="209">
        <v>38.700000000000003</v>
      </c>
      <c r="FT20" s="210">
        <v>3.11</v>
      </c>
      <c r="FU20" s="210">
        <v>36.369999999999997</v>
      </c>
      <c r="FV20" s="330">
        <v>41.09</v>
      </c>
      <c r="FW20" s="210">
        <v>83.53</v>
      </c>
      <c r="FX20" s="210">
        <v>1.24</v>
      </c>
      <c r="FY20" s="210">
        <v>16.47</v>
      </c>
      <c r="FZ20" s="210">
        <v>6.27</v>
      </c>
      <c r="GA20" s="209"/>
      <c r="GB20" s="210"/>
      <c r="GC20" s="210"/>
      <c r="GD20" s="330"/>
      <c r="GE20" s="209"/>
      <c r="GF20" s="210"/>
      <c r="GG20" s="210"/>
      <c r="GH20" s="330"/>
      <c r="GI20" s="209"/>
      <c r="GJ20" s="210"/>
      <c r="GK20" s="210"/>
      <c r="GL20" s="330"/>
      <c r="GM20" s="209">
        <v>33.6</v>
      </c>
      <c r="GN20" s="210">
        <v>6.8</v>
      </c>
      <c r="GO20" s="210">
        <v>29.13</v>
      </c>
      <c r="GP20" s="330">
        <v>38.08</v>
      </c>
      <c r="GQ20" s="210">
        <v>95.49</v>
      </c>
      <c r="GR20" s="210">
        <v>0.28000000000000003</v>
      </c>
      <c r="GS20" s="210">
        <v>4.51</v>
      </c>
      <c r="GT20" s="210">
        <v>6.03</v>
      </c>
      <c r="GU20" s="209"/>
      <c r="GV20" s="210"/>
      <c r="GW20" s="210"/>
      <c r="GX20" s="330"/>
      <c r="GY20" s="209"/>
      <c r="GZ20" s="210"/>
      <c r="HA20" s="210"/>
      <c r="HB20" s="330"/>
      <c r="HC20" s="209"/>
      <c r="HD20" s="210"/>
      <c r="HE20" s="210"/>
      <c r="HF20" s="330"/>
      <c r="HG20" s="209">
        <v>30.6</v>
      </c>
      <c r="HH20" s="210">
        <v>3.15</v>
      </c>
      <c r="HI20" s="210">
        <v>28.7</v>
      </c>
      <c r="HJ20" s="330">
        <v>32.47</v>
      </c>
      <c r="HK20" s="210">
        <v>90.43</v>
      </c>
      <c r="HL20" s="210">
        <v>1.42</v>
      </c>
      <c r="HM20" s="210">
        <v>9.57</v>
      </c>
      <c r="HN20" s="210">
        <v>13.38</v>
      </c>
      <c r="HO20" s="209"/>
      <c r="HP20" s="210"/>
      <c r="HQ20" s="210"/>
      <c r="HR20" s="330"/>
      <c r="HS20" s="209"/>
      <c r="HT20" s="210"/>
      <c r="HU20" s="210"/>
      <c r="HV20" s="330"/>
      <c r="HW20" s="209"/>
      <c r="HX20" s="210"/>
      <c r="HY20" s="210"/>
      <c r="HZ20" s="330"/>
      <c r="IA20" s="209">
        <v>45</v>
      </c>
      <c r="IB20" s="210">
        <v>1.71</v>
      </c>
      <c r="IC20" s="210">
        <v>43.51</v>
      </c>
      <c r="ID20" s="330">
        <v>46.52</v>
      </c>
      <c r="IE20" s="209">
        <v>91.82</v>
      </c>
      <c r="IF20" s="210">
        <v>0.64</v>
      </c>
      <c r="IG20" s="210">
        <v>8.18</v>
      </c>
      <c r="IH20" s="330">
        <v>7.22</v>
      </c>
    </row>
    <row r="21" spans="1:242" s="27" customFormat="1" ht="15.75" customHeight="1" x14ac:dyDescent="0.2">
      <c r="A21" s="16"/>
      <c r="B21" s="20" t="s">
        <v>14</v>
      </c>
      <c r="C21" s="207"/>
      <c r="D21" s="208"/>
      <c r="E21" s="208"/>
      <c r="F21" s="329"/>
      <c r="G21" s="207"/>
      <c r="H21" s="208"/>
      <c r="I21" s="208"/>
      <c r="J21" s="329"/>
      <c r="K21" s="207"/>
      <c r="L21" s="208"/>
      <c r="M21" s="208"/>
      <c r="N21" s="329"/>
      <c r="O21" s="207">
        <v>53.3</v>
      </c>
      <c r="P21" s="208">
        <v>2.13</v>
      </c>
      <c r="Q21" s="208">
        <v>51.04</v>
      </c>
      <c r="R21" s="329">
        <v>55.49</v>
      </c>
      <c r="S21" s="208">
        <v>47.25</v>
      </c>
      <c r="T21" s="208">
        <v>3.09</v>
      </c>
      <c r="U21" s="208">
        <v>52.75</v>
      </c>
      <c r="V21" s="208">
        <v>2.77</v>
      </c>
      <c r="W21" s="207"/>
      <c r="X21" s="208"/>
      <c r="Y21" s="208"/>
      <c r="Z21" s="329"/>
      <c r="AA21" s="207"/>
      <c r="AB21" s="208"/>
      <c r="AC21" s="208"/>
      <c r="AD21" s="329"/>
      <c r="AE21" s="207"/>
      <c r="AF21" s="208"/>
      <c r="AG21" s="208"/>
      <c r="AH21" s="329"/>
      <c r="AI21" s="207">
        <v>56.9</v>
      </c>
      <c r="AJ21" s="208">
        <v>1.76</v>
      </c>
      <c r="AK21" s="208">
        <v>54.93</v>
      </c>
      <c r="AL21" s="329">
        <v>58.85</v>
      </c>
      <c r="AM21" s="208">
        <v>49.64</v>
      </c>
      <c r="AN21" s="208">
        <v>3.37</v>
      </c>
      <c r="AO21" s="208">
        <v>50.36</v>
      </c>
      <c r="AP21" s="208">
        <v>3.32</v>
      </c>
      <c r="AQ21" s="207"/>
      <c r="AR21" s="208"/>
      <c r="AS21" s="208"/>
      <c r="AT21" s="329"/>
      <c r="AU21" s="207"/>
      <c r="AV21" s="208"/>
      <c r="AW21" s="208"/>
      <c r="AX21" s="329"/>
      <c r="AY21" s="207"/>
      <c r="AZ21" s="208"/>
      <c r="BA21" s="208"/>
      <c r="BB21" s="329"/>
      <c r="BC21" s="207">
        <v>32.6</v>
      </c>
      <c r="BD21" s="208">
        <v>2.81</v>
      </c>
      <c r="BE21" s="208">
        <v>30.78</v>
      </c>
      <c r="BF21" s="329">
        <v>34.36</v>
      </c>
      <c r="BG21" s="208">
        <v>94.62</v>
      </c>
      <c r="BH21" s="208">
        <v>0.6</v>
      </c>
      <c r="BI21" s="208">
        <v>5.38</v>
      </c>
      <c r="BJ21" s="208">
        <v>10.5</v>
      </c>
      <c r="BK21" s="207"/>
      <c r="BL21" s="208"/>
      <c r="BM21" s="208"/>
      <c r="BN21" s="329"/>
      <c r="BO21" s="207"/>
      <c r="BP21" s="208"/>
      <c r="BQ21" s="208"/>
      <c r="BR21" s="329"/>
      <c r="BS21" s="207"/>
      <c r="BT21" s="208"/>
      <c r="BU21" s="208"/>
      <c r="BV21" s="329"/>
      <c r="BW21" s="207">
        <v>44.6</v>
      </c>
      <c r="BX21" s="208">
        <v>2.54</v>
      </c>
      <c r="BY21" s="208">
        <v>42.33</v>
      </c>
      <c r="BZ21" s="329">
        <v>46.77</v>
      </c>
      <c r="CA21" s="208">
        <v>76.069999999999993</v>
      </c>
      <c r="CB21" s="208">
        <v>1.75</v>
      </c>
      <c r="CC21" s="208">
        <v>23.93</v>
      </c>
      <c r="CD21" s="208">
        <v>5.55</v>
      </c>
      <c r="CE21" s="207"/>
      <c r="CF21" s="208"/>
      <c r="CG21" s="208"/>
      <c r="CH21" s="329"/>
      <c r="CI21" s="207"/>
      <c r="CJ21" s="208"/>
      <c r="CK21" s="208"/>
      <c r="CL21" s="329"/>
      <c r="CM21" s="207"/>
      <c r="CN21" s="208"/>
      <c r="CO21" s="208"/>
      <c r="CP21" s="329"/>
      <c r="CQ21" s="207">
        <v>40.6</v>
      </c>
      <c r="CR21" s="208">
        <v>2.48</v>
      </c>
      <c r="CS21" s="208">
        <v>38.590000000000003</v>
      </c>
      <c r="CT21" s="329">
        <v>42.54</v>
      </c>
      <c r="CU21" s="208">
        <v>87.88</v>
      </c>
      <c r="CV21" s="208">
        <v>1.63</v>
      </c>
      <c r="CW21" s="208">
        <v>12.12</v>
      </c>
      <c r="CX21" s="208">
        <v>11.78</v>
      </c>
      <c r="CY21" s="207"/>
      <c r="CZ21" s="208"/>
      <c r="DA21" s="208"/>
      <c r="DB21" s="329"/>
      <c r="DC21" s="207"/>
      <c r="DD21" s="208"/>
      <c r="DE21" s="208"/>
      <c r="DF21" s="329"/>
      <c r="DG21" s="207"/>
      <c r="DH21" s="208"/>
      <c r="DI21" s="208"/>
      <c r="DJ21" s="329"/>
      <c r="DK21" s="207">
        <v>43.6</v>
      </c>
      <c r="DL21" s="208">
        <v>2.5</v>
      </c>
      <c r="DM21" s="208">
        <v>41.46</v>
      </c>
      <c r="DN21" s="329">
        <v>45.73</v>
      </c>
      <c r="DO21" s="208">
        <v>69.260000000000005</v>
      </c>
      <c r="DP21" s="208">
        <v>2.67</v>
      </c>
      <c r="DQ21" s="208">
        <v>30.74</v>
      </c>
      <c r="DR21" s="208">
        <v>6.02</v>
      </c>
      <c r="DS21" s="207"/>
      <c r="DT21" s="208"/>
      <c r="DU21" s="208"/>
      <c r="DV21" s="329"/>
      <c r="DW21" s="207"/>
      <c r="DX21" s="208"/>
      <c r="DY21" s="208"/>
      <c r="DZ21" s="329"/>
      <c r="EA21" s="207"/>
      <c r="EB21" s="208"/>
      <c r="EC21" s="208"/>
      <c r="ED21" s="329"/>
      <c r="EE21" s="207">
        <v>71</v>
      </c>
      <c r="EF21" s="208">
        <v>1.0900000000000001</v>
      </c>
      <c r="EG21" s="208">
        <v>69.489999999999995</v>
      </c>
      <c r="EH21" s="329">
        <v>72.53</v>
      </c>
      <c r="EI21" s="208">
        <v>69.19</v>
      </c>
      <c r="EJ21" s="208">
        <v>0.63</v>
      </c>
      <c r="EK21" s="208">
        <v>30.81</v>
      </c>
      <c r="EL21" s="208">
        <v>1.42</v>
      </c>
      <c r="EM21" s="207"/>
      <c r="EN21" s="208"/>
      <c r="EO21" s="208"/>
      <c r="EP21" s="329"/>
      <c r="EQ21" s="207"/>
      <c r="ER21" s="208"/>
      <c r="ES21" s="208"/>
      <c r="ET21" s="329"/>
      <c r="EU21" s="207"/>
      <c r="EV21" s="208"/>
      <c r="EW21" s="208"/>
      <c r="EX21" s="329"/>
      <c r="EY21" s="207">
        <v>36.200000000000003</v>
      </c>
      <c r="EZ21" s="208">
        <v>2.91</v>
      </c>
      <c r="FA21" s="208">
        <v>34.18</v>
      </c>
      <c r="FB21" s="329">
        <v>38.31</v>
      </c>
      <c r="FC21" s="208">
        <v>81.39</v>
      </c>
      <c r="FD21" s="208">
        <v>0.71</v>
      </c>
      <c r="FE21" s="208">
        <v>18.61</v>
      </c>
      <c r="FF21" s="208">
        <v>3.08</v>
      </c>
      <c r="FG21" s="207"/>
      <c r="FH21" s="208"/>
      <c r="FI21" s="208"/>
      <c r="FJ21" s="329"/>
      <c r="FK21" s="207"/>
      <c r="FL21" s="208"/>
      <c r="FM21" s="208"/>
      <c r="FN21" s="329"/>
      <c r="FO21" s="207"/>
      <c r="FP21" s="208"/>
      <c r="FQ21" s="208"/>
      <c r="FR21" s="329"/>
      <c r="FS21" s="207">
        <v>41.5</v>
      </c>
      <c r="FT21" s="208">
        <v>2.94</v>
      </c>
      <c r="FU21" s="208">
        <v>39.119999999999997</v>
      </c>
      <c r="FV21" s="329">
        <v>43.9</v>
      </c>
      <c r="FW21" s="208">
        <v>84.65</v>
      </c>
      <c r="FX21" s="208">
        <v>1.27</v>
      </c>
      <c r="FY21" s="208">
        <v>15.35</v>
      </c>
      <c r="FZ21" s="208">
        <v>7.02</v>
      </c>
      <c r="GA21" s="207"/>
      <c r="GB21" s="208"/>
      <c r="GC21" s="208"/>
      <c r="GD21" s="329"/>
      <c r="GE21" s="207"/>
      <c r="GF21" s="208"/>
      <c r="GG21" s="208"/>
      <c r="GH21" s="329"/>
      <c r="GI21" s="207"/>
      <c r="GJ21" s="208"/>
      <c r="GK21" s="208"/>
      <c r="GL21" s="329"/>
      <c r="GM21" s="207">
        <v>38.1</v>
      </c>
      <c r="GN21" s="208">
        <v>5.66</v>
      </c>
      <c r="GO21" s="208">
        <v>33.89</v>
      </c>
      <c r="GP21" s="329">
        <v>42.34</v>
      </c>
      <c r="GQ21" s="208">
        <v>95.07</v>
      </c>
      <c r="GR21" s="208">
        <v>0.28999999999999998</v>
      </c>
      <c r="GS21" s="208">
        <v>4.93</v>
      </c>
      <c r="GT21" s="208">
        <v>5.51</v>
      </c>
      <c r="GU21" s="207"/>
      <c r="GV21" s="208"/>
      <c r="GW21" s="208"/>
      <c r="GX21" s="329"/>
      <c r="GY21" s="207"/>
      <c r="GZ21" s="208"/>
      <c r="HA21" s="208"/>
      <c r="HB21" s="329"/>
      <c r="HC21" s="207"/>
      <c r="HD21" s="208"/>
      <c r="HE21" s="208"/>
      <c r="HF21" s="329"/>
      <c r="HG21" s="207">
        <v>30.3</v>
      </c>
      <c r="HH21" s="208">
        <v>3.45</v>
      </c>
      <c r="HI21" s="208">
        <v>28.29</v>
      </c>
      <c r="HJ21" s="329">
        <v>32.4</v>
      </c>
      <c r="HK21" s="208">
        <v>94.24</v>
      </c>
      <c r="HL21" s="208">
        <v>0.77</v>
      </c>
      <c r="HM21" s="208">
        <v>5.76</v>
      </c>
      <c r="HN21" s="208">
        <v>12.68</v>
      </c>
      <c r="HO21" s="207"/>
      <c r="HP21" s="208"/>
      <c r="HQ21" s="208"/>
      <c r="HR21" s="329"/>
      <c r="HS21" s="207"/>
      <c r="HT21" s="208"/>
      <c r="HU21" s="208"/>
      <c r="HV21" s="329"/>
      <c r="HW21" s="207"/>
      <c r="HX21" s="208"/>
      <c r="HY21" s="208"/>
      <c r="HZ21" s="329"/>
      <c r="IA21" s="207">
        <v>44.9</v>
      </c>
      <c r="IB21" s="208">
        <v>1.48</v>
      </c>
      <c r="IC21" s="208">
        <v>43.61</v>
      </c>
      <c r="ID21" s="329">
        <v>46.21</v>
      </c>
      <c r="IE21" s="207">
        <v>93.21</v>
      </c>
      <c r="IF21" s="208">
        <v>0.54</v>
      </c>
      <c r="IG21" s="208">
        <v>6.79</v>
      </c>
      <c r="IH21" s="329">
        <v>7.37</v>
      </c>
    </row>
    <row r="22" spans="1:242" s="27" customFormat="1" ht="15.75" customHeight="1" x14ac:dyDescent="0.2">
      <c r="A22" s="16"/>
      <c r="B22" s="64" t="s">
        <v>15</v>
      </c>
      <c r="C22" s="209"/>
      <c r="D22" s="210"/>
      <c r="E22" s="210"/>
      <c r="F22" s="330"/>
      <c r="G22" s="209"/>
      <c r="H22" s="210"/>
      <c r="I22" s="210"/>
      <c r="J22" s="330"/>
      <c r="K22" s="209"/>
      <c r="L22" s="210"/>
      <c r="M22" s="210"/>
      <c r="N22" s="330"/>
      <c r="O22" s="209">
        <v>58.3</v>
      </c>
      <c r="P22" s="210">
        <v>2.29</v>
      </c>
      <c r="Q22" s="210">
        <v>55.66</v>
      </c>
      <c r="R22" s="330">
        <v>60.89</v>
      </c>
      <c r="S22" s="210">
        <v>47.05</v>
      </c>
      <c r="T22" s="210">
        <v>2.98</v>
      </c>
      <c r="U22" s="210">
        <v>52.95</v>
      </c>
      <c r="V22" s="210">
        <v>2.65</v>
      </c>
      <c r="W22" s="209"/>
      <c r="X22" s="210"/>
      <c r="Y22" s="210"/>
      <c r="Z22" s="330"/>
      <c r="AA22" s="209"/>
      <c r="AB22" s="210"/>
      <c r="AC22" s="210"/>
      <c r="AD22" s="330"/>
      <c r="AE22" s="209"/>
      <c r="AF22" s="210"/>
      <c r="AG22" s="210"/>
      <c r="AH22" s="330"/>
      <c r="AI22" s="209">
        <v>51.7</v>
      </c>
      <c r="AJ22" s="210">
        <v>1.98</v>
      </c>
      <c r="AK22" s="210">
        <v>49.67</v>
      </c>
      <c r="AL22" s="330">
        <v>53.69</v>
      </c>
      <c r="AM22" s="210">
        <v>48.18</v>
      </c>
      <c r="AN22" s="210">
        <v>2.85</v>
      </c>
      <c r="AO22" s="210">
        <v>51.82</v>
      </c>
      <c r="AP22" s="210">
        <v>2.65</v>
      </c>
      <c r="AQ22" s="209"/>
      <c r="AR22" s="210"/>
      <c r="AS22" s="210"/>
      <c r="AT22" s="330"/>
      <c r="AU22" s="209"/>
      <c r="AV22" s="210"/>
      <c r="AW22" s="210"/>
      <c r="AX22" s="330"/>
      <c r="AY22" s="209"/>
      <c r="AZ22" s="210"/>
      <c r="BA22" s="210"/>
      <c r="BB22" s="330"/>
      <c r="BC22" s="209">
        <v>28.1</v>
      </c>
      <c r="BD22" s="210">
        <v>3.67</v>
      </c>
      <c r="BE22" s="210">
        <v>26.05</v>
      </c>
      <c r="BF22" s="330">
        <v>30.09</v>
      </c>
      <c r="BG22" s="210">
        <v>93</v>
      </c>
      <c r="BH22" s="210">
        <v>0.89</v>
      </c>
      <c r="BI22" s="210">
        <v>7</v>
      </c>
      <c r="BJ22" s="210">
        <v>11.83</v>
      </c>
      <c r="BK22" s="209"/>
      <c r="BL22" s="210"/>
      <c r="BM22" s="210"/>
      <c r="BN22" s="330"/>
      <c r="BO22" s="209"/>
      <c r="BP22" s="210"/>
      <c r="BQ22" s="210"/>
      <c r="BR22" s="330"/>
      <c r="BS22" s="209"/>
      <c r="BT22" s="210"/>
      <c r="BU22" s="210"/>
      <c r="BV22" s="330"/>
      <c r="BW22" s="209">
        <v>41.7</v>
      </c>
      <c r="BX22" s="210">
        <v>2.85</v>
      </c>
      <c r="BY22" s="210">
        <v>39.32</v>
      </c>
      <c r="BZ22" s="330">
        <v>43.98</v>
      </c>
      <c r="CA22" s="210">
        <v>76.61</v>
      </c>
      <c r="CB22" s="210">
        <v>1.92</v>
      </c>
      <c r="CC22" s="210">
        <v>23.39</v>
      </c>
      <c r="CD22" s="210">
        <v>6.28</v>
      </c>
      <c r="CE22" s="209"/>
      <c r="CF22" s="210"/>
      <c r="CG22" s="210"/>
      <c r="CH22" s="330"/>
      <c r="CI22" s="209"/>
      <c r="CJ22" s="210"/>
      <c r="CK22" s="210"/>
      <c r="CL22" s="330"/>
      <c r="CM22" s="209"/>
      <c r="CN22" s="210"/>
      <c r="CO22" s="210"/>
      <c r="CP22" s="330"/>
      <c r="CQ22" s="209">
        <v>39.5</v>
      </c>
      <c r="CR22" s="210">
        <v>3.75</v>
      </c>
      <c r="CS22" s="210">
        <v>36.58</v>
      </c>
      <c r="CT22" s="330">
        <v>42.38</v>
      </c>
      <c r="CU22" s="210">
        <v>89.3</v>
      </c>
      <c r="CV22" s="210">
        <v>1.25</v>
      </c>
      <c r="CW22" s="210">
        <v>10.7</v>
      </c>
      <c r="CX22" s="210">
        <v>10.45</v>
      </c>
      <c r="CY22" s="209"/>
      <c r="CZ22" s="210"/>
      <c r="DA22" s="210"/>
      <c r="DB22" s="330"/>
      <c r="DC22" s="209"/>
      <c r="DD22" s="210"/>
      <c r="DE22" s="210"/>
      <c r="DF22" s="330"/>
      <c r="DG22" s="209"/>
      <c r="DH22" s="210"/>
      <c r="DI22" s="210"/>
      <c r="DJ22" s="330"/>
      <c r="DK22" s="209">
        <v>44.7</v>
      </c>
      <c r="DL22" s="210">
        <v>2.68</v>
      </c>
      <c r="DM22" s="210">
        <v>42.34</v>
      </c>
      <c r="DN22" s="330">
        <v>47.04</v>
      </c>
      <c r="DO22" s="210">
        <v>67.599999999999994</v>
      </c>
      <c r="DP22" s="210">
        <v>3.56</v>
      </c>
      <c r="DQ22" s="210">
        <v>32.4</v>
      </c>
      <c r="DR22" s="210">
        <v>7.43</v>
      </c>
      <c r="DS22" s="209"/>
      <c r="DT22" s="210"/>
      <c r="DU22" s="210"/>
      <c r="DV22" s="330"/>
      <c r="DW22" s="209"/>
      <c r="DX22" s="210"/>
      <c r="DY22" s="210"/>
      <c r="DZ22" s="330"/>
      <c r="EA22" s="209"/>
      <c r="EB22" s="210"/>
      <c r="EC22" s="210"/>
      <c r="ED22" s="330"/>
      <c r="EE22" s="209">
        <v>72.400000000000006</v>
      </c>
      <c r="EF22" s="210">
        <v>1.0900000000000001</v>
      </c>
      <c r="EG22" s="210">
        <v>70.849999999999994</v>
      </c>
      <c r="EH22" s="330">
        <v>73.930000000000007</v>
      </c>
      <c r="EI22" s="210">
        <v>71.680000000000007</v>
      </c>
      <c r="EJ22" s="210">
        <v>0.42</v>
      </c>
      <c r="EK22" s="210">
        <v>28.32</v>
      </c>
      <c r="EL22" s="210">
        <v>1.07</v>
      </c>
      <c r="EM22" s="209"/>
      <c r="EN22" s="210"/>
      <c r="EO22" s="210"/>
      <c r="EP22" s="330"/>
      <c r="EQ22" s="209"/>
      <c r="ER22" s="210"/>
      <c r="ES22" s="210"/>
      <c r="ET22" s="330"/>
      <c r="EU22" s="209"/>
      <c r="EV22" s="210"/>
      <c r="EW22" s="210"/>
      <c r="EX22" s="330"/>
      <c r="EY22" s="209">
        <v>38.5</v>
      </c>
      <c r="EZ22" s="210">
        <v>2.38</v>
      </c>
      <c r="FA22" s="210">
        <v>36.69</v>
      </c>
      <c r="FB22" s="330">
        <v>40.29</v>
      </c>
      <c r="FC22" s="210">
        <v>81.96</v>
      </c>
      <c r="FD22" s="210">
        <v>0.59</v>
      </c>
      <c r="FE22" s="210">
        <v>18.04</v>
      </c>
      <c r="FF22" s="210">
        <v>2.68</v>
      </c>
      <c r="FG22" s="209"/>
      <c r="FH22" s="210"/>
      <c r="FI22" s="210"/>
      <c r="FJ22" s="330"/>
      <c r="FK22" s="209"/>
      <c r="FL22" s="210"/>
      <c r="FM22" s="210"/>
      <c r="FN22" s="330"/>
      <c r="FO22" s="209"/>
      <c r="FP22" s="210"/>
      <c r="FQ22" s="210"/>
      <c r="FR22" s="330"/>
      <c r="FS22" s="209">
        <v>39</v>
      </c>
      <c r="FT22" s="210">
        <v>3.35</v>
      </c>
      <c r="FU22" s="210">
        <v>36.44</v>
      </c>
      <c r="FV22" s="330">
        <v>41.55</v>
      </c>
      <c r="FW22" s="210">
        <v>83.98</v>
      </c>
      <c r="FX22" s="210">
        <v>1.43</v>
      </c>
      <c r="FY22" s="210">
        <v>16.02</v>
      </c>
      <c r="FZ22" s="210">
        <v>7.49</v>
      </c>
      <c r="GA22" s="209"/>
      <c r="GB22" s="210"/>
      <c r="GC22" s="210"/>
      <c r="GD22" s="330"/>
      <c r="GE22" s="209"/>
      <c r="GF22" s="210"/>
      <c r="GG22" s="210"/>
      <c r="GH22" s="330"/>
      <c r="GI22" s="209"/>
      <c r="GJ22" s="210"/>
      <c r="GK22" s="210"/>
      <c r="GL22" s="330"/>
      <c r="GM22" s="209">
        <v>34.799999999999997</v>
      </c>
      <c r="GN22" s="210">
        <v>7.42</v>
      </c>
      <c r="GO22" s="210">
        <v>29.78</v>
      </c>
      <c r="GP22" s="330">
        <v>39.92</v>
      </c>
      <c r="GQ22" s="210">
        <v>95.33</v>
      </c>
      <c r="GR22" s="210">
        <v>0.34</v>
      </c>
      <c r="GS22" s="210">
        <v>4.67</v>
      </c>
      <c r="GT22" s="210">
        <v>6.98</v>
      </c>
      <c r="GU22" s="209"/>
      <c r="GV22" s="210"/>
      <c r="GW22" s="210"/>
      <c r="GX22" s="330"/>
      <c r="GY22" s="209"/>
      <c r="GZ22" s="210"/>
      <c r="HA22" s="210"/>
      <c r="HB22" s="330"/>
      <c r="HC22" s="209"/>
      <c r="HD22" s="210"/>
      <c r="HE22" s="210"/>
      <c r="HF22" s="330"/>
      <c r="HG22" s="209">
        <v>33.4</v>
      </c>
      <c r="HH22" s="210">
        <v>3.62</v>
      </c>
      <c r="HI22" s="210">
        <v>31.07</v>
      </c>
      <c r="HJ22" s="330">
        <v>35.81</v>
      </c>
      <c r="HK22" s="210">
        <v>94.54</v>
      </c>
      <c r="HL22" s="210">
        <v>0.74</v>
      </c>
      <c r="HM22" s="210">
        <v>5.46</v>
      </c>
      <c r="HN22" s="210">
        <v>12.76</v>
      </c>
      <c r="HO22" s="209"/>
      <c r="HP22" s="210"/>
      <c r="HQ22" s="210"/>
      <c r="HR22" s="330"/>
      <c r="HS22" s="209"/>
      <c r="HT22" s="210"/>
      <c r="HU22" s="210"/>
      <c r="HV22" s="330"/>
      <c r="HW22" s="209"/>
      <c r="HX22" s="210"/>
      <c r="HY22" s="210"/>
      <c r="HZ22" s="330"/>
      <c r="IA22" s="209">
        <v>49.9</v>
      </c>
      <c r="IB22" s="210">
        <v>2.06</v>
      </c>
      <c r="IC22" s="210">
        <v>47.85</v>
      </c>
      <c r="ID22" s="330">
        <v>51.88</v>
      </c>
      <c r="IE22" s="209">
        <v>94.26</v>
      </c>
      <c r="IF22" s="210">
        <v>0.26</v>
      </c>
      <c r="IG22" s="210">
        <v>5.74</v>
      </c>
      <c r="IH22" s="330">
        <v>4.34</v>
      </c>
    </row>
    <row r="23" spans="1:242" s="27" customFormat="1" ht="15.75" customHeight="1" x14ac:dyDescent="0.2">
      <c r="A23" s="16"/>
      <c r="B23" s="20" t="s">
        <v>16</v>
      </c>
      <c r="C23" s="207"/>
      <c r="D23" s="208"/>
      <c r="E23" s="208"/>
      <c r="F23" s="329"/>
      <c r="G23" s="207"/>
      <c r="H23" s="208"/>
      <c r="I23" s="208"/>
      <c r="J23" s="329"/>
      <c r="K23" s="207"/>
      <c r="L23" s="208"/>
      <c r="M23" s="208"/>
      <c r="N23" s="329"/>
      <c r="O23" s="207">
        <v>57</v>
      </c>
      <c r="P23" s="208">
        <v>2.17</v>
      </c>
      <c r="Q23" s="208">
        <v>54.61</v>
      </c>
      <c r="R23" s="329">
        <v>59.46</v>
      </c>
      <c r="S23" s="208">
        <v>47.37</v>
      </c>
      <c r="T23" s="208">
        <v>2.96</v>
      </c>
      <c r="U23" s="208">
        <v>52.63</v>
      </c>
      <c r="V23" s="208">
        <v>2.67</v>
      </c>
      <c r="W23" s="207"/>
      <c r="X23" s="208"/>
      <c r="Y23" s="208"/>
      <c r="Z23" s="329"/>
      <c r="AA23" s="207"/>
      <c r="AB23" s="208"/>
      <c r="AC23" s="208"/>
      <c r="AD23" s="329"/>
      <c r="AE23" s="207"/>
      <c r="AF23" s="208"/>
      <c r="AG23" s="208"/>
      <c r="AH23" s="329"/>
      <c r="AI23" s="207">
        <v>52</v>
      </c>
      <c r="AJ23" s="208">
        <v>1.72</v>
      </c>
      <c r="AK23" s="208">
        <v>50.25</v>
      </c>
      <c r="AL23" s="329">
        <v>53.77</v>
      </c>
      <c r="AM23" s="208">
        <v>58.63</v>
      </c>
      <c r="AN23" s="208">
        <v>2.17</v>
      </c>
      <c r="AO23" s="208">
        <v>41.37</v>
      </c>
      <c r="AP23" s="208">
        <v>3.07</v>
      </c>
      <c r="AQ23" s="207"/>
      <c r="AR23" s="208"/>
      <c r="AS23" s="208"/>
      <c r="AT23" s="329"/>
      <c r="AU23" s="207"/>
      <c r="AV23" s="208"/>
      <c r="AW23" s="208"/>
      <c r="AX23" s="329"/>
      <c r="AY23" s="207"/>
      <c r="AZ23" s="208"/>
      <c r="BA23" s="208"/>
      <c r="BB23" s="329"/>
      <c r="BC23" s="207">
        <v>39.4</v>
      </c>
      <c r="BD23" s="208">
        <v>3.08</v>
      </c>
      <c r="BE23" s="208">
        <v>37.049999999999997</v>
      </c>
      <c r="BF23" s="329">
        <v>41.81</v>
      </c>
      <c r="BG23" s="208">
        <v>94.77</v>
      </c>
      <c r="BH23" s="208">
        <v>1.07</v>
      </c>
      <c r="BI23" s="208">
        <v>5.23</v>
      </c>
      <c r="BJ23" s="208">
        <v>19.39</v>
      </c>
      <c r="BK23" s="207"/>
      <c r="BL23" s="208"/>
      <c r="BM23" s="208"/>
      <c r="BN23" s="329"/>
      <c r="BO23" s="207"/>
      <c r="BP23" s="208"/>
      <c r="BQ23" s="208"/>
      <c r="BR23" s="329"/>
      <c r="BS23" s="207"/>
      <c r="BT23" s="208"/>
      <c r="BU23" s="208"/>
      <c r="BV23" s="329"/>
      <c r="BW23" s="207">
        <v>46.8</v>
      </c>
      <c r="BX23" s="208">
        <v>2.4300000000000002</v>
      </c>
      <c r="BY23" s="208">
        <v>44.6</v>
      </c>
      <c r="BZ23" s="329">
        <v>49.05</v>
      </c>
      <c r="CA23" s="208">
        <v>80.36</v>
      </c>
      <c r="CB23" s="208">
        <v>1.68</v>
      </c>
      <c r="CC23" s="208">
        <v>19.64</v>
      </c>
      <c r="CD23" s="208">
        <v>6.88</v>
      </c>
      <c r="CE23" s="207"/>
      <c r="CF23" s="208"/>
      <c r="CG23" s="208"/>
      <c r="CH23" s="329"/>
      <c r="CI23" s="207"/>
      <c r="CJ23" s="208"/>
      <c r="CK23" s="208"/>
      <c r="CL23" s="329"/>
      <c r="CM23" s="207"/>
      <c r="CN23" s="208"/>
      <c r="CO23" s="208"/>
      <c r="CP23" s="329"/>
      <c r="CQ23" s="207">
        <v>44.3</v>
      </c>
      <c r="CR23" s="208">
        <v>2.5099999999999998</v>
      </c>
      <c r="CS23" s="208">
        <v>42.11</v>
      </c>
      <c r="CT23" s="329">
        <v>46.47</v>
      </c>
      <c r="CU23" s="208">
        <v>88.9</v>
      </c>
      <c r="CV23" s="208">
        <v>0.98</v>
      </c>
      <c r="CW23" s="208">
        <v>11.1</v>
      </c>
      <c r="CX23" s="208">
        <v>7.81</v>
      </c>
      <c r="CY23" s="207"/>
      <c r="CZ23" s="208"/>
      <c r="DA23" s="208"/>
      <c r="DB23" s="329"/>
      <c r="DC23" s="207"/>
      <c r="DD23" s="208"/>
      <c r="DE23" s="208"/>
      <c r="DF23" s="329"/>
      <c r="DG23" s="207"/>
      <c r="DH23" s="208"/>
      <c r="DI23" s="208"/>
      <c r="DJ23" s="329"/>
      <c r="DK23" s="207">
        <v>48.4</v>
      </c>
      <c r="DL23" s="208">
        <v>2.52</v>
      </c>
      <c r="DM23" s="208">
        <v>46.06</v>
      </c>
      <c r="DN23" s="329">
        <v>50.83</v>
      </c>
      <c r="DO23" s="208">
        <v>71.33</v>
      </c>
      <c r="DP23" s="208">
        <v>2.77</v>
      </c>
      <c r="DQ23" s="208">
        <v>28.67</v>
      </c>
      <c r="DR23" s="208">
        <v>6.9</v>
      </c>
      <c r="DS23" s="207"/>
      <c r="DT23" s="208"/>
      <c r="DU23" s="208"/>
      <c r="DV23" s="329"/>
      <c r="DW23" s="207"/>
      <c r="DX23" s="208"/>
      <c r="DY23" s="208"/>
      <c r="DZ23" s="329"/>
      <c r="EA23" s="207"/>
      <c r="EB23" s="208"/>
      <c r="EC23" s="208"/>
      <c r="ED23" s="329"/>
      <c r="EE23" s="207">
        <v>72.3</v>
      </c>
      <c r="EF23" s="208">
        <v>1.2</v>
      </c>
      <c r="EG23" s="208">
        <v>70.64</v>
      </c>
      <c r="EH23" s="329">
        <v>74.05</v>
      </c>
      <c r="EI23" s="208">
        <v>70.72</v>
      </c>
      <c r="EJ23" s="208">
        <v>0.44</v>
      </c>
      <c r="EK23" s="208">
        <v>29.28</v>
      </c>
      <c r="EL23" s="208">
        <v>1.06</v>
      </c>
      <c r="EM23" s="207"/>
      <c r="EN23" s="208"/>
      <c r="EO23" s="208"/>
      <c r="EP23" s="329"/>
      <c r="EQ23" s="207"/>
      <c r="ER23" s="208"/>
      <c r="ES23" s="208"/>
      <c r="ET23" s="329"/>
      <c r="EU23" s="207"/>
      <c r="EV23" s="208"/>
      <c r="EW23" s="208"/>
      <c r="EX23" s="329"/>
      <c r="EY23" s="207">
        <v>40</v>
      </c>
      <c r="EZ23" s="208">
        <v>2.0699999999999998</v>
      </c>
      <c r="FA23" s="208">
        <v>38.36</v>
      </c>
      <c r="FB23" s="329">
        <v>41.6</v>
      </c>
      <c r="FC23" s="208">
        <v>81.72</v>
      </c>
      <c r="FD23" s="208">
        <v>1.43</v>
      </c>
      <c r="FE23" s="208">
        <v>18.28</v>
      </c>
      <c r="FF23" s="208">
        <v>6.4</v>
      </c>
      <c r="FG23" s="207"/>
      <c r="FH23" s="208"/>
      <c r="FI23" s="208"/>
      <c r="FJ23" s="329"/>
      <c r="FK23" s="207"/>
      <c r="FL23" s="208"/>
      <c r="FM23" s="208"/>
      <c r="FN23" s="329"/>
      <c r="FO23" s="207"/>
      <c r="FP23" s="208"/>
      <c r="FQ23" s="208"/>
      <c r="FR23" s="329"/>
      <c r="FS23" s="207">
        <v>43.6</v>
      </c>
      <c r="FT23" s="208">
        <v>3.21</v>
      </c>
      <c r="FU23" s="208">
        <v>40.81</v>
      </c>
      <c r="FV23" s="329">
        <v>46.29</v>
      </c>
      <c r="FW23" s="208">
        <v>84.94</v>
      </c>
      <c r="FX23" s="208">
        <v>1.36</v>
      </c>
      <c r="FY23" s="208">
        <v>15.06</v>
      </c>
      <c r="FZ23" s="208">
        <v>7.65</v>
      </c>
      <c r="GA23" s="207"/>
      <c r="GB23" s="208"/>
      <c r="GC23" s="208"/>
      <c r="GD23" s="329"/>
      <c r="GE23" s="207"/>
      <c r="GF23" s="208"/>
      <c r="GG23" s="208"/>
      <c r="GH23" s="329"/>
      <c r="GI23" s="207"/>
      <c r="GJ23" s="208"/>
      <c r="GK23" s="208"/>
      <c r="GL23" s="329"/>
      <c r="GM23" s="207">
        <v>31.5</v>
      </c>
      <c r="GN23" s="208">
        <v>6.42</v>
      </c>
      <c r="GO23" s="208">
        <v>27.54</v>
      </c>
      <c r="GP23" s="329">
        <v>35.479999999999997</v>
      </c>
      <c r="GQ23" s="208">
        <v>90.64</v>
      </c>
      <c r="GR23" s="208">
        <v>0.34</v>
      </c>
      <c r="GS23" s="208">
        <v>9.36</v>
      </c>
      <c r="GT23" s="208">
        <v>3.25</v>
      </c>
      <c r="GU23" s="207"/>
      <c r="GV23" s="208"/>
      <c r="GW23" s="208"/>
      <c r="GX23" s="329"/>
      <c r="GY23" s="207"/>
      <c r="GZ23" s="208"/>
      <c r="HA23" s="208"/>
      <c r="HB23" s="329"/>
      <c r="HC23" s="207"/>
      <c r="HD23" s="208"/>
      <c r="HE23" s="208"/>
      <c r="HF23" s="329"/>
      <c r="HG23" s="207">
        <v>35.5</v>
      </c>
      <c r="HH23" s="208">
        <v>3.73</v>
      </c>
      <c r="HI23" s="208">
        <v>32.950000000000003</v>
      </c>
      <c r="HJ23" s="329">
        <v>38.15</v>
      </c>
      <c r="HK23" s="208">
        <v>95.01</v>
      </c>
      <c r="HL23" s="208">
        <v>0.66</v>
      </c>
      <c r="HM23" s="208">
        <v>4.99</v>
      </c>
      <c r="HN23" s="208">
        <v>12.64</v>
      </c>
      <c r="HO23" s="207"/>
      <c r="HP23" s="208"/>
      <c r="HQ23" s="208"/>
      <c r="HR23" s="329"/>
      <c r="HS23" s="207"/>
      <c r="HT23" s="208"/>
      <c r="HU23" s="208"/>
      <c r="HV23" s="329"/>
      <c r="HW23" s="207"/>
      <c r="HX23" s="208"/>
      <c r="HY23" s="208"/>
      <c r="HZ23" s="329"/>
      <c r="IA23" s="207">
        <v>51.6</v>
      </c>
      <c r="IB23" s="208">
        <v>2.14</v>
      </c>
      <c r="IC23" s="208">
        <v>49.42</v>
      </c>
      <c r="ID23" s="329">
        <v>53.75</v>
      </c>
      <c r="IE23" s="207">
        <v>94.21</v>
      </c>
      <c r="IF23" s="208">
        <v>0.28000000000000003</v>
      </c>
      <c r="IG23" s="208">
        <v>5.79</v>
      </c>
      <c r="IH23" s="329">
        <v>4.62</v>
      </c>
    </row>
    <row r="24" spans="1:242" s="27" customFormat="1" ht="15.75" customHeight="1" x14ac:dyDescent="0.2">
      <c r="A24" s="16"/>
      <c r="B24" s="64" t="s">
        <v>8</v>
      </c>
      <c r="C24" s="209"/>
      <c r="D24" s="210"/>
      <c r="E24" s="210"/>
      <c r="F24" s="330"/>
      <c r="G24" s="209"/>
      <c r="H24" s="210"/>
      <c r="I24" s="210"/>
      <c r="J24" s="330"/>
      <c r="K24" s="209"/>
      <c r="L24" s="210"/>
      <c r="M24" s="210"/>
      <c r="N24" s="330"/>
      <c r="O24" s="209">
        <v>59.2</v>
      </c>
      <c r="P24" s="210">
        <v>1.95</v>
      </c>
      <c r="Q24" s="210">
        <v>56.92</v>
      </c>
      <c r="R24" s="330">
        <v>61.45</v>
      </c>
      <c r="S24" s="210">
        <v>54.76</v>
      </c>
      <c r="T24" s="210">
        <v>2.3199999999999998</v>
      </c>
      <c r="U24" s="210">
        <v>45.24</v>
      </c>
      <c r="V24" s="210">
        <v>2.81</v>
      </c>
      <c r="W24" s="209"/>
      <c r="X24" s="210"/>
      <c r="Y24" s="210"/>
      <c r="Z24" s="330"/>
      <c r="AA24" s="209"/>
      <c r="AB24" s="210"/>
      <c r="AC24" s="210"/>
      <c r="AD24" s="330"/>
      <c r="AE24" s="209"/>
      <c r="AF24" s="210"/>
      <c r="AG24" s="210"/>
      <c r="AH24" s="330"/>
      <c r="AI24" s="209">
        <v>58.6</v>
      </c>
      <c r="AJ24" s="210">
        <v>1.86</v>
      </c>
      <c r="AK24" s="210">
        <v>56.49</v>
      </c>
      <c r="AL24" s="330">
        <v>60.76</v>
      </c>
      <c r="AM24" s="210">
        <v>53.53</v>
      </c>
      <c r="AN24" s="210">
        <v>2.29</v>
      </c>
      <c r="AO24" s="210">
        <v>46.47</v>
      </c>
      <c r="AP24" s="210">
        <v>2.63</v>
      </c>
      <c r="AQ24" s="209"/>
      <c r="AR24" s="210"/>
      <c r="AS24" s="210"/>
      <c r="AT24" s="330"/>
      <c r="AU24" s="209"/>
      <c r="AV24" s="210"/>
      <c r="AW24" s="210"/>
      <c r="AX24" s="330"/>
      <c r="AY24" s="209"/>
      <c r="AZ24" s="210"/>
      <c r="BA24" s="210"/>
      <c r="BB24" s="330"/>
      <c r="BC24" s="209">
        <v>36.799999999999997</v>
      </c>
      <c r="BD24" s="210">
        <v>3.56</v>
      </c>
      <c r="BE24" s="210">
        <v>34.229999999999997</v>
      </c>
      <c r="BF24" s="330">
        <v>39.36</v>
      </c>
      <c r="BG24" s="210">
        <v>94.74</v>
      </c>
      <c r="BH24" s="210">
        <v>0.64</v>
      </c>
      <c r="BI24" s="210">
        <v>5.26</v>
      </c>
      <c r="BJ24" s="210">
        <v>11.54</v>
      </c>
      <c r="BK24" s="209"/>
      <c r="BL24" s="210"/>
      <c r="BM24" s="210"/>
      <c r="BN24" s="330"/>
      <c r="BO24" s="209"/>
      <c r="BP24" s="210"/>
      <c r="BQ24" s="210"/>
      <c r="BR24" s="330"/>
      <c r="BS24" s="209"/>
      <c r="BT24" s="210"/>
      <c r="BU24" s="210"/>
      <c r="BV24" s="330"/>
      <c r="BW24" s="209">
        <v>48.5</v>
      </c>
      <c r="BX24" s="210">
        <v>2.16</v>
      </c>
      <c r="BY24" s="210">
        <v>46.43</v>
      </c>
      <c r="BZ24" s="330">
        <v>50.55</v>
      </c>
      <c r="CA24" s="210">
        <v>76.47</v>
      </c>
      <c r="CB24" s="210">
        <v>1.66</v>
      </c>
      <c r="CC24" s="210">
        <v>23.53</v>
      </c>
      <c r="CD24" s="210">
        <v>5.38</v>
      </c>
      <c r="CE24" s="209"/>
      <c r="CF24" s="210"/>
      <c r="CG24" s="210"/>
      <c r="CH24" s="330"/>
      <c r="CI24" s="209"/>
      <c r="CJ24" s="210"/>
      <c r="CK24" s="210"/>
      <c r="CL24" s="330"/>
      <c r="CM24" s="209"/>
      <c r="CN24" s="210"/>
      <c r="CO24" s="210"/>
      <c r="CP24" s="330"/>
      <c r="CQ24" s="209">
        <v>43.7</v>
      </c>
      <c r="CR24" s="210">
        <v>2.87</v>
      </c>
      <c r="CS24" s="210">
        <v>41.27</v>
      </c>
      <c r="CT24" s="330">
        <v>46.19</v>
      </c>
      <c r="CU24" s="210">
        <v>87.07</v>
      </c>
      <c r="CV24" s="210">
        <v>1.1499999999999999</v>
      </c>
      <c r="CW24" s="210">
        <v>12.93</v>
      </c>
      <c r="CX24" s="210">
        <v>7.77</v>
      </c>
      <c r="CY24" s="209"/>
      <c r="CZ24" s="210"/>
      <c r="DA24" s="210"/>
      <c r="DB24" s="330"/>
      <c r="DC24" s="209"/>
      <c r="DD24" s="210"/>
      <c r="DE24" s="210"/>
      <c r="DF24" s="330"/>
      <c r="DG24" s="209"/>
      <c r="DH24" s="210"/>
      <c r="DI24" s="210"/>
      <c r="DJ24" s="330"/>
      <c r="DK24" s="209">
        <v>49.6</v>
      </c>
      <c r="DL24" s="210">
        <v>2.59</v>
      </c>
      <c r="DM24" s="210">
        <v>47.12</v>
      </c>
      <c r="DN24" s="330">
        <v>52.16</v>
      </c>
      <c r="DO24" s="210">
        <v>68.209999999999994</v>
      </c>
      <c r="DP24" s="210">
        <v>3.28</v>
      </c>
      <c r="DQ24" s="210">
        <v>31.79</v>
      </c>
      <c r="DR24" s="210">
        <v>7.03</v>
      </c>
      <c r="DS24" s="209"/>
      <c r="DT24" s="210"/>
      <c r="DU24" s="210"/>
      <c r="DV24" s="330"/>
      <c r="DW24" s="209"/>
      <c r="DX24" s="210"/>
      <c r="DY24" s="210"/>
      <c r="DZ24" s="330"/>
      <c r="EA24" s="209"/>
      <c r="EB24" s="210"/>
      <c r="EC24" s="210"/>
      <c r="ED24" s="330"/>
      <c r="EE24" s="209">
        <v>73.3</v>
      </c>
      <c r="EF24" s="210">
        <v>1.22</v>
      </c>
      <c r="EG24" s="210">
        <v>71.58</v>
      </c>
      <c r="EH24" s="330">
        <v>75.09</v>
      </c>
      <c r="EI24" s="210">
        <v>74.400000000000006</v>
      </c>
      <c r="EJ24" s="210">
        <v>0.3</v>
      </c>
      <c r="EK24" s="210">
        <v>25.6</v>
      </c>
      <c r="EL24" s="210">
        <v>0.87</v>
      </c>
      <c r="EM24" s="209"/>
      <c r="EN24" s="210"/>
      <c r="EO24" s="210"/>
      <c r="EP24" s="330"/>
      <c r="EQ24" s="209"/>
      <c r="ER24" s="210"/>
      <c r="ES24" s="210"/>
      <c r="ET24" s="330"/>
      <c r="EU24" s="209"/>
      <c r="EV24" s="210"/>
      <c r="EW24" s="210"/>
      <c r="EX24" s="330"/>
      <c r="EY24" s="209">
        <v>41.6</v>
      </c>
      <c r="EZ24" s="210">
        <v>2.2799999999999998</v>
      </c>
      <c r="FA24" s="210">
        <v>39.78</v>
      </c>
      <c r="FB24" s="330">
        <v>43.5</v>
      </c>
      <c r="FC24" s="210">
        <v>83.63</v>
      </c>
      <c r="FD24" s="210">
        <v>0.64</v>
      </c>
      <c r="FE24" s="210">
        <v>16.37</v>
      </c>
      <c r="FF24" s="210">
        <v>3.26</v>
      </c>
      <c r="FG24" s="209"/>
      <c r="FH24" s="210"/>
      <c r="FI24" s="210"/>
      <c r="FJ24" s="330"/>
      <c r="FK24" s="209"/>
      <c r="FL24" s="210"/>
      <c r="FM24" s="210"/>
      <c r="FN24" s="330"/>
      <c r="FO24" s="209"/>
      <c r="FP24" s="210"/>
      <c r="FQ24" s="210"/>
      <c r="FR24" s="330"/>
      <c r="FS24" s="209">
        <v>40.9</v>
      </c>
      <c r="FT24" s="210">
        <v>3.35</v>
      </c>
      <c r="FU24" s="210">
        <v>38.17</v>
      </c>
      <c r="FV24" s="330">
        <v>43.53</v>
      </c>
      <c r="FW24" s="210">
        <v>84.46</v>
      </c>
      <c r="FX24" s="210">
        <v>1.22</v>
      </c>
      <c r="FY24" s="210">
        <v>15.54</v>
      </c>
      <c r="FZ24" s="210">
        <v>6.64</v>
      </c>
      <c r="GA24" s="209"/>
      <c r="GB24" s="210"/>
      <c r="GC24" s="210"/>
      <c r="GD24" s="330"/>
      <c r="GE24" s="209"/>
      <c r="GF24" s="210"/>
      <c r="GG24" s="210"/>
      <c r="GH24" s="330"/>
      <c r="GI24" s="209"/>
      <c r="GJ24" s="210"/>
      <c r="GK24" s="210"/>
      <c r="GL24" s="330"/>
      <c r="GM24" s="209">
        <v>30.5</v>
      </c>
      <c r="GN24" s="210">
        <v>6.73</v>
      </c>
      <c r="GO24" s="210">
        <v>26.52</v>
      </c>
      <c r="GP24" s="330">
        <v>34.58</v>
      </c>
      <c r="GQ24" s="210">
        <v>94.94</v>
      </c>
      <c r="GR24" s="210">
        <v>0.28000000000000003</v>
      </c>
      <c r="GS24" s="210">
        <v>5.0599999999999996</v>
      </c>
      <c r="GT24" s="210">
        <v>5.29</v>
      </c>
      <c r="GU24" s="209"/>
      <c r="GV24" s="210"/>
      <c r="GW24" s="210"/>
      <c r="GX24" s="330"/>
      <c r="GY24" s="209"/>
      <c r="GZ24" s="210"/>
      <c r="HA24" s="210"/>
      <c r="HB24" s="330"/>
      <c r="HC24" s="209"/>
      <c r="HD24" s="210"/>
      <c r="HE24" s="210"/>
      <c r="HF24" s="330"/>
      <c r="HG24" s="209">
        <v>32.299999999999997</v>
      </c>
      <c r="HH24" s="210">
        <v>3.32</v>
      </c>
      <c r="HI24" s="210">
        <v>30.22</v>
      </c>
      <c r="HJ24" s="330">
        <v>34.43</v>
      </c>
      <c r="HK24" s="210">
        <v>92.92</v>
      </c>
      <c r="HL24" s="210">
        <v>0.82</v>
      </c>
      <c r="HM24" s="210">
        <v>7.08</v>
      </c>
      <c r="HN24" s="210">
        <v>10.73</v>
      </c>
      <c r="HO24" s="209"/>
      <c r="HP24" s="210"/>
      <c r="HQ24" s="210"/>
      <c r="HR24" s="330"/>
      <c r="HS24" s="209"/>
      <c r="HT24" s="210"/>
      <c r="HU24" s="210"/>
      <c r="HV24" s="330"/>
      <c r="HW24" s="209"/>
      <c r="HX24" s="210"/>
      <c r="HY24" s="210"/>
      <c r="HZ24" s="330"/>
      <c r="IA24" s="209">
        <v>54.8</v>
      </c>
      <c r="IB24" s="210">
        <v>2.2799999999999998</v>
      </c>
      <c r="IC24" s="210">
        <v>52.39</v>
      </c>
      <c r="ID24" s="330">
        <v>57.29</v>
      </c>
      <c r="IE24" s="209">
        <v>93.75</v>
      </c>
      <c r="IF24" s="210">
        <v>0.33</v>
      </c>
      <c r="IG24" s="210">
        <v>6.25</v>
      </c>
      <c r="IH24" s="330">
        <v>4.92</v>
      </c>
    </row>
    <row r="25" spans="1:242" s="27" customFormat="1" ht="15.75" customHeight="1" x14ac:dyDescent="0.2">
      <c r="A25" s="16"/>
      <c r="B25" s="20" t="s">
        <v>9</v>
      </c>
      <c r="C25" s="207"/>
      <c r="D25" s="208"/>
      <c r="E25" s="208"/>
      <c r="F25" s="329"/>
      <c r="G25" s="207"/>
      <c r="H25" s="208"/>
      <c r="I25" s="208"/>
      <c r="J25" s="329"/>
      <c r="K25" s="207"/>
      <c r="L25" s="208"/>
      <c r="M25" s="208"/>
      <c r="N25" s="329"/>
      <c r="O25" s="207">
        <v>59.7</v>
      </c>
      <c r="P25" s="208">
        <v>1.94</v>
      </c>
      <c r="Q25" s="208">
        <v>57.44</v>
      </c>
      <c r="R25" s="329">
        <v>61.98</v>
      </c>
      <c r="S25" s="208">
        <v>47.45</v>
      </c>
      <c r="T25" s="208">
        <v>2.97</v>
      </c>
      <c r="U25" s="208">
        <v>52.55</v>
      </c>
      <c r="V25" s="208">
        <v>2.68</v>
      </c>
      <c r="W25" s="207"/>
      <c r="X25" s="208"/>
      <c r="Y25" s="208"/>
      <c r="Z25" s="329"/>
      <c r="AA25" s="207"/>
      <c r="AB25" s="208"/>
      <c r="AC25" s="208"/>
      <c r="AD25" s="329"/>
      <c r="AE25" s="207"/>
      <c r="AF25" s="208"/>
      <c r="AG25" s="208"/>
      <c r="AH25" s="329"/>
      <c r="AI25" s="207">
        <v>63.8</v>
      </c>
      <c r="AJ25" s="208">
        <v>1.71</v>
      </c>
      <c r="AK25" s="208">
        <v>61.67</v>
      </c>
      <c r="AL25" s="329">
        <v>65.930000000000007</v>
      </c>
      <c r="AM25" s="208">
        <v>48.03</v>
      </c>
      <c r="AN25" s="208">
        <v>3.08</v>
      </c>
      <c r="AO25" s="208">
        <v>51.97</v>
      </c>
      <c r="AP25" s="208">
        <v>2.84</v>
      </c>
      <c r="AQ25" s="207"/>
      <c r="AR25" s="208"/>
      <c r="AS25" s="208"/>
      <c r="AT25" s="329"/>
      <c r="AU25" s="207"/>
      <c r="AV25" s="208"/>
      <c r="AW25" s="208"/>
      <c r="AX25" s="329"/>
      <c r="AY25" s="207"/>
      <c r="AZ25" s="208"/>
      <c r="BA25" s="208"/>
      <c r="BB25" s="329"/>
      <c r="BC25" s="207">
        <v>37.4</v>
      </c>
      <c r="BD25" s="208">
        <v>3.67</v>
      </c>
      <c r="BE25" s="208">
        <v>34.67</v>
      </c>
      <c r="BF25" s="329">
        <v>40.049999999999997</v>
      </c>
      <c r="BG25" s="208">
        <v>93.65</v>
      </c>
      <c r="BH25" s="208">
        <v>0.98</v>
      </c>
      <c r="BI25" s="208">
        <v>6.35</v>
      </c>
      <c r="BJ25" s="208">
        <v>14.49</v>
      </c>
      <c r="BK25" s="207"/>
      <c r="BL25" s="208"/>
      <c r="BM25" s="208"/>
      <c r="BN25" s="329"/>
      <c r="BO25" s="207"/>
      <c r="BP25" s="208"/>
      <c r="BQ25" s="208"/>
      <c r="BR25" s="329"/>
      <c r="BS25" s="207"/>
      <c r="BT25" s="208"/>
      <c r="BU25" s="208"/>
      <c r="BV25" s="329"/>
      <c r="BW25" s="207">
        <v>51.8</v>
      </c>
      <c r="BX25" s="208">
        <v>2.21</v>
      </c>
      <c r="BY25" s="208">
        <v>49.58</v>
      </c>
      <c r="BZ25" s="329">
        <v>54.08</v>
      </c>
      <c r="CA25" s="208">
        <v>72.39</v>
      </c>
      <c r="CB25" s="208">
        <v>1.95</v>
      </c>
      <c r="CC25" s="208">
        <v>27.61</v>
      </c>
      <c r="CD25" s="208">
        <v>5.13</v>
      </c>
      <c r="CE25" s="207"/>
      <c r="CF25" s="208"/>
      <c r="CG25" s="208"/>
      <c r="CH25" s="329"/>
      <c r="CI25" s="207"/>
      <c r="CJ25" s="208"/>
      <c r="CK25" s="208"/>
      <c r="CL25" s="329"/>
      <c r="CM25" s="207"/>
      <c r="CN25" s="208"/>
      <c r="CO25" s="208"/>
      <c r="CP25" s="329"/>
      <c r="CQ25" s="207">
        <v>47.7</v>
      </c>
      <c r="CR25" s="208">
        <v>2.5299999999999998</v>
      </c>
      <c r="CS25" s="208">
        <v>45.31</v>
      </c>
      <c r="CT25" s="329">
        <v>50.05</v>
      </c>
      <c r="CU25" s="208">
        <v>83.64</v>
      </c>
      <c r="CV25" s="208">
        <v>1.77</v>
      </c>
      <c r="CW25" s="208">
        <v>16.36</v>
      </c>
      <c r="CX25" s="208">
        <v>9.06</v>
      </c>
      <c r="CY25" s="207"/>
      <c r="CZ25" s="208"/>
      <c r="DA25" s="208"/>
      <c r="DB25" s="329"/>
      <c r="DC25" s="207"/>
      <c r="DD25" s="208"/>
      <c r="DE25" s="208"/>
      <c r="DF25" s="329"/>
      <c r="DG25" s="207"/>
      <c r="DH25" s="208"/>
      <c r="DI25" s="208"/>
      <c r="DJ25" s="329"/>
      <c r="DK25" s="207">
        <v>52.9</v>
      </c>
      <c r="DL25" s="208">
        <v>2.63</v>
      </c>
      <c r="DM25" s="208">
        <v>50.15</v>
      </c>
      <c r="DN25" s="329">
        <v>55.61</v>
      </c>
      <c r="DO25" s="208">
        <v>66.739999999999995</v>
      </c>
      <c r="DP25" s="208">
        <v>3.36</v>
      </c>
      <c r="DQ25" s="208">
        <v>33.26</v>
      </c>
      <c r="DR25" s="208">
        <v>6.75</v>
      </c>
      <c r="DS25" s="207"/>
      <c r="DT25" s="208"/>
      <c r="DU25" s="208"/>
      <c r="DV25" s="329"/>
      <c r="DW25" s="207"/>
      <c r="DX25" s="208"/>
      <c r="DY25" s="208"/>
      <c r="DZ25" s="329"/>
      <c r="EA25" s="207"/>
      <c r="EB25" s="208"/>
      <c r="EC25" s="208"/>
      <c r="ED25" s="329"/>
      <c r="EE25" s="207">
        <v>76.599999999999994</v>
      </c>
      <c r="EF25" s="208">
        <v>1.32</v>
      </c>
      <c r="EG25" s="208">
        <v>74.58</v>
      </c>
      <c r="EH25" s="329">
        <v>78.540000000000006</v>
      </c>
      <c r="EI25" s="208">
        <v>68.77</v>
      </c>
      <c r="EJ25" s="208">
        <v>0.62</v>
      </c>
      <c r="EK25" s="208">
        <v>31.23</v>
      </c>
      <c r="EL25" s="208">
        <v>1.37</v>
      </c>
      <c r="EM25" s="207"/>
      <c r="EN25" s="208"/>
      <c r="EO25" s="208"/>
      <c r="EP25" s="329"/>
      <c r="EQ25" s="207"/>
      <c r="ER25" s="208"/>
      <c r="ES25" s="208"/>
      <c r="ET25" s="329"/>
      <c r="EU25" s="207"/>
      <c r="EV25" s="208"/>
      <c r="EW25" s="208"/>
      <c r="EX25" s="329"/>
      <c r="EY25" s="207">
        <v>43.3</v>
      </c>
      <c r="EZ25" s="208">
        <v>2.2200000000000002</v>
      </c>
      <c r="FA25" s="208">
        <v>41.41</v>
      </c>
      <c r="FB25" s="329">
        <v>45.19</v>
      </c>
      <c r="FC25" s="208">
        <v>79.61</v>
      </c>
      <c r="FD25" s="208">
        <v>0.79</v>
      </c>
      <c r="FE25" s="208">
        <v>20.39</v>
      </c>
      <c r="FF25" s="208">
        <v>3.1</v>
      </c>
      <c r="FG25" s="207"/>
      <c r="FH25" s="208"/>
      <c r="FI25" s="208"/>
      <c r="FJ25" s="329"/>
      <c r="FK25" s="207"/>
      <c r="FL25" s="208"/>
      <c r="FM25" s="208"/>
      <c r="FN25" s="329"/>
      <c r="FO25" s="207"/>
      <c r="FP25" s="208"/>
      <c r="FQ25" s="208"/>
      <c r="FR25" s="329"/>
      <c r="FS25" s="207">
        <v>45</v>
      </c>
      <c r="FT25" s="208">
        <v>3.32</v>
      </c>
      <c r="FU25" s="208">
        <v>42.04</v>
      </c>
      <c r="FV25" s="329">
        <v>47.88</v>
      </c>
      <c r="FW25" s="208">
        <v>82.09</v>
      </c>
      <c r="FX25" s="208">
        <v>1.43</v>
      </c>
      <c r="FY25" s="208">
        <v>17.91</v>
      </c>
      <c r="FZ25" s="208">
        <v>6.54</v>
      </c>
      <c r="GA25" s="207"/>
      <c r="GB25" s="208"/>
      <c r="GC25" s="208"/>
      <c r="GD25" s="329"/>
      <c r="GE25" s="207"/>
      <c r="GF25" s="208"/>
      <c r="GG25" s="208"/>
      <c r="GH25" s="329"/>
      <c r="GI25" s="207"/>
      <c r="GJ25" s="208"/>
      <c r="GK25" s="208"/>
      <c r="GL25" s="329"/>
      <c r="GM25" s="207">
        <v>30.3</v>
      </c>
      <c r="GN25" s="208">
        <v>5.68</v>
      </c>
      <c r="GO25" s="208">
        <v>26.94</v>
      </c>
      <c r="GP25" s="329">
        <v>33.69</v>
      </c>
      <c r="GQ25" s="208">
        <v>95.98</v>
      </c>
      <c r="GR25" s="208">
        <v>0.21</v>
      </c>
      <c r="GS25" s="208">
        <v>4.0199999999999996</v>
      </c>
      <c r="GT25" s="208">
        <v>5.13</v>
      </c>
      <c r="GU25" s="207"/>
      <c r="GV25" s="208"/>
      <c r="GW25" s="208"/>
      <c r="GX25" s="329"/>
      <c r="GY25" s="207"/>
      <c r="GZ25" s="208"/>
      <c r="HA25" s="208"/>
      <c r="HB25" s="329"/>
      <c r="HC25" s="207"/>
      <c r="HD25" s="208"/>
      <c r="HE25" s="208"/>
      <c r="HF25" s="329"/>
      <c r="HG25" s="207">
        <v>32.4</v>
      </c>
      <c r="HH25" s="208">
        <v>3.73</v>
      </c>
      <c r="HI25" s="208">
        <v>30.05</v>
      </c>
      <c r="HJ25" s="329">
        <v>34.79</v>
      </c>
      <c r="HK25" s="208">
        <v>90.02</v>
      </c>
      <c r="HL25" s="208">
        <v>0.96</v>
      </c>
      <c r="HM25" s="208">
        <v>9.98</v>
      </c>
      <c r="HN25" s="208">
        <v>8.65</v>
      </c>
      <c r="HO25" s="207"/>
      <c r="HP25" s="208"/>
      <c r="HQ25" s="208"/>
      <c r="HR25" s="329"/>
      <c r="HS25" s="207"/>
      <c r="HT25" s="208"/>
      <c r="HU25" s="208"/>
      <c r="HV25" s="329"/>
      <c r="HW25" s="207"/>
      <c r="HX25" s="208"/>
      <c r="HY25" s="208"/>
      <c r="HZ25" s="329"/>
      <c r="IA25" s="207">
        <v>51.5</v>
      </c>
      <c r="IB25" s="208">
        <v>2.4500000000000002</v>
      </c>
      <c r="IC25" s="208">
        <v>49</v>
      </c>
      <c r="ID25" s="329">
        <v>53.95</v>
      </c>
      <c r="IE25" s="207">
        <v>92.84</v>
      </c>
      <c r="IF25" s="208">
        <v>0.42</v>
      </c>
      <c r="IG25" s="208">
        <v>7.16</v>
      </c>
      <c r="IH25" s="329">
        <v>5.44</v>
      </c>
    </row>
    <row r="26" spans="1:242" s="27" customFormat="1" ht="15.75" customHeight="1" x14ac:dyDescent="0.2">
      <c r="A26" s="16"/>
      <c r="B26" s="64" t="s">
        <v>10</v>
      </c>
      <c r="C26" s="209"/>
      <c r="D26" s="210"/>
      <c r="E26" s="210"/>
      <c r="F26" s="330"/>
      <c r="G26" s="209"/>
      <c r="H26" s="210"/>
      <c r="I26" s="210"/>
      <c r="J26" s="330"/>
      <c r="K26" s="209"/>
      <c r="L26" s="210"/>
      <c r="M26" s="210"/>
      <c r="N26" s="330"/>
      <c r="O26" s="209">
        <v>61.9</v>
      </c>
      <c r="P26" s="210">
        <v>1.86</v>
      </c>
      <c r="Q26" s="210">
        <v>59.6</v>
      </c>
      <c r="R26" s="330">
        <v>64.11</v>
      </c>
      <c r="S26" s="210">
        <v>50.14</v>
      </c>
      <c r="T26" s="210">
        <v>3.55</v>
      </c>
      <c r="U26" s="210">
        <v>49.86</v>
      </c>
      <c r="V26" s="210">
        <v>3.57</v>
      </c>
      <c r="W26" s="209"/>
      <c r="X26" s="210"/>
      <c r="Y26" s="210"/>
      <c r="Z26" s="330"/>
      <c r="AA26" s="209"/>
      <c r="AB26" s="210"/>
      <c r="AC26" s="210"/>
      <c r="AD26" s="330"/>
      <c r="AE26" s="209"/>
      <c r="AF26" s="210"/>
      <c r="AG26" s="210"/>
      <c r="AH26" s="330"/>
      <c r="AI26" s="209">
        <v>57</v>
      </c>
      <c r="AJ26" s="210">
        <v>1.59</v>
      </c>
      <c r="AK26" s="210">
        <v>55.24</v>
      </c>
      <c r="AL26" s="330">
        <v>58.79</v>
      </c>
      <c r="AM26" s="210">
        <v>51.2</v>
      </c>
      <c r="AN26" s="210">
        <v>2.73</v>
      </c>
      <c r="AO26" s="210">
        <v>48.8</v>
      </c>
      <c r="AP26" s="210">
        <v>2.86</v>
      </c>
      <c r="AQ26" s="209"/>
      <c r="AR26" s="210"/>
      <c r="AS26" s="210"/>
      <c r="AT26" s="330"/>
      <c r="AU26" s="209"/>
      <c r="AV26" s="210"/>
      <c r="AW26" s="210"/>
      <c r="AX26" s="330"/>
      <c r="AY26" s="209"/>
      <c r="AZ26" s="210"/>
      <c r="BA26" s="210"/>
      <c r="BB26" s="330"/>
      <c r="BC26" s="209">
        <v>34.6</v>
      </c>
      <c r="BD26" s="210">
        <v>3.27</v>
      </c>
      <c r="BE26" s="210">
        <v>32.35</v>
      </c>
      <c r="BF26" s="330">
        <v>36.78</v>
      </c>
      <c r="BG26" s="210">
        <v>94.8</v>
      </c>
      <c r="BH26" s="210">
        <v>0.48</v>
      </c>
      <c r="BI26" s="210">
        <v>5.2</v>
      </c>
      <c r="BJ26" s="210">
        <v>8.77</v>
      </c>
      <c r="BK26" s="209"/>
      <c r="BL26" s="210"/>
      <c r="BM26" s="210"/>
      <c r="BN26" s="330"/>
      <c r="BO26" s="209"/>
      <c r="BP26" s="210"/>
      <c r="BQ26" s="210"/>
      <c r="BR26" s="330"/>
      <c r="BS26" s="209"/>
      <c r="BT26" s="210"/>
      <c r="BU26" s="210"/>
      <c r="BV26" s="330"/>
      <c r="BW26" s="209">
        <v>48.2</v>
      </c>
      <c r="BX26" s="210">
        <v>2.09</v>
      </c>
      <c r="BY26" s="210">
        <v>46.22</v>
      </c>
      <c r="BZ26" s="330">
        <v>50.18</v>
      </c>
      <c r="CA26" s="210">
        <v>78.94</v>
      </c>
      <c r="CB26" s="210">
        <v>1.53</v>
      </c>
      <c r="CC26" s="210">
        <v>21.06</v>
      </c>
      <c r="CD26" s="210">
        <v>5.75</v>
      </c>
      <c r="CE26" s="209"/>
      <c r="CF26" s="210"/>
      <c r="CG26" s="210"/>
      <c r="CH26" s="330"/>
      <c r="CI26" s="209"/>
      <c r="CJ26" s="210"/>
      <c r="CK26" s="210"/>
      <c r="CL26" s="330"/>
      <c r="CM26" s="209"/>
      <c r="CN26" s="210"/>
      <c r="CO26" s="210"/>
      <c r="CP26" s="330"/>
      <c r="CQ26" s="209">
        <v>44.8</v>
      </c>
      <c r="CR26" s="210">
        <v>2.61</v>
      </c>
      <c r="CS26" s="210">
        <v>42.5</v>
      </c>
      <c r="CT26" s="330">
        <v>47.08</v>
      </c>
      <c r="CU26" s="210">
        <v>89.88</v>
      </c>
      <c r="CV26" s="210">
        <v>1.07</v>
      </c>
      <c r="CW26" s="210">
        <v>10.119999999999999</v>
      </c>
      <c r="CX26" s="210">
        <v>9.48</v>
      </c>
      <c r="CY26" s="209"/>
      <c r="CZ26" s="210"/>
      <c r="DA26" s="210"/>
      <c r="DB26" s="330"/>
      <c r="DC26" s="209"/>
      <c r="DD26" s="210"/>
      <c r="DE26" s="210"/>
      <c r="DF26" s="330"/>
      <c r="DG26" s="209"/>
      <c r="DH26" s="210"/>
      <c r="DI26" s="210"/>
      <c r="DJ26" s="330"/>
      <c r="DK26" s="209">
        <v>48.3</v>
      </c>
      <c r="DL26" s="210">
        <v>2.76</v>
      </c>
      <c r="DM26" s="210">
        <v>45.65</v>
      </c>
      <c r="DN26" s="330">
        <v>50.87</v>
      </c>
      <c r="DO26" s="210">
        <v>66.02</v>
      </c>
      <c r="DP26" s="210">
        <v>3.5</v>
      </c>
      <c r="DQ26" s="210">
        <v>33.979999999999997</v>
      </c>
      <c r="DR26" s="210">
        <v>6.79</v>
      </c>
      <c r="DS26" s="209"/>
      <c r="DT26" s="210"/>
      <c r="DU26" s="210"/>
      <c r="DV26" s="330"/>
      <c r="DW26" s="209"/>
      <c r="DX26" s="210"/>
      <c r="DY26" s="210"/>
      <c r="DZ26" s="330"/>
      <c r="EA26" s="209"/>
      <c r="EB26" s="210"/>
      <c r="EC26" s="210"/>
      <c r="ED26" s="330"/>
      <c r="EE26" s="209">
        <v>76.400000000000006</v>
      </c>
      <c r="EF26" s="210">
        <v>1.29</v>
      </c>
      <c r="EG26" s="210">
        <v>74.489999999999995</v>
      </c>
      <c r="EH26" s="330">
        <v>78.349999999999994</v>
      </c>
      <c r="EI26" s="210">
        <v>68.59</v>
      </c>
      <c r="EJ26" s="210">
        <v>0.59</v>
      </c>
      <c r="EK26" s="210">
        <v>31.41</v>
      </c>
      <c r="EL26" s="210">
        <v>1.3</v>
      </c>
      <c r="EM26" s="209"/>
      <c r="EN26" s="210"/>
      <c r="EO26" s="210"/>
      <c r="EP26" s="330"/>
      <c r="EQ26" s="209"/>
      <c r="ER26" s="210"/>
      <c r="ES26" s="210"/>
      <c r="ET26" s="330"/>
      <c r="EU26" s="209"/>
      <c r="EV26" s="210"/>
      <c r="EW26" s="210"/>
      <c r="EX26" s="330"/>
      <c r="EY26" s="209">
        <v>43.9</v>
      </c>
      <c r="EZ26" s="210">
        <v>2.0299999999999998</v>
      </c>
      <c r="FA26" s="210">
        <v>42.11</v>
      </c>
      <c r="FB26" s="330">
        <v>45.6</v>
      </c>
      <c r="FC26" s="210">
        <v>80.41</v>
      </c>
      <c r="FD26" s="210">
        <v>0.63</v>
      </c>
      <c r="FE26" s="210">
        <v>19.59</v>
      </c>
      <c r="FF26" s="210">
        <v>2.59</v>
      </c>
      <c r="FG26" s="209"/>
      <c r="FH26" s="210"/>
      <c r="FI26" s="210"/>
      <c r="FJ26" s="330"/>
      <c r="FK26" s="209"/>
      <c r="FL26" s="210"/>
      <c r="FM26" s="210"/>
      <c r="FN26" s="330"/>
      <c r="FO26" s="209"/>
      <c r="FP26" s="210"/>
      <c r="FQ26" s="210"/>
      <c r="FR26" s="330"/>
      <c r="FS26" s="209">
        <v>44.6</v>
      </c>
      <c r="FT26" s="210">
        <v>3.36</v>
      </c>
      <c r="FU26" s="210">
        <v>41.67</v>
      </c>
      <c r="FV26" s="330">
        <v>47.54</v>
      </c>
      <c r="FW26" s="210">
        <v>81.36</v>
      </c>
      <c r="FX26" s="210">
        <v>1.36</v>
      </c>
      <c r="FY26" s="210">
        <v>18.64</v>
      </c>
      <c r="FZ26" s="210">
        <v>5.95</v>
      </c>
      <c r="GA26" s="209"/>
      <c r="GB26" s="210"/>
      <c r="GC26" s="210"/>
      <c r="GD26" s="330"/>
      <c r="GE26" s="209"/>
      <c r="GF26" s="210"/>
      <c r="GG26" s="210"/>
      <c r="GH26" s="330"/>
      <c r="GI26" s="209"/>
      <c r="GJ26" s="210"/>
      <c r="GK26" s="210"/>
      <c r="GL26" s="330"/>
      <c r="GM26" s="209">
        <v>33.5</v>
      </c>
      <c r="GN26" s="210">
        <v>5.87</v>
      </c>
      <c r="GO26" s="210">
        <v>29.61</v>
      </c>
      <c r="GP26" s="330">
        <v>37.299999999999997</v>
      </c>
      <c r="GQ26" s="210">
        <v>93.68</v>
      </c>
      <c r="GR26" s="210">
        <v>0.33</v>
      </c>
      <c r="GS26" s="210">
        <v>6.32</v>
      </c>
      <c r="GT26" s="210">
        <v>4.9000000000000004</v>
      </c>
      <c r="GU26" s="209"/>
      <c r="GV26" s="210"/>
      <c r="GW26" s="210"/>
      <c r="GX26" s="330"/>
      <c r="GY26" s="209"/>
      <c r="GZ26" s="210"/>
      <c r="HA26" s="210"/>
      <c r="HB26" s="330"/>
      <c r="HC26" s="209"/>
      <c r="HD26" s="210"/>
      <c r="HE26" s="210"/>
      <c r="HF26" s="330"/>
      <c r="HG26" s="209">
        <v>32.5</v>
      </c>
      <c r="HH26" s="210">
        <v>3.57</v>
      </c>
      <c r="HI26" s="210">
        <v>30.19</v>
      </c>
      <c r="HJ26" s="330">
        <v>34.74</v>
      </c>
      <c r="HK26" s="210">
        <v>95.32</v>
      </c>
      <c r="HL26" s="210">
        <v>0.63</v>
      </c>
      <c r="HM26" s="210">
        <v>4.68</v>
      </c>
      <c r="HN26" s="210">
        <v>12.83</v>
      </c>
      <c r="HO26" s="209"/>
      <c r="HP26" s="210"/>
      <c r="HQ26" s="210"/>
      <c r="HR26" s="330"/>
      <c r="HS26" s="209"/>
      <c r="HT26" s="210"/>
      <c r="HU26" s="210"/>
      <c r="HV26" s="330"/>
      <c r="HW26" s="209"/>
      <c r="HX26" s="210"/>
      <c r="HY26" s="210"/>
      <c r="HZ26" s="330"/>
      <c r="IA26" s="209">
        <v>52.6</v>
      </c>
      <c r="IB26" s="210">
        <v>2.98</v>
      </c>
      <c r="IC26" s="210">
        <v>49.52</v>
      </c>
      <c r="ID26" s="330">
        <v>55.66</v>
      </c>
      <c r="IE26" s="209">
        <v>96.16</v>
      </c>
      <c r="IF26" s="210">
        <v>0.23</v>
      </c>
      <c r="IG26" s="210">
        <v>3.84</v>
      </c>
      <c r="IH26" s="330">
        <v>5.81</v>
      </c>
    </row>
    <row r="27" spans="1:242" s="27" customFormat="1" ht="15.75" customHeight="1" x14ac:dyDescent="0.2">
      <c r="A27" s="16"/>
      <c r="B27" s="20" t="s">
        <v>11</v>
      </c>
      <c r="C27" s="207"/>
      <c r="D27" s="208"/>
      <c r="E27" s="208"/>
      <c r="F27" s="329"/>
      <c r="G27" s="207"/>
      <c r="H27" s="208"/>
      <c r="I27" s="208"/>
      <c r="J27" s="329"/>
      <c r="K27" s="207"/>
      <c r="L27" s="208"/>
      <c r="M27" s="208"/>
      <c r="N27" s="329"/>
      <c r="O27" s="207">
        <v>60.8</v>
      </c>
      <c r="P27" s="208">
        <v>1.94</v>
      </c>
      <c r="Q27" s="208">
        <v>58.51</v>
      </c>
      <c r="R27" s="329">
        <v>63.14</v>
      </c>
      <c r="S27" s="208">
        <v>48.54</v>
      </c>
      <c r="T27" s="208">
        <v>3.14</v>
      </c>
      <c r="U27" s="208">
        <v>51.46</v>
      </c>
      <c r="V27" s="208">
        <v>2.96</v>
      </c>
      <c r="W27" s="207"/>
      <c r="X27" s="208"/>
      <c r="Y27" s="208"/>
      <c r="Z27" s="329"/>
      <c r="AA27" s="207"/>
      <c r="AB27" s="208"/>
      <c r="AC27" s="208"/>
      <c r="AD27" s="329"/>
      <c r="AE27" s="207"/>
      <c r="AF27" s="208"/>
      <c r="AG27" s="208"/>
      <c r="AH27" s="329"/>
      <c r="AI27" s="207">
        <v>55.6</v>
      </c>
      <c r="AJ27" s="208">
        <v>1.55</v>
      </c>
      <c r="AK27" s="208">
        <v>53.86</v>
      </c>
      <c r="AL27" s="329">
        <v>57.24</v>
      </c>
      <c r="AM27" s="208">
        <v>54.11</v>
      </c>
      <c r="AN27" s="208">
        <v>4.05</v>
      </c>
      <c r="AO27" s="208">
        <v>45.89</v>
      </c>
      <c r="AP27" s="208">
        <v>4.7699999999999996</v>
      </c>
      <c r="AQ27" s="207"/>
      <c r="AR27" s="208"/>
      <c r="AS27" s="208"/>
      <c r="AT27" s="329"/>
      <c r="AU27" s="207"/>
      <c r="AV27" s="208"/>
      <c r="AW27" s="208"/>
      <c r="AX27" s="329"/>
      <c r="AY27" s="207"/>
      <c r="AZ27" s="208"/>
      <c r="BA27" s="208"/>
      <c r="BB27" s="329"/>
      <c r="BC27" s="207">
        <v>37.1</v>
      </c>
      <c r="BD27" s="208">
        <v>3.38</v>
      </c>
      <c r="BE27" s="208">
        <v>34.65</v>
      </c>
      <c r="BF27" s="329">
        <v>39.56</v>
      </c>
      <c r="BG27" s="208">
        <v>95.94</v>
      </c>
      <c r="BH27" s="208">
        <v>0.54</v>
      </c>
      <c r="BI27" s="208">
        <v>4.0599999999999996</v>
      </c>
      <c r="BJ27" s="208">
        <v>12.81</v>
      </c>
      <c r="BK27" s="207"/>
      <c r="BL27" s="208"/>
      <c r="BM27" s="208"/>
      <c r="BN27" s="329"/>
      <c r="BO27" s="207"/>
      <c r="BP27" s="208"/>
      <c r="BQ27" s="208"/>
      <c r="BR27" s="329"/>
      <c r="BS27" s="207"/>
      <c r="BT27" s="208"/>
      <c r="BU27" s="208"/>
      <c r="BV27" s="329"/>
      <c r="BW27" s="207">
        <v>47.3</v>
      </c>
      <c r="BX27" s="208">
        <v>1.97</v>
      </c>
      <c r="BY27" s="208">
        <v>45.51</v>
      </c>
      <c r="BZ27" s="329">
        <v>49.16</v>
      </c>
      <c r="CA27" s="208">
        <v>79.040000000000006</v>
      </c>
      <c r="CB27" s="208">
        <v>1.45</v>
      </c>
      <c r="CC27" s="208">
        <v>20.96</v>
      </c>
      <c r="CD27" s="208">
        <v>5.47</v>
      </c>
      <c r="CE27" s="207"/>
      <c r="CF27" s="208"/>
      <c r="CG27" s="208"/>
      <c r="CH27" s="329"/>
      <c r="CI27" s="207"/>
      <c r="CJ27" s="208"/>
      <c r="CK27" s="208"/>
      <c r="CL27" s="329"/>
      <c r="CM27" s="207"/>
      <c r="CN27" s="208"/>
      <c r="CO27" s="208"/>
      <c r="CP27" s="329"/>
      <c r="CQ27" s="207">
        <v>44</v>
      </c>
      <c r="CR27" s="208">
        <v>2.62</v>
      </c>
      <c r="CS27" s="208">
        <v>41.72</v>
      </c>
      <c r="CT27" s="329">
        <v>46.24</v>
      </c>
      <c r="CU27" s="208">
        <v>90.26</v>
      </c>
      <c r="CV27" s="208">
        <v>1.1399999999999999</v>
      </c>
      <c r="CW27" s="208">
        <v>9.74</v>
      </c>
      <c r="CX27" s="208">
        <v>10.54</v>
      </c>
      <c r="CY27" s="207"/>
      <c r="CZ27" s="208"/>
      <c r="DA27" s="208"/>
      <c r="DB27" s="329"/>
      <c r="DC27" s="207"/>
      <c r="DD27" s="208"/>
      <c r="DE27" s="208"/>
      <c r="DF27" s="329"/>
      <c r="DG27" s="207"/>
      <c r="DH27" s="208"/>
      <c r="DI27" s="208"/>
      <c r="DJ27" s="329"/>
      <c r="DK27" s="207">
        <v>47.1</v>
      </c>
      <c r="DL27" s="208">
        <v>2.61</v>
      </c>
      <c r="DM27" s="208">
        <v>44.72</v>
      </c>
      <c r="DN27" s="329">
        <v>49.54</v>
      </c>
      <c r="DO27" s="208">
        <v>69.78</v>
      </c>
      <c r="DP27" s="208">
        <v>2.8</v>
      </c>
      <c r="DQ27" s="208">
        <v>30.22</v>
      </c>
      <c r="DR27" s="208">
        <v>6.46</v>
      </c>
      <c r="DS27" s="207"/>
      <c r="DT27" s="208"/>
      <c r="DU27" s="208"/>
      <c r="DV27" s="329"/>
      <c r="DW27" s="207"/>
      <c r="DX27" s="208"/>
      <c r="DY27" s="208"/>
      <c r="DZ27" s="329"/>
      <c r="EA27" s="207"/>
      <c r="EB27" s="208"/>
      <c r="EC27" s="208"/>
      <c r="ED27" s="329"/>
      <c r="EE27" s="207">
        <v>74.400000000000006</v>
      </c>
      <c r="EF27" s="208">
        <v>1.27</v>
      </c>
      <c r="EG27" s="208">
        <v>72.569999999999993</v>
      </c>
      <c r="EH27" s="329">
        <v>76.27</v>
      </c>
      <c r="EI27" s="208">
        <v>67.959999999999994</v>
      </c>
      <c r="EJ27" s="208">
        <v>0.71</v>
      </c>
      <c r="EK27" s="208">
        <v>32.04</v>
      </c>
      <c r="EL27" s="208">
        <v>1.5</v>
      </c>
      <c r="EM27" s="207"/>
      <c r="EN27" s="208"/>
      <c r="EO27" s="208"/>
      <c r="EP27" s="329"/>
      <c r="EQ27" s="207"/>
      <c r="ER27" s="208"/>
      <c r="ES27" s="208"/>
      <c r="ET27" s="329"/>
      <c r="EU27" s="207"/>
      <c r="EV27" s="208"/>
      <c r="EW27" s="208"/>
      <c r="EX27" s="329"/>
      <c r="EY27" s="207">
        <v>43</v>
      </c>
      <c r="EZ27" s="208">
        <v>2.11</v>
      </c>
      <c r="FA27" s="208">
        <v>41.19</v>
      </c>
      <c r="FB27" s="329">
        <v>44.74</v>
      </c>
      <c r="FC27" s="208">
        <v>81.569999999999993</v>
      </c>
      <c r="FD27" s="208">
        <v>0.79</v>
      </c>
      <c r="FE27" s="208">
        <v>18.43</v>
      </c>
      <c r="FF27" s="208">
        <v>3.51</v>
      </c>
      <c r="FG27" s="207"/>
      <c r="FH27" s="208"/>
      <c r="FI27" s="208"/>
      <c r="FJ27" s="329"/>
      <c r="FK27" s="207"/>
      <c r="FL27" s="208"/>
      <c r="FM27" s="208"/>
      <c r="FN27" s="329"/>
      <c r="FO27" s="207"/>
      <c r="FP27" s="208"/>
      <c r="FQ27" s="208"/>
      <c r="FR27" s="329"/>
      <c r="FS27" s="207">
        <v>44.7</v>
      </c>
      <c r="FT27" s="208">
        <v>3.13</v>
      </c>
      <c r="FU27" s="208">
        <v>41.98</v>
      </c>
      <c r="FV27" s="329">
        <v>47.48</v>
      </c>
      <c r="FW27" s="208">
        <v>81.680000000000007</v>
      </c>
      <c r="FX27" s="208">
        <v>1.6</v>
      </c>
      <c r="FY27" s="208">
        <v>18.32</v>
      </c>
      <c r="FZ27" s="208">
        <v>7.12</v>
      </c>
      <c r="GA27" s="207"/>
      <c r="GB27" s="208"/>
      <c r="GC27" s="208"/>
      <c r="GD27" s="329"/>
      <c r="GE27" s="207"/>
      <c r="GF27" s="208"/>
      <c r="GG27" s="208"/>
      <c r="GH27" s="329"/>
      <c r="GI27" s="207"/>
      <c r="GJ27" s="208"/>
      <c r="GK27" s="208"/>
      <c r="GL27" s="329"/>
      <c r="GM27" s="207">
        <v>35.5</v>
      </c>
      <c r="GN27" s="208">
        <v>5.57</v>
      </c>
      <c r="GO27" s="208">
        <v>31.6</v>
      </c>
      <c r="GP27" s="329">
        <v>39.35</v>
      </c>
      <c r="GQ27" s="208">
        <v>96.5</v>
      </c>
      <c r="GR27" s="208">
        <v>0.17</v>
      </c>
      <c r="GS27" s="208">
        <v>3.5</v>
      </c>
      <c r="GT27" s="208">
        <v>4.75</v>
      </c>
      <c r="GU27" s="207"/>
      <c r="GV27" s="208"/>
      <c r="GW27" s="208"/>
      <c r="GX27" s="329"/>
      <c r="GY27" s="207"/>
      <c r="GZ27" s="208"/>
      <c r="HA27" s="208"/>
      <c r="HB27" s="329"/>
      <c r="HC27" s="207"/>
      <c r="HD27" s="208"/>
      <c r="HE27" s="208"/>
      <c r="HF27" s="329"/>
      <c r="HG27" s="207">
        <v>36.700000000000003</v>
      </c>
      <c r="HH27" s="208">
        <v>3.3</v>
      </c>
      <c r="HI27" s="208">
        <v>34.28</v>
      </c>
      <c r="HJ27" s="329">
        <v>39.020000000000003</v>
      </c>
      <c r="HK27" s="208">
        <v>93.53</v>
      </c>
      <c r="HL27" s="208">
        <v>1.05</v>
      </c>
      <c r="HM27" s="208">
        <v>6.47</v>
      </c>
      <c r="HN27" s="208">
        <v>15.11</v>
      </c>
      <c r="HO27" s="207"/>
      <c r="HP27" s="208"/>
      <c r="HQ27" s="208"/>
      <c r="HR27" s="329"/>
      <c r="HS27" s="207"/>
      <c r="HT27" s="208"/>
      <c r="HU27" s="208"/>
      <c r="HV27" s="329"/>
      <c r="HW27" s="207"/>
      <c r="HX27" s="208"/>
      <c r="HY27" s="208"/>
      <c r="HZ27" s="329"/>
      <c r="IA27" s="207">
        <v>54.9</v>
      </c>
      <c r="IB27" s="208">
        <v>2.85</v>
      </c>
      <c r="IC27" s="208">
        <v>51.8</v>
      </c>
      <c r="ID27" s="329">
        <v>57.92</v>
      </c>
      <c r="IE27" s="207">
        <v>95.41</v>
      </c>
      <c r="IF27" s="208">
        <v>0.38</v>
      </c>
      <c r="IG27" s="208">
        <v>4.59</v>
      </c>
      <c r="IH27" s="329">
        <v>7.81</v>
      </c>
    </row>
    <row r="28" spans="1:242" s="27" customFormat="1" ht="15.75" customHeight="1" x14ac:dyDescent="0.2">
      <c r="A28" s="16"/>
      <c r="B28" s="64" t="s">
        <v>12</v>
      </c>
      <c r="C28" s="209"/>
      <c r="D28" s="210"/>
      <c r="E28" s="210"/>
      <c r="F28" s="330"/>
      <c r="G28" s="209"/>
      <c r="H28" s="210"/>
      <c r="I28" s="210"/>
      <c r="J28" s="330"/>
      <c r="K28" s="209"/>
      <c r="L28" s="210"/>
      <c r="M28" s="210"/>
      <c r="N28" s="330"/>
      <c r="O28" s="209">
        <v>64.900000000000006</v>
      </c>
      <c r="P28" s="210">
        <v>1.64</v>
      </c>
      <c r="Q28" s="210">
        <v>62.8</v>
      </c>
      <c r="R28" s="330">
        <v>66.97</v>
      </c>
      <c r="S28" s="210">
        <v>48.53</v>
      </c>
      <c r="T28" s="210">
        <v>3.05</v>
      </c>
      <c r="U28" s="210">
        <v>51.47</v>
      </c>
      <c r="V28" s="210">
        <v>2.88</v>
      </c>
      <c r="W28" s="209"/>
      <c r="X28" s="210"/>
      <c r="Y28" s="210"/>
      <c r="Z28" s="330"/>
      <c r="AA28" s="209"/>
      <c r="AB28" s="210"/>
      <c r="AC28" s="210"/>
      <c r="AD28" s="330"/>
      <c r="AE28" s="209"/>
      <c r="AF28" s="210"/>
      <c r="AG28" s="210"/>
      <c r="AH28" s="330"/>
      <c r="AI28" s="209">
        <v>66.5</v>
      </c>
      <c r="AJ28" s="210">
        <v>1.34</v>
      </c>
      <c r="AK28" s="210">
        <v>64.78</v>
      </c>
      <c r="AL28" s="330">
        <v>68.27</v>
      </c>
      <c r="AM28" s="210">
        <v>57.06</v>
      </c>
      <c r="AN28" s="210">
        <v>3.66</v>
      </c>
      <c r="AO28" s="210">
        <v>42.94</v>
      </c>
      <c r="AP28" s="210">
        <v>4.8600000000000003</v>
      </c>
      <c r="AQ28" s="209"/>
      <c r="AR28" s="210"/>
      <c r="AS28" s="210"/>
      <c r="AT28" s="330"/>
      <c r="AU28" s="209"/>
      <c r="AV28" s="210"/>
      <c r="AW28" s="210"/>
      <c r="AX28" s="330"/>
      <c r="AY28" s="209"/>
      <c r="AZ28" s="210"/>
      <c r="BA28" s="210"/>
      <c r="BB28" s="330"/>
      <c r="BC28" s="209">
        <v>37.6</v>
      </c>
      <c r="BD28" s="210">
        <v>2.91</v>
      </c>
      <c r="BE28" s="210">
        <v>35.46</v>
      </c>
      <c r="BF28" s="330">
        <v>39.74</v>
      </c>
      <c r="BG28" s="210">
        <v>94.84</v>
      </c>
      <c r="BH28" s="210">
        <v>0.62</v>
      </c>
      <c r="BI28" s="210">
        <v>5.16</v>
      </c>
      <c r="BJ28" s="210">
        <v>11.44</v>
      </c>
      <c r="BK28" s="209"/>
      <c r="BL28" s="210"/>
      <c r="BM28" s="210"/>
      <c r="BN28" s="330"/>
      <c r="BO28" s="209"/>
      <c r="BP28" s="210"/>
      <c r="BQ28" s="210"/>
      <c r="BR28" s="330"/>
      <c r="BS28" s="209"/>
      <c r="BT28" s="210"/>
      <c r="BU28" s="210"/>
      <c r="BV28" s="330"/>
      <c r="BW28" s="209">
        <v>53.1</v>
      </c>
      <c r="BX28" s="210">
        <v>1.96</v>
      </c>
      <c r="BY28" s="210">
        <v>51.08</v>
      </c>
      <c r="BZ28" s="330">
        <v>55.17</v>
      </c>
      <c r="CA28" s="210">
        <v>79.53</v>
      </c>
      <c r="CB28" s="210">
        <v>1.29</v>
      </c>
      <c r="CC28" s="210">
        <v>20.47</v>
      </c>
      <c r="CD28" s="210">
        <v>4.99</v>
      </c>
      <c r="CE28" s="209"/>
      <c r="CF28" s="210"/>
      <c r="CG28" s="210"/>
      <c r="CH28" s="330"/>
      <c r="CI28" s="209"/>
      <c r="CJ28" s="210"/>
      <c r="CK28" s="210"/>
      <c r="CL28" s="330"/>
      <c r="CM28" s="209"/>
      <c r="CN28" s="210"/>
      <c r="CO28" s="210"/>
      <c r="CP28" s="330"/>
      <c r="CQ28" s="209">
        <v>44.4</v>
      </c>
      <c r="CR28" s="210">
        <v>2.75</v>
      </c>
      <c r="CS28" s="210">
        <v>42.01</v>
      </c>
      <c r="CT28" s="330">
        <v>46.8</v>
      </c>
      <c r="CU28" s="210">
        <v>87.55</v>
      </c>
      <c r="CV28" s="210">
        <v>1.53</v>
      </c>
      <c r="CW28" s="210">
        <v>12.45</v>
      </c>
      <c r="CX28" s="210">
        <v>10.74</v>
      </c>
      <c r="CY28" s="209"/>
      <c r="CZ28" s="210"/>
      <c r="DA28" s="210"/>
      <c r="DB28" s="330"/>
      <c r="DC28" s="209"/>
      <c r="DD28" s="210"/>
      <c r="DE28" s="210"/>
      <c r="DF28" s="330"/>
      <c r="DG28" s="209"/>
      <c r="DH28" s="210"/>
      <c r="DI28" s="210"/>
      <c r="DJ28" s="330"/>
      <c r="DK28" s="209">
        <v>50.8</v>
      </c>
      <c r="DL28" s="210">
        <v>2.5</v>
      </c>
      <c r="DM28" s="210">
        <v>48.31</v>
      </c>
      <c r="DN28" s="330">
        <v>53.29</v>
      </c>
      <c r="DO28" s="210">
        <v>68.739999999999995</v>
      </c>
      <c r="DP28" s="210">
        <v>3.13</v>
      </c>
      <c r="DQ28" s="210">
        <v>31.26</v>
      </c>
      <c r="DR28" s="210">
        <v>6.88</v>
      </c>
      <c r="DS28" s="209"/>
      <c r="DT28" s="210"/>
      <c r="DU28" s="210"/>
      <c r="DV28" s="330"/>
      <c r="DW28" s="209"/>
      <c r="DX28" s="210"/>
      <c r="DY28" s="210"/>
      <c r="DZ28" s="330"/>
      <c r="EA28" s="209"/>
      <c r="EB28" s="210"/>
      <c r="EC28" s="210"/>
      <c r="ED28" s="330"/>
      <c r="EE28" s="209">
        <v>75.599999999999994</v>
      </c>
      <c r="EF28" s="210">
        <v>1.32</v>
      </c>
      <c r="EG28" s="210">
        <v>73.63</v>
      </c>
      <c r="EH28" s="330">
        <v>77.55</v>
      </c>
      <c r="EI28" s="210">
        <v>71.37</v>
      </c>
      <c r="EJ28" s="210">
        <v>0.56999999999999995</v>
      </c>
      <c r="EK28" s="210">
        <v>28.63</v>
      </c>
      <c r="EL28" s="210">
        <v>1.41</v>
      </c>
      <c r="EM28" s="209"/>
      <c r="EN28" s="210"/>
      <c r="EO28" s="210"/>
      <c r="EP28" s="330"/>
      <c r="EQ28" s="209"/>
      <c r="ER28" s="210"/>
      <c r="ES28" s="210"/>
      <c r="ET28" s="330"/>
      <c r="EU28" s="209"/>
      <c r="EV28" s="210"/>
      <c r="EW28" s="210"/>
      <c r="EX28" s="330"/>
      <c r="EY28" s="209">
        <v>43.8</v>
      </c>
      <c r="EZ28" s="210">
        <v>2.06</v>
      </c>
      <c r="FA28" s="210">
        <v>42</v>
      </c>
      <c r="FB28" s="330">
        <v>45.53</v>
      </c>
      <c r="FC28" s="210">
        <v>82.18</v>
      </c>
      <c r="FD28" s="210">
        <v>0.78</v>
      </c>
      <c r="FE28" s="210">
        <v>17.82</v>
      </c>
      <c r="FF28" s="210">
        <v>3.62</v>
      </c>
      <c r="FG28" s="209"/>
      <c r="FH28" s="210"/>
      <c r="FI28" s="210"/>
      <c r="FJ28" s="330"/>
      <c r="FK28" s="209"/>
      <c r="FL28" s="210"/>
      <c r="FM28" s="210"/>
      <c r="FN28" s="330"/>
      <c r="FO28" s="209"/>
      <c r="FP28" s="210"/>
      <c r="FQ28" s="210"/>
      <c r="FR28" s="330"/>
      <c r="FS28" s="209">
        <v>45.7</v>
      </c>
      <c r="FT28" s="210">
        <v>3.03</v>
      </c>
      <c r="FU28" s="210">
        <v>43</v>
      </c>
      <c r="FV28" s="330">
        <v>48.42</v>
      </c>
      <c r="FW28" s="210">
        <v>81.209999999999994</v>
      </c>
      <c r="FX28" s="210">
        <v>1.73</v>
      </c>
      <c r="FY28" s="210">
        <v>18.79</v>
      </c>
      <c r="FZ28" s="210">
        <v>7.45</v>
      </c>
      <c r="GA28" s="209"/>
      <c r="GB28" s="210"/>
      <c r="GC28" s="210"/>
      <c r="GD28" s="330"/>
      <c r="GE28" s="209"/>
      <c r="GF28" s="210"/>
      <c r="GG28" s="210"/>
      <c r="GH28" s="330"/>
      <c r="GI28" s="209"/>
      <c r="GJ28" s="210"/>
      <c r="GK28" s="210"/>
      <c r="GL28" s="330"/>
      <c r="GM28" s="209">
        <v>37</v>
      </c>
      <c r="GN28" s="210">
        <v>5.01</v>
      </c>
      <c r="GO28" s="210">
        <v>33.35</v>
      </c>
      <c r="GP28" s="330">
        <v>40.6</v>
      </c>
      <c r="GQ28" s="210">
        <v>96.29</v>
      </c>
      <c r="GR28" s="210">
        <v>0.19</v>
      </c>
      <c r="GS28" s="210">
        <v>3.71</v>
      </c>
      <c r="GT28" s="210">
        <v>4.8</v>
      </c>
      <c r="GU28" s="209"/>
      <c r="GV28" s="210"/>
      <c r="GW28" s="210"/>
      <c r="GX28" s="330"/>
      <c r="GY28" s="209"/>
      <c r="GZ28" s="210"/>
      <c r="HA28" s="210"/>
      <c r="HB28" s="330"/>
      <c r="HC28" s="209"/>
      <c r="HD28" s="210"/>
      <c r="HE28" s="210"/>
      <c r="HF28" s="330"/>
      <c r="HG28" s="209">
        <v>34.299999999999997</v>
      </c>
      <c r="HH28" s="210">
        <v>3.6</v>
      </c>
      <c r="HI28" s="210">
        <v>31.91</v>
      </c>
      <c r="HJ28" s="330">
        <v>36.76</v>
      </c>
      <c r="HK28" s="210">
        <v>94.09</v>
      </c>
      <c r="HL28" s="210">
        <v>0.83</v>
      </c>
      <c r="HM28" s="210">
        <v>5.91</v>
      </c>
      <c r="HN28" s="210">
        <v>13.19</v>
      </c>
      <c r="HO28" s="209"/>
      <c r="HP28" s="210"/>
      <c r="HQ28" s="210"/>
      <c r="HR28" s="330"/>
      <c r="HS28" s="209"/>
      <c r="HT28" s="210"/>
      <c r="HU28" s="210"/>
      <c r="HV28" s="330"/>
      <c r="HW28" s="209"/>
      <c r="HX28" s="210"/>
      <c r="HY28" s="210"/>
      <c r="HZ28" s="330"/>
      <c r="IA28" s="209">
        <v>57.8</v>
      </c>
      <c r="IB28" s="210">
        <v>2.91</v>
      </c>
      <c r="IC28" s="210">
        <v>54.49</v>
      </c>
      <c r="ID28" s="330">
        <v>61.08</v>
      </c>
      <c r="IE28" s="209">
        <v>93.9</v>
      </c>
      <c r="IF28" s="210">
        <v>0.51</v>
      </c>
      <c r="IG28" s="210">
        <v>6.1</v>
      </c>
      <c r="IH28" s="330">
        <v>7.83</v>
      </c>
    </row>
    <row r="29" spans="1:242" s="27" customFormat="1" ht="15.75" customHeight="1" x14ac:dyDescent="0.2">
      <c r="A29" s="16"/>
      <c r="B29" s="20" t="s">
        <v>13</v>
      </c>
      <c r="C29" s="207"/>
      <c r="D29" s="208"/>
      <c r="E29" s="208"/>
      <c r="F29" s="329"/>
      <c r="G29" s="207"/>
      <c r="H29" s="208"/>
      <c r="I29" s="208"/>
      <c r="J29" s="329"/>
      <c r="K29" s="207"/>
      <c r="L29" s="208"/>
      <c r="M29" s="208"/>
      <c r="N29" s="329"/>
      <c r="O29" s="207">
        <v>48.8</v>
      </c>
      <c r="P29" s="208">
        <v>1.78</v>
      </c>
      <c r="Q29" s="208">
        <v>47.13</v>
      </c>
      <c r="R29" s="329">
        <v>50.54</v>
      </c>
      <c r="S29" s="208">
        <v>48.58</v>
      </c>
      <c r="T29" s="208">
        <v>3.96</v>
      </c>
      <c r="U29" s="208">
        <v>51.42</v>
      </c>
      <c r="V29" s="208">
        <v>3.74</v>
      </c>
      <c r="W29" s="207"/>
      <c r="X29" s="208"/>
      <c r="Y29" s="208"/>
      <c r="Z29" s="329"/>
      <c r="AA29" s="207"/>
      <c r="AB29" s="208"/>
      <c r="AC29" s="208"/>
      <c r="AD29" s="329"/>
      <c r="AE29" s="207"/>
      <c r="AF29" s="208"/>
      <c r="AG29" s="208"/>
      <c r="AH29" s="329"/>
      <c r="AI29" s="207">
        <v>65.400000000000006</v>
      </c>
      <c r="AJ29" s="208">
        <v>1.35</v>
      </c>
      <c r="AK29" s="208">
        <v>63.7</v>
      </c>
      <c r="AL29" s="329">
        <v>67.16</v>
      </c>
      <c r="AM29" s="208">
        <v>55.45</v>
      </c>
      <c r="AN29" s="208">
        <v>3.05</v>
      </c>
      <c r="AO29" s="208">
        <v>44.55</v>
      </c>
      <c r="AP29" s="208">
        <v>3.8</v>
      </c>
      <c r="AQ29" s="207"/>
      <c r="AR29" s="208"/>
      <c r="AS29" s="208"/>
      <c r="AT29" s="329"/>
      <c r="AU29" s="207"/>
      <c r="AV29" s="208"/>
      <c r="AW29" s="208"/>
      <c r="AX29" s="329"/>
      <c r="AY29" s="207"/>
      <c r="AZ29" s="208"/>
      <c r="BA29" s="208"/>
      <c r="BB29" s="329"/>
      <c r="BC29" s="207">
        <v>39.1</v>
      </c>
      <c r="BD29" s="208">
        <v>3.18</v>
      </c>
      <c r="BE29" s="208">
        <v>36.68</v>
      </c>
      <c r="BF29" s="329">
        <v>41.55</v>
      </c>
      <c r="BG29" s="208">
        <v>95.67</v>
      </c>
      <c r="BH29" s="208">
        <v>0.54</v>
      </c>
      <c r="BI29" s="208">
        <v>4.33</v>
      </c>
      <c r="BJ29" s="208">
        <v>11.92</v>
      </c>
      <c r="BK29" s="207"/>
      <c r="BL29" s="208"/>
      <c r="BM29" s="208"/>
      <c r="BN29" s="329"/>
      <c r="BO29" s="207"/>
      <c r="BP29" s="208"/>
      <c r="BQ29" s="208"/>
      <c r="BR29" s="329"/>
      <c r="BS29" s="207"/>
      <c r="BT29" s="208"/>
      <c r="BU29" s="208"/>
      <c r="BV29" s="329"/>
      <c r="BW29" s="207">
        <v>53.4</v>
      </c>
      <c r="BX29" s="208">
        <v>1.99</v>
      </c>
      <c r="BY29" s="208">
        <v>51.36</v>
      </c>
      <c r="BZ29" s="329">
        <v>55.53</v>
      </c>
      <c r="CA29" s="208">
        <v>79.239999999999995</v>
      </c>
      <c r="CB29" s="208">
        <v>1.61</v>
      </c>
      <c r="CC29" s="208">
        <v>20.76</v>
      </c>
      <c r="CD29" s="208">
        <v>6.15</v>
      </c>
      <c r="CE29" s="207"/>
      <c r="CF29" s="208"/>
      <c r="CG29" s="208"/>
      <c r="CH29" s="329"/>
      <c r="CI29" s="207"/>
      <c r="CJ29" s="208"/>
      <c r="CK29" s="208"/>
      <c r="CL29" s="329"/>
      <c r="CM29" s="207"/>
      <c r="CN29" s="208"/>
      <c r="CO29" s="208"/>
      <c r="CP29" s="329"/>
      <c r="CQ29" s="207">
        <v>44.3</v>
      </c>
      <c r="CR29" s="208">
        <v>3.33</v>
      </c>
      <c r="CS29" s="208">
        <v>41.43</v>
      </c>
      <c r="CT29" s="329">
        <v>47.21</v>
      </c>
      <c r="CU29" s="208">
        <v>87.87</v>
      </c>
      <c r="CV29" s="208">
        <v>0.92</v>
      </c>
      <c r="CW29" s="208">
        <v>12.13</v>
      </c>
      <c r="CX29" s="208">
        <v>6.68</v>
      </c>
      <c r="CY29" s="207"/>
      <c r="CZ29" s="208"/>
      <c r="DA29" s="208"/>
      <c r="DB29" s="329"/>
      <c r="DC29" s="207"/>
      <c r="DD29" s="208"/>
      <c r="DE29" s="208"/>
      <c r="DF29" s="329"/>
      <c r="DG29" s="207"/>
      <c r="DH29" s="208"/>
      <c r="DI29" s="208"/>
      <c r="DJ29" s="329"/>
      <c r="DK29" s="207">
        <v>52.8</v>
      </c>
      <c r="DL29" s="208">
        <v>2.4700000000000002</v>
      </c>
      <c r="DM29" s="208">
        <v>50.29</v>
      </c>
      <c r="DN29" s="329">
        <v>55.41</v>
      </c>
      <c r="DO29" s="208">
        <v>74.98</v>
      </c>
      <c r="DP29" s="208">
        <v>2.85</v>
      </c>
      <c r="DQ29" s="208">
        <v>25.02</v>
      </c>
      <c r="DR29" s="208">
        <v>8.5500000000000007</v>
      </c>
      <c r="DS29" s="207"/>
      <c r="DT29" s="208"/>
      <c r="DU29" s="208"/>
      <c r="DV29" s="329"/>
      <c r="DW29" s="207"/>
      <c r="DX29" s="208"/>
      <c r="DY29" s="208"/>
      <c r="DZ29" s="329"/>
      <c r="EA29" s="207"/>
      <c r="EB29" s="208"/>
      <c r="EC29" s="208"/>
      <c r="ED29" s="329"/>
      <c r="EE29" s="207">
        <v>74.099999999999994</v>
      </c>
      <c r="EF29" s="208">
        <v>1.34</v>
      </c>
      <c r="EG29" s="208">
        <v>72.150000000000006</v>
      </c>
      <c r="EH29" s="329">
        <v>76.03</v>
      </c>
      <c r="EI29" s="208">
        <v>71.44</v>
      </c>
      <c r="EJ29" s="208">
        <v>0.53</v>
      </c>
      <c r="EK29" s="208">
        <v>28.56</v>
      </c>
      <c r="EL29" s="208">
        <v>1.33</v>
      </c>
      <c r="EM29" s="207"/>
      <c r="EN29" s="208"/>
      <c r="EO29" s="208"/>
      <c r="EP29" s="329"/>
      <c r="EQ29" s="207"/>
      <c r="ER29" s="208"/>
      <c r="ES29" s="208"/>
      <c r="ET29" s="329"/>
      <c r="EU29" s="207"/>
      <c r="EV29" s="208"/>
      <c r="EW29" s="208"/>
      <c r="EX29" s="329"/>
      <c r="EY29" s="207">
        <v>40.299999999999997</v>
      </c>
      <c r="EZ29" s="208">
        <v>2.27</v>
      </c>
      <c r="FA29" s="208">
        <v>38.47</v>
      </c>
      <c r="FB29" s="329">
        <v>42.05</v>
      </c>
      <c r="FC29" s="208">
        <v>78.790000000000006</v>
      </c>
      <c r="FD29" s="208">
        <v>0.97</v>
      </c>
      <c r="FE29" s="208">
        <v>21.21</v>
      </c>
      <c r="FF29" s="208">
        <v>3.61</v>
      </c>
      <c r="FG29" s="207"/>
      <c r="FH29" s="208"/>
      <c r="FI29" s="208"/>
      <c r="FJ29" s="329"/>
      <c r="FK29" s="207"/>
      <c r="FL29" s="208"/>
      <c r="FM29" s="208"/>
      <c r="FN29" s="329"/>
      <c r="FO29" s="207"/>
      <c r="FP29" s="208"/>
      <c r="FQ29" s="208"/>
      <c r="FR29" s="329"/>
      <c r="FS29" s="207">
        <v>42.1</v>
      </c>
      <c r="FT29" s="208">
        <v>3.19</v>
      </c>
      <c r="FU29" s="208">
        <v>39.47</v>
      </c>
      <c r="FV29" s="329">
        <v>44.73</v>
      </c>
      <c r="FW29" s="208">
        <v>80.709999999999994</v>
      </c>
      <c r="FX29" s="208">
        <v>1.57</v>
      </c>
      <c r="FY29" s="208">
        <v>19.29</v>
      </c>
      <c r="FZ29" s="208">
        <v>6.58</v>
      </c>
      <c r="GA29" s="207"/>
      <c r="GB29" s="208"/>
      <c r="GC29" s="208"/>
      <c r="GD29" s="329"/>
      <c r="GE29" s="207"/>
      <c r="GF29" s="208"/>
      <c r="GG29" s="208"/>
      <c r="GH29" s="329"/>
      <c r="GI29" s="207"/>
      <c r="GJ29" s="208"/>
      <c r="GK29" s="208"/>
      <c r="GL29" s="329"/>
      <c r="GM29" s="207">
        <v>39.700000000000003</v>
      </c>
      <c r="GN29" s="208">
        <v>6.73</v>
      </c>
      <c r="GO29" s="208">
        <v>34.479999999999997</v>
      </c>
      <c r="GP29" s="329">
        <v>44.96</v>
      </c>
      <c r="GQ29" s="208">
        <v>96.07</v>
      </c>
      <c r="GR29" s="208">
        <v>0.16</v>
      </c>
      <c r="GS29" s="208">
        <v>3.93</v>
      </c>
      <c r="GT29" s="208">
        <v>3.84</v>
      </c>
      <c r="GU29" s="207"/>
      <c r="GV29" s="208"/>
      <c r="GW29" s="208"/>
      <c r="GX29" s="329"/>
      <c r="GY29" s="207"/>
      <c r="GZ29" s="208"/>
      <c r="HA29" s="208"/>
      <c r="HB29" s="329"/>
      <c r="HC29" s="207"/>
      <c r="HD29" s="208"/>
      <c r="HE29" s="208"/>
      <c r="HF29" s="329"/>
      <c r="HG29" s="207">
        <v>33.299999999999997</v>
      </c>
      <c r="HH29" s="208">
        <v>3.15</v>
      </c>
      <c r="HI29" s="208">
        <v>31.26</v>
      </c>
      <c r="HJ29" s="329">
        <v>35.380000000000003</v>
      </c>
      <c r="HK29" s="208">
        <v>95.58</v>
      </c>
      <c r="HL29" s="208">
        <v>0.53</v>
      </c>
      <c r="HM29" s="208">
        <v>4.42</v>
      </c>
      <c r="HN29" s="208">
        <v>11.47</v>
      </c>
      <c r="HO29" s="207"/>
      <c r="HP29" s="208"/>
      <c r="HQ29" s="208"/>
      <c r="HR29" s="329"/>
      <c r="HS29" s="207"/>
      <c r="HT29" s="208"/>
      <c r="HU29" s="208"/>
      <c r="HV29" s="329"/>
      <c r="HW29" s="207"/>
      <c r="HX29" s="208"/>
      <c r="HY29" s="208"/>
      <c r="HZ29" s="329"/>
      <c r="IA29" s="207">
        <v>49.6</v>
      </c>
      <c r="IB29" s="208">
        <v>3.74</v>
      </c>
      <c r="IC29" s="208">
        <v>45.93</v>
      </c>
      <c r="ID29" s="329">
        <v>53.2</v>
      </c>
      <c r="IE29" s="207">
        <v>89.98</v>
      </c>
      <c r="IF29" s="208">
        <v>0.98</v>
      </c>
      <c r="IG29" s="208">
        <v>10.02</v>
      </c>
      <c r="IH29" s="329">
        <v>8.84</v>
      </c>
    </row>
    <row r="30" spans="1:242" s="27" customFormat="1" ht="15.75" customHeight="1" x14ac:dyDescent="0.2">
      <c r="A30" s="69" t="s">
        <v>52</v>
      </c>
      <c r="B30" s="64" t="s">
        <v>47</v>
      </c>
      <c r="C30" s="209">
        <v>7.58</v>
      </c>
      <c r="D30" s="210">
        <v>1.06</v>
      </c>
      <c r="E30" s="210">
        <v>5.34</v>
      </c>
      <c r="F30" s="330">
        <v>9.82</v>
      </c>
      <c r="G30" s="209">
        <v>4.16</v>
      </c>
      <c r="H30" s="210">
        <v>1.06</v>
      </c>
      <c r="I30" s="210">
        <v>2</v>
      </c>
      <c r="J30" s="330">
        <v>6.32</v>
      </c>
      <c r="K30" s="209">
        <v>1.35</v>
      </c>
      <c r="L30" s="210">
        <v>0.83</v>
      </c>
      <c r="M30" s="210">
        <v>-0.3</v>
      </c>
      <c r="N30" s="330">
        <v>2.99</v>
      </c>
      <c r="O30" s="209">
        <v>47.2</v>
      </c>
      <c r="P30" s="210">
        <v>2.15</v>
      </c>
      <c r="Q30" s="210">
        <v>45.26</v>
      </c>
      <c r="R30" s="330">
        <v>49.24</v>
      </c>
      <c r="S30" s="210">
        <v>47.24</v>
      </c>
      <c r="T30" s="210">
        <v>4.0599999999999996</v>
      </c>
      <c r="U30" s="210">
        <v>52.76</v>
      </c>
      <c r="V30" s="210">
        <v>3.63</v>
      </c>
      <c r="W30" s="209">
        <v>14.41</v>
      </c>
      <c r="X30" s="210">
        <v>0.96</v>
      </c>
      <c r="Y30" s="210">
        <v>12.26</v>
      </c>
      <c r="Z30" s="330">
        <v>16.559999999999999</v>
      </c>
      <c r="AA30" s="209">
        <v>10.45</v>
      </c>
      <c r="AB30" s="210">
        <v>0.95</v>
      </c>
      <c r="AC30" s="210">
        <v>8.4</v>
      </c>
      <c r="AD30" s="330">
        <v>12.5</v>
      </c>
      <c r="AE30" s="209">
        <v>3.99</v>
      </c>
      <c r="AF30" s="210">
        <v>0.65</v>
      </c>
      <c r="AG30" s="210">
        <v>2.66</v>
      </c>
      <c r="AH30" s="330">
        <v>5.32</v>
      </c>
      <c r="AI30" s="209">
        <v>72.2</v>
      </c>
      <c r="AJ30" s="210">
        <v>1.6</v>
      </c>
      <c r="AK30" s="210">
        <v>69.92</v>
      </c>
      <c r="AL30" s="330">
        <v>74.459999999999994</v>
      </c>
      <c r="AM30" s="210">
        <v>52.79</v>
      </c>
      <c r="AN30" s="210">
        <v>2.71</v>
      </c>
      <c r="AO30" s="210">
        <v>47.21</v>
      </c>
      <c r="AP30" s="210">
        <v>3.03</v>
      </c>
      <c r="AQ30" s="209">
        <v>7.53</v>
      </c>
      <c r="AR30" s="210">
        <v>1.55</v>
      </c>
      <c r="AS30" s="210">
        <v>4.2699999999999996</v>
      </c>
      <c r="AT30" s="330">
        <v>10.79</v>
      </c>
      <c r="AU30" s="209">
        <v>3.86</v>
      </c>
      <c r="AV30" s="210">
        <v>1.54</v>
      </c>
      <c r="AW30" s="210">
        <v>0.73</v>
      </c>
      <c r="AX30" s="330">
        <v>6.99</v>
      </c>
      <c r="AY30" s="209">
        <v>2.0099999999999998</v>
      </c>
      <c r="AZ30" s="210">
        <v>1.21</v>
      </c>
      <c r="BA30" s="210">
        <v>-0.4</v>
      </c>
      <c r="BB30" s="330">
        <v>4.42</v>
      </c>
      <c r="BC30" s="209">
        <v>39.799999999999997</v>
      </c>
      <c r="BD30" s="210">
        <v>2.75</v>
      </c>
      <c r="BE30" s="210">
        <v>37.69</v>
      </c>
      <c r="BF30" s="330">
        <v>41.99</v>
      </c>
      <c r="BG30" s="210">
        <v>94.92</v>
      </c>
      <c r="BH30" s="210">
        <v>0.73</v>
      </c>
      <c r="BI30" s="210">
        <v>5.08</v>
      </c>
      <c r="BJ30" s="210">
        <v>13.66</v>
      </c>
      <c r="BK30" s="209">
        <v>16.02</v>
      </c>
      <c r="BL30" s="210">
        <v>0.9</v>
      </c>
      <c r="BM30" s="210">
        <v>13.97</v>
      </c>
      <c r="BN30" s="330">
        <v>18.059999999999999</v>
      </c>
      <c r="BO30" s="209">
        <v>11.95</v>
      </c>
      <c r="BP30" s="210">
        <v>0.89</v>
      </c>
      <c r="BQ30" s="210">
        <v>9.99</v>
      </c>
      <c r="BR30" s="330">
        <v>13.91</v>
      </c>
      <c r="BS30" s="209">
        <v>4.7699999999999996</v>
      </c>
      <c r="BT30" s="210">
        <v>0.83</v>
      </c>
      <c r="BU30" s="210">
        <v>3.07</v>
      </c>
      <c r="BV30" s="330">
        <v>6.46</v>
      </c>
      <c r="BW30" s="209">
        <v>55.1</v>
      </c>
      <c r="BX30" s="210">
        <v>2.2200000000000002</v>
      </c>
      <c r="BY30" s="210">
        <v>52.71</v>
      </c>
      <c r="BZ30" s="330">
        <v>57.52</v>
      </c>
      <c r="CA30" s="210">
        <v>79.319999999999993</v>
      </c>
      <c r="CB30" s="210">
        <v>1.54</v>
      </c>
      <c r="CC30" s="210">
        <v>20.68</v>
      </c>
      <c r="CD30" s="210">
        <v>5.92</v>
      </c>
      <c r="CE30" s="209">
        <v>21.55</v>
      </c>
      <c r="CF30" s="210">
        <v>0.7</v>
      </c>
      <c r="CG30" s="210">
        <v>19.88</v>
      </c>
      <c r="CH30" s="330">
        <v>23.22</v>
      </c>
      <c r="CI30" s="209">
        <v>17.29</v>
      </c>
      <c r="CJ30" s="210">
        <v>0.7</v>
      </c>
      <c r="CK30" s="210">
        <v>15.69</v>
      </c>
      <c r="CL30" s="330">
        <v>18.89</v>
      </c>
      <c r="CM30" s="209">
        <v>4.17</v>
      </c>
      <c r="CN30" s="210">
        <v>0.65</v>
      </c>
      <c r="CO30" s="210">
        <v>2.84</v>
      </c>
      <c r="CP30" s="330">
        <v>5.5</v>
      </c>
      <c r="CQ30" s="209">
        <v>55.2</v>
      </c>
      <c r="CR30" s="210">
        <v>2.14</v>
      </c>
      <c r="CS30" s="210">
        <v>52.91</v>
      </c>
      <c r="CT30" s="330">
        <v>57.55</v>
      </c>
      <c r="CU30" s="210">
        <v>87.29</v>
      </c>
      <c r="CV30" s="210">
        <v>1.28</v>
      </c>
      <c r="CW30" s="210">
        <v>12.71</v>
      </c>
      <c r="CX30" s="210">
        <v>8.7799999999999994</v>
      </c>
      <c r="CY30" s="209">
        <v>14.35</v>
      </c>
      <c r="CZ30" s="210">
        <v>1.23</v>
      </c>
      <c r="DA30" s="210">
        <v>11.59</v>
      </c>
      <c r="DB30" s="330">
        <v>17.11</v>
      </c>
      <c r="DC30" s="209">
        <v>10.46</v>
      </c>
      <c r="DD30" s="210">
        <v>1.23</v>
      </c>
      <c r="DE30" s="210">
        <v>7.79</v>
      </c>
      <c r="DF30" s="330">
        <v>13.12</v>
      </c>
      <c r="DG30" s="209">
        <v>4.0199999999999996</v>
      </c>
      <c r="DH30" s="210">
        <v>1.06</v>
      </c>
      <c r="DI30" s="210">
        <v>1.86</v>
      </c>
      <c r="DJ30" s="330">
        <v>6.18</v>
      </c>
      <c r="DK30" s="209">
        <v>50.7</v>
      </c>
      <c r="DL30" s="210">
        <v>2.6</v>
      </c>
      <c r="DM30" s="210">
        <v>48.12</v>
      </c>
      <c r="DN30" s="330">
        <v>53.29</v>
      </c>
      <c r="DO30" s="210">
        <v>71.98</v>
      </c>
      <c r="DP30" s="210">
        <v>2.94</v>
      </c>
      <c r="DQ30" s="210">
        <v>28.02</v>
      </c>
      <c r="DR30" s="210">
        <v>7.55</v>
      </c>
      <c r="DS30" s="209">
        <v>5.93</v>
      </c>
      <c r="DT30" s="210">
        <v>0.63</v>
      </c>
      <c r="DU30" s="210">
        <v>4.62</v>
      </c>
      <c r="DV30" s="330">
        <v>7.24</v>
      </c>
      <c r="DW30" s="209">
        <v>1.91</v>
      </c>
      <c r="DX30" s="210">
        <v>0.63</v>
      </c>
      <c r="DY30" s="210">
        <v>0.66</v>
      </c>
      <c r="DZ30" s="330">
        <v>3.17</v>
      </c>
      <c r="EA30" s="209">
        <v>-6.86</v>
      </c>
      <c r="EB30" s="210">
        <v>0.28000000000000003</v>
      </c>
      <c r="EC30" s="210">
        <v>-7.36</v>
      </c>
      <c r="ED30" s="330">
        <v>-6.35</v>
      </c>
      <c r="EE30" s="209">
        <v>71.8</v>
      </c>
      <c r="EF30" s="210">
        <v>1.35</v>
      </c>
      <c r="EG30" s="210">
        <v>69.91</v>
      </c>
      <c r="EH30" s="330">
        <v>73.709999999999994</v>
      </c>
      <c r="EI30" s="210">
        <v>68.86</v>
      </c>
      <c r="EJ30" s="210">
        <v>0.64</v>
      </c>
      <c r="EK30" s="210">
        <v>31.14</v>
      </c>
      <c r="EL30" s="210">
        <v>1.41</v>
      </c>
      <c r="EM30" s="209">
        <v>11.91</v>
      </c>
      <c r="EN30" s="210">
        <v>2.31</v>
      </c>
      <c r="EO30" s="210">
        <v>6.84</v>
      </c>
      <c r="EP30" s="330">
        <v>16.989999999999998</v>
      </c>
      <c r="EQ30" s="209">
        <v>8.34</v>
      </c>
      <c r="ER30" s="210">
        <v>2.2799999999999998</v>
      </c>
      <c r="ES30" s="210">
        <v>3.49</v>
      </c>
      <c r="ET30" s="330">
        <v>13.19</v>
      </c>
      <c r="EU30" s="209">
        <v>1.91</v>
      </c>
      <c r="EV30" s="210">
        <v>1.1000000000000001</v>
      </c>
      <c r="EW30" s="210">
        <v>-0.28999999999999998</v>
      </c>
      <c r="EX30" s="330">
        <v>4.0999999999999996</v>
      </c>
      <c r="EY30" s="209">
        <v>36.9</v>
      </c>
      <c r="EZ30" s="210">
        <v>2.8</v>
      </c>
      <c r="FA30" s="210">
        <v>34.92</v>
      </c>
      <c r="FB30" s="330">
        <v>38.96</v>
      </c>
      <c r="FC30" s="210">
        <v>81.11</v>
      </c>
      <c r="FD30" s="210">
        <v>0.74</v>
      </c>
      <c r="FE30" s="210">
        <v>18.89</v>
      </c>
      <c r="FF30" s="210">
        <v>3.18</v>
      </c>
      <c r="FG30" s="209">
        <v>16.09</v>
      </c>
      <c r="FH30" s="210">
        <v>1.45</v>
      </c>
      <c r="FI30" s="210">
        <v>12.79</v>
      </c>
      <c r="FJ30" s="330">
        <v>19.38</v>
      </c>
      <c r="FK30" s="209">
        <v>12.28</v>
      </c>
      <c r="FL30" s="210">
        <v>1.45</v>
      </c>
      <c r="FM30" s="210">
        <v>9.09</v>
      </c>
      <c r="FN30" s="330">
        <v>15.48</v>
      </c>
      <c r="FO30" s="209">
        <v>2.48</v>
      </c>
      <c r="FP30" s="210">
        <v>0.78</v>
      </c>
      <c r="FQ30" s="210">
        <v>0.91</v>
      </c>
      <c r="FR30" s="330">
        <v>4.05</v>
      </c>
      <c r="FS30" s="209">
        <v>41.4</v>
      </c>
      <c r="FT30" s="210">
        <v>3.32</v>
      </c>
      <c r="FU30" s="210">
        <v>38.729999999999997</v>
      </c>
      <c r="FV30" s="330">
        <v>44.12</v>
      </c>
      <c r="FW30" s="210">
        <v>82.76</v>
      </c>
      <c r="FX30" s="210">
        <v>1.17</v>
      </c>
      <c r="FY30" s="210">
        <v>17.239999999999998</v>
      </c>
      <c r="FZ30" s="210">
        <v>5.64</v>
      </c>
      <c r="GA30" s="209">
        <v>2.76</v>
      </c>
      <c r="GB30" s="210">
        <v>1.87</v>
      </c>
      <c r="GC30" s="210">
        <v>-1</v>
      </c>
      <c r="GD30" s="330">
        <v>6.52</v>
      </c>
      <c r="GE30" s="209">
        <v>-0.3</v>
      </c>
      <c r="GF30" s="210">
        <v>1.91</v>
      </c>
      <c r="GG30" s="210">
        <v>-4.03</v>
      </c>
      <c r="GH30" s="330">
        <v>3.44</v>
      </c>
      <c r="GI30" s="209">
        <v>-8.2100000000000009</v>
      </c>
      <c r="GJ30" s="210">
        <v>2.16</v>
      </c>
      <c r="GK30" s="210">
        <v>-12.1</v>
      </c>
      <c r="GL30" s="330">
        <v>-4.33</v>
      </c>
      <c r="GM30" s="209">
        <v>37.700000000000003</v>
      </c>
      <c r="GN30" s="210">
        <v>4.6500000000000004</v>
      </c>
      <c r="GO30" s="210">
        <v>34.299999999999997</v>
      </c>
      <c r="GP30" s="330">
        <v>41.18</v>
      </c>
      <c r="GQ30" s="210">
        <v>96.07</v>
      </c>
      <c r="GR30" s="210">
        <v>0.25</v>
      </c>
      <c r="GS30" s="210">
        <v>3.93</v>
      </c>
      <c r="GT30" s="210">
        <v>6.14</v>
      </c>
      <c r="GU30" s="209">
        <v>11.14</v>
      </c>
      <c r="GV30" s="210">
        <v>2.11</v>
      </c>
      <c r="GW30" s="210">
        <v>6.55</v>
      </c>
      <c r="GX30" s="330">
        <v>15.74</v>
      </c>
      <c r="GY30" s="209">
        <v>7.39</v>
      </c>
      <c r="GZ30" s="210">
        <v>2.15</v>
      </c>
      <c r="HA30" s="210">
        <v>2.87</v>
      </c>
      <c r="HB30" s="330">
        <v>11.92</v>
      </c>
      <c r="HC30" s="209">
        <v>6.06</v>
      </c>
      <c r="HD30" s="210">
        <v>1.91</v>
      </c>
      <c r="HE30" s="210">
        <v>2.09</v>
      </c>
      <c r="HF30" s="330">
        <v>10.029999999999999</v>
      </c>
      <c r="HG30" s="209">
        <v>35.6</v>
      </c>
      <c r="HH30" s="210">
        <v>3.34</v>
      </c>
      <c r="HI30" s="210">
        <v>33.299999999999997</v>
      </c>
      <c r="HJ30" s="330">
        <v>37.96</v>
      </c>
      <c r="HK30" s="210">
        <v>95.56</v>
      </c>
      <c r="HL30" s="210">
        <v>0.5</v>
      </c>
      <c r="HM30" s="210">
        <v>4.4400000000000004</v>
      </c>
      <c r="HN30" s="210">
        <v>10.79</v>
      </c>
      <c r="HO30" s="209">
        <v>18.850000000000001</v>
      </c>
      <c r="HP30" s="210">
        <v>0.99</v>
      </c>
      <c r="HQ30" s="210">
        <v>16.54</v>
      </c>
      <c r="HR30" s="330">
        <v>21.16</v>
      </c>
      <c r="HS30" s="209">
        <v>13.95</v>
      </c>
      <c r="HT30" s="210">
        <v>1.02</v>
      </c>
      <c r="HU30" s="210">
        <v>11.67</v>
      </c>
      <c r="HV30" s="330">
        <v>16.23</v>
      </c>
      <c r="HW30" s="209">
        <v>0.97</v>
      </c>
      <c r="HX30" s="210">
        <v>0.99</v>
      </c>
      <c r="HY30" s="210">
        <v>-0.98</v>
      </c>
      <c r="HZ30" s="330">
        <v>2.92</v>
      </c>
      <c r="IA30" s="209">
        <v>44.1</v>
      </c>
      <c r="IB30" s="210">
        <v>2.46</v>
      </c>
      <c r="IC30" s="210">
        <v>41.96</v>
      </c>
      <c r="ID30" s="330">
        <v>46.21</v>
      </c>
      <c r="IE30" s="209">
        <v>88.48</v>
      </c>
      <c r="IF30" s="210">
        <v>1.51</v>
      </c>
      <c r="IG30" s="210">
        <v>11.52</v>
      </c>
      <c r="IH30" s="330">
        <v>11.61</v>
      </c>
    </row>
    <row r="31" spans="1:242" s="27" customFormat="1" ht="15.75" customHeight="1" x14ac:dyDescent="0.2">
      <c r="A31" s="26"/>
      <c r="B31" s="28" t="s">
        <v>48</v>
      </c>
      <c r="C31" s="211">
        <v>11.45</v>
      </c>
      <c r="D31" s="212">
        <v>0.81</v>
      </c>
      <c r="E31" s="212">
        <v>9.69</v>
      </c>
      <c r="F31" s="331">
        <v>13.22</v>
      </c>
      <c r="G31" s="211">
        <v>6.92</v>
      </c>
      <c r="H31" s="212">
        <v>0.81</v>
      </c>
      <c r="I31" s="212">
        <v>5.23</v>
      </c>
      <c r="J31" s="331">
        <v>8.61</v>
      </c>
      <c r="K31" s="211">
        <v>2.04</v>
      </c>
      <c r="L31" s="212">
        <v>0.65</v>
      </c>
      <c r="M31" s="212">
        <v>0.75</v>
      </c>
      <c r="N31" s="331">
        <v>3.34</v>
      </c>
      <c r="O31" s="211">
        <v>61.1</v>
      </c>
      <c r="P31" s="212">
        <v>1.94</v>
      </c>
      <c r="Q31" s="212">
        <v>58.82</v>
      </c>
      <c r="R31" s="331">
        <v>63.46</v>
      </c>
      <c r="S31" s="212">
        <v>45.62</v>
      </c>
      <c r="T31" s="212">
        <v>3.47</v>
      </c>
      <c r="U31" s="212">
        <v>54.38</v>
      </c>
      <c r="V31" s="212">
        <v>2.91</v>
      </c>
      <c r="W31" s="211">
        <v>14.59</v>
      </c>
      <c r="X31" s="212">
        <v>0.73</v>
      </c>
      <c r="Y31" s="212">
        <v>12.94</v>
      </c>
      <c r="Z31" s="331">
        <v>16.23</v>
      </c>
      <c r="AA31" s="211">
        <v>9.6199999999999992</v>
      </c>
      <c r="AB31" s="212">
        <v>0.73</v>
      </c>
      <c r="AC31" s="212">
        <v>8.06</v>
      </c>
      <c r="AD31" s="331">
        <v>11.19</v>
      </c>
      <c r="AE31" s="211">
        <v>4.1399999999999997</v>
      </c>
      <c r="AF31" s="212">
        <v>0.98</v>
      </c>
      <c r="AG31" s="212">
        <v>2.14</v>
      </c>
      <c r="AH31" s="331">
        <v>6.14</v>
      </c>
      <c r="AI31" s="211">
        <v>69.2</v>
      </c>
      <c r="AJ31" s="212">
        <v>1.84</v>
      </c>
      <c r="AK31" s="212">
        <v>66.75</v>
      </c>
      <c r="AL31" s="331">
        <v>71.75</v>
      </c>
      <c r="AM31" s="212">
        <v>43.95</v>
      </c>
      <c r="AN31" s="212">
        <v>2.99</v>
      </c>
      <c r="AO31" s="212">
        <v>56.05</v>
      </c>
      <c r="AP31" s="212">
        <v>2.34</v>
      </c>
      <c r="AQ31" s="211">
        <v>10.72</v>
      </c>
      <c r="AR31" s="212">
        <v>2.12</v>
      </c>
      <c r="AS31" s="212">
        <v>6.12</v>
      </c>
      <c r="AT31" s="331">
        <v>15.32</v>
      </c>
      <c r="AU31" s="211">
        <v>6.26</v>
      </c>
      <c r="AV31" s="212">
        <v>2.11</v>
      </c>
      <c r="AW31" s="212">
        <v>1.85</v>
      </c>
      <c r="AX31" s="331">
        <v>10.66</v>
      </c>
      <c r="AY31" s="211">
        <v>2.39</v>
      </c>
      <c r="AZ31" s="212">
        <v>1.22</v>
      </c>
      <c r="BA31" s="212">
        <v>-0.05</v>
      </c>
      <c r="BB31" s="331">
        <v>4.83</v>
      </c>
      <c r="BC31" s="211">
        <v>31.3</v>
      </c>
      <c r="BD31" s="212">
        <v>3.3</v>
      </c>
      <c r="BE31" s="212">
        <v>29.31</v>
      </c>
      <c r="BF31" s="331">
        <v>33.36</v>
      </c>
      <c r="BG31" s="212">
        <v>91.41</v>
      </c>
      <c r="BH31" s="212">
        <v>1.17</v>
      </c>
      <c r="BI31" s="212">
        <v>8.59</v>
      </c>
      <c r="BJ31" s="212">
        <v>12.42</v>
      </c>
      <c r="BK31" s="211">
        <v>34.9</v>
      </c>
      <c r="BL31" s="212">
        <v>1.27</v>
      </c>
      <c r="BM31" s="212">
        <v>31.53</v>
      </c>
      <c r="BN31" s="331">
        <v>38.26</v>
      </c>
      <c r="BO31" s="211">
        <v>29.29</v>
      </c>
      <c r="BP31" s="212">
        <v>1.27</v>
      </c>
      <c r="BQ31" s="212">
        <v>26.07</v>
      </c>
      <c r="BR31" s="331">
        <v>32.520000000000003</v>
      </c>
      <c r="BS31" s="211">
        <v>2.77</v>
      </c>
      <c r="BT31" s="212">
        <v>1.0900000000000001</v>
      </c>
      <c r="BU31" s="212">
        <v>0.56999999999999995</v>
      </c>
      <c r="BV31" s="331">
        <v>4.97</v>
      </c>
      <c r="BW31" s="211">
        <v>51.4</v>
      </c>
      <c r="BX31" s="212">
        <v>2.02</v>
      </c>
      <c r="BY31" s="212">
        <v>49.33</v>
      </c>
      <c r="BZ31" s="331">
        <v>53.39</v>
      </c>
      <c r="CA31" s="212">
        <v>73.290000000000006</v>
      </c>
      <c r="CB31" s="212">
        <v>1.93</v>
      </c>
      <c r="CC31" s="212">
        <v>26.71</v>
      </c>
      <c r="CD31" s="212">
        <v>5.3</v>
      </c>
      <c r="CE31" s="211">
        <v>10.94</v>
      </c>
      <c r="CF31" s="212">
        <v>0.87</v>
      </c>
      <c r="CG31" s="212">
        <v>9.0399999999999991</v>
      </c>
      <c r="CH31" s="331">
        <v>12.83</v>
      </c>
      <c r="CI31" s="211">
        <v>6.41</v>
      </c>
      <c r="CJ31" s="212">
        <v>0.87</v>
      </c>
      <c r="CK31" s="212">
        <v>4.59</v>
      </c>
      <c r="CL31" s="331">
        <v>8.23</v>
      </c>
      <c r="CM31" s="211">
        <v>6.63</v>
      </c>
      <c r="CN31" s="212">
        <v>0.74</v>
      </c>
      <c r="CO31" s="212">
        <v>5.07</v>
      </c>
      <c r="CP31" s="331">
        <v>8.18</v>
      </c>
      <c r="CQ31" s="211">
        <v>39.9</v>
      </c>
      <c r="CR31" s="212">
        <v>2.84</v>
      </c>
      <c r="CS31" s="212">
        <v>37.700000000000003</v>
      </c>
      <c r="CT31" s="331">
        <v>42.15</v>
      </c>
      <c r="CU31" s="212">
        <v>84.32</v>
      </c>
      <c r="CV31" s="212">
        <v>1.91</v>
      </c>
      <c r="CW31" s="212">
        <v>15.68</v>
      </c>
      <c r="CX31" s="212">
        <v>10.25</v>
      </c>
      <c r="CY31" s="211">
        <v>19.32</v>
      </c>
      <c r="CZ31" s="212">
        <v>1.69</v>
      </c>
      <c r="DA31" s="212">
        <v>15.38</v>
      </c>
      <c r="DB31" s="331">
        <v>23.26</v>
      </c>
      <c r="DC31" s="211">
        <v>14.18</v>
      </c>
      <c r="DD31" s="212">
        <v>1.68</v>
      </c>
      <c r="DE31" s="212">
        <v>10.42</v>
      </c>
      <c r="DF31" s="331">
        <v>17.95</v>
      </c>
      <c r="DG31" s="211">
        <v>3.97</v>
      </c>
      <c r="DH31" s="212">
        <v>1</v>
      </c>
      <c r="DI31" s="212">
        <v>1.92</v>
      </c>
      <c r="DJ31" s="331">
        <v>6.02</v>
      </c>
      <c r="DK31" s="211">
        <v>49.5</v>
      </c>
      <c r="DL31" s="212">
        <v>3.01</v>
      </c>
      <c r="DM31" s="212">
        <v>46.58</v>
      </c>
      <c r="DN31" s="331">
        <v>52.41</v>
      </c>
      <c r="DO31" s="212">
        <v>66.34</v>
      </c>
      <c r="DP31" s="212">
        <v>3.81</v>
      </c>
      <c r="DQ31" s="212">
        <v>33.659999999999997</v>
      </c>
      <c r="DR31" s="212">
        <v>7.52</v>
      </c>
      <c r="DS31" s="211">
        <v>15.32</v>
      </c>
      <c r="DT31" s="212">
        <v>0.77</v>
      </c>
      <c r="DU31" s="212">
        <v>13.58</v>
      </c>
      <c r="DV31" s="331">
        <v>17.05</v>
      </c>
      <c r="DW31" s="211">
        <v>10.42</v>
      </c>
      <c r="DX31" s="212">
        <v>0.77</v>
      </c>
      <c r="DY31" s="212">
        <v>8.76</v>
      </c>
      <c r="DZ31" s="331">
        <v>12.09</v>
      </c>
      <c r="EA31" s="211">
        <v>-4.25</v>
      </c>
      <c r="EB31" s="212">
        <v>0.31</v>
      </c>
      <c r="EC31" s="212">
        <v>-4.83</v>
      </c>
      <c r="ED31" s="331">
        <v>-3.67</v>
      </c>
      <c r="EE31" s="211">
        <v>75.599999999999994</v>
      </c>
      <c r="EF31" s="212">
        <v>1.42</v>
      </c>
      <c r="EG31" s="212">
        <v>73.52</v>
      </c>
      <c r="EH31" s="331">
        <v>77.75</v>
      </c>
      <c r="EI31" s="212">
        <v>63.39</v>
      </c>
      <c r="EJ31" s="212">
        <v>0.77</v>
      </c>
      <c r="EK31" s="212">
        <v>36.61</v>
      </c>
      <c r="EL31" s="212">
        <v>1.33</v>
      </c>
      <c r="EM31" s="211">
        <v>11.52</v>
      </c>
      <c r="EN31" s="212">
        <v>2.4</v>
      </c>
      <c r="EO31" s="212">
        <v>6.27</v>
      </c>
      <c r="EP31" s="331">
        <v>16.78</v>
      </c>
      <c r="EQ31" s="211">
        <v>6.88</v>
      </c>
      <c r="ER31" s="212">
        <v>2.39</v>
      </c>
      <c r="ES31" s="212">
        <v>1.86</v>
      </c>
      <c r="ET31" s="331">
        <v>11.9</v>
      </c>
      <c r="EU31" s="211">
        <v>2</v>
      </c>
      <c r="EV31" s="212">
        <v>0.91</v>
      </c>
      <c r="EW31" s="212">
        <v>0.19</v>
      </c>
      <c r="EX31" s="331">
        <v>3.82</v>
      </c>
      <c r="EY31" s="211">
        <v>39.5</v>
      </c>
      <c r="EZ31" s="212">
        <v>2.59</v>
      </c>
      <c r="FA31" s="212">
        <v>37.54</v>
      </c>
      <c r="FB31" s="331">
        <v>41.55</v>
      </c>
      <c r="FC31" s="212">
        <v>77.12</v>
      </c>
      <c r="FD31" s="212">
        <v>0.87</v>
      </c>
      <c r="FE31" s="212">
        <v>22.88</v>
      </c>
      <c r="FF31" s="212">
        <v>2.92</v>
      </c>
      <c r="FG31" s="211">
        <v>9.08</v>
      </c>
      <c r="FH31" s="212">
        <v>1.44</v>
      </c>
      <c r="FI31" s="212">
        <v>5.99</v>
      </c>
      <c r="FJ31" s="331">
        <v>12.16</v>
      </c>
      <c r="FK31" s="211">
        <v>4.75</v>
      </c>
      <c r="FL31" s="212">
        <v>1.44</v>
      </c>
      <c r="FM31" s="212">
        <v>1.79</v>
      </c>
      <c r="FN31" s="331">
        <v>7.71</v>
      </c>
      <c r="FO31" s="211">
        <v>3.85</v>
      </c>
      <c r="FP31" s="212">
        <v>0.74</v>
      </c>
      <c r="FQ31" s="212">
        <v>2.34</v>
      </c>
      <c r="FR31" s="331">
        <v>5.35</v>
      </c>
      <c r="FS31" s="211">
        <v>39.4</v>
      </c>
      <c r="FT31" s="212">
        <v>3.36</v>
      </c>
      <c r="FU31" s="212">
        <v>36.78</v>
      </c>
      <c r="FV31" s="331">
        <v>41.97</v>
      </c>
      <c r="FW31" s="212">
        <v>80.91</v>
      </c>
      <c r="FX31" s="212">
        <v>1.44</v>
      </c>
      <c r="FY31" s="212">
        <v>19.09</v>
      </c>
      <c r="FZ31" s="212">
        <v>6.12</v>
      </c>
      <c r="GA31" s="211">
        <v>0.11</v>
      </c>
      <c r="GB31" s="212">
        <v>2.71</v>
      </c>
      <c r="GC31" s="212">
        <v>-5.21</v>
      </c>
      <c r="GD31" s="331">
        <v>5.43</v>
      </c>
      <c r="GE31" s="211">
        <v>-3.97</v>
      </c>
      <c r="GF31" s="212">
        <v>2.72</v>
      </c>
      <c r="GG31" s="212">
        <v>-9.09</v>
      </c>
      <c r="GH31" s="331">
        <v>1.1499999999999999</v>
      </c>
      <c r="GI31" s="211">
        <v>-8.16</v>
      </c>
      <c r="GJ31" s="212">
        <v>1.98</v>
      </c>
      <c r="GK31" s="212">
        <v>-11.72</v>
      </c>
      <c r="GL31" s="331">
        <v>-4.5999999999999996</v>
      </c>
      <c r="GM31" s="211">
        <v>37.6</v>
      </c>
      <c r="GN31" s="212">
        <v>5.64</v>
      </c>
      <c r="GO31" s="212">
        <v>33.450000000000003</v>
      </c>
      <c r="GP31" s="331">
        <v>41.77</v>
      </c>
      <c r="GQ31" s="212">
        <v>96.18</v>
      </c>
      <c r="GR31" s="212">
        <v>0.34</v>
      </c>
      <c r="GS31" s="212">
        <v>3.82</v>
      </c>
      <c r="GT31" s="212">
        <v>8.52</v>
      </c>
      <c r="GU31" s="211">
        <v>8.31</v>
      </c>
      <c r="GV31" s="212">
        <v>1.66</v>
      </c>
      <c r="GW31" s="212">
        <v>4.78</v>
      </c>
      <c r="GX31" s="331">
        <v>11.85</v>
      </c>
      <c r="GY31" s="211">
        <v>3.7</v>
      </c>
      <c r="GZ31" s="212">
        <v>1.67</v>
      </c>
      <c r="HA31" s="212">
        <v>0.3</v>
      </c>
      <c r="HB31" s="331">
        <v>7.09</v>
      </c>
      <c r="HC31" s="211">
        <v>3.22</v>
      </c>
      <c r="HD31" s="212">
        <v>1.67</v>
      </c>
      <c r="HE31" s="212">
        <v>-0.16</v>
      </c>
      <c r="HF31" s="331">
        <v>6.61</v>
      </c>
      <c r="HG31" s="211">
        <v>30.4</v>
      </c>
      <c r="HH31" s="212">
        <v>3.86</v>
      </c>
      <c r="HI31" s="212">
        <v>28.07</v>
      </c>
      <c r="HJ31" s="331">
        <v>32.67</v>
      </c>
      <c r="HK31" s="212">
        <v>92.76</v>
      </c>
      <c r="HL31" s="212">
        <v>0.37</v>
      </c>
      <c r="HM31" s="212">
        <v>7.24</v>
      </c>
      <c r="HN31" s="212">
        <v>4.6900000000000004</v>
      </c>
      <c r="HO31" s="211">
        <v>10.36</v>
      </c>
      <c r="HP31" s="212">
        <v>1.18</v>
      </c>
      <c r="HQ31" s="212">
        <v>7.79</v>
      </c>
      <c r="HR31" s="331">
        <v>12.92</v>
      </c>
      <c r="HS31" s="211">
        <v>5.58</v>
      </c>
      <c r="HT31" s="212">
        <v>1.18</v>
      </c>
      <c r="HU31" s="212">
        <v>3.14</v>
      </c>
      <c r="HV31" s="331">
        <v>8.02</v>
      </c>
      <c r="HW31" s="211">
        <v>2.67</v>
      </c>
      <c r="HX31" s="212">
        <v>0.55000000000000004</v>
      </c>
      <c r="HY31" s="212">
        <v>1.55</v>
      </c>
      <c r="HZ31" s="331">
        <v>3.78</v>
      </c>
      <c r="IA31" s="211">
        <v>47.2</v>
      </c>
      <c r="IB31" s="212">
        <v>2.83</v>
      </c>
      <c r="IC31" s="212">
        <v>44.55</v>
      </c>
      <c r="ID31" s="331">
        <v>49.79</v>
      </c>
      <c r="IE31" s="211">
        <v>90.06</v>
      </c>
      <c r="IF31" s="212">
        <v>0.67</v>
      </c>
      <c r="IG31" s="212">
        <v>9.94</v>
      </c>
      <c r="IH31" s="331">
        <v>6.03</v>
      </c>
    </row>
    <row r="32" spans="1:242" s="27" customFormat="1" ht="15.75" customHeight="1" x14ac:dyDescent="0.2">
      <c r="A32" s="26"/>
      <c r="B32" s="64" t="s">
        <v>49</v>
      </c>
      <c r="C32" s="209">
        <v>-42.17</v>
      </c>
      <c r="D32" s="210">
        <v>1.1399999999999999</v>
      </c>
      <c r="E32" s="210">
        <v>-43.47</v>
      </c>
      <c r="F32" s="330">
        <v>-40.880000000000003</v>
      </c>
      <c r="G32" s="209">
        <v>-42.85</v>
      </c>
      <c r="H32" s="210">
        <v>1.1399999999999999</v>
      </c>
      <c r="I32" s="210">
        <v>-44.12</v>
      </c>
      <c r="J32" s="330">
        <v>-41.57</v>
      </c>
      <c r="K32" s="209">
        <v>-6.26</v>
      </c>
      <c r="L32" s="210">
        <v>0.74</v>
      </c>
      <c r="M32" s="210">
        <v>-7.61</v>
      </c>
      <c r="N32" s="330">
        <v>-4.91</v>
      </c>
      <c r="O32" s="209">
        <v>37.5</v>
      </c>
      <c r="P32" s="210">
        <v>2.2599999999999998</v>
      </c>
      <c r="Q32" s="210">
        <v>35.880000000000003</v>
      </c>
      <c r="R32" s="330">
        <v>39.21</v>
      </c>
      <c r="S32" s="210">
        <v>51.42</v>
      </c>
      <c r="T32" s="210">
        <v>3.44</v>
      </c>
      <c r="U32" s="210">
        <v>48.58</v>
      </c>
      <c r="V32" s="210">
        <v>3.64</v>
      </c>
      <c r="W32" s="209">
        <v>-49.14</v>
      </c>
      <c r="X32" s="210">
        <v>0.9</v>
      </c>
      <c r="Y32" s="210">
        <v>-50.04</v>
      </c>
      <c r="Z32" s="330">
        <v>-48.25</v>
      </c>
      <c r="AA32" s="209">
        <v>-49.79</v>
      </c>
      <c r="AB32" s="210">
        <v>0.9</v>
      </c>
      <c r="AC32" s="210">
        <v>-50.67</v>
      </c>
      <c r="AD32" s="330">
        <v>-48.91</v>
      </c>
      <c r="AE32" s="209">
        <v>-6.16</v>
      </c>
      <c r="AF32" s="210">
        <v>1.1299999999999999</v>
      </c>
      <c r="AG32" s="210">
        <v>-8.24</v>
      </c>
      <c r="AH32" s="330">
        <v>-4.08</v>
      </c>
      <c r="AI32" s="209">
        <v>36.9</v>
      </c>
      <c r="AJ32" s="210">
        <v>2.46</v>
      </c>
      <c r="AK32" s="210">
        <v>35.14</v>
      </c>
      <c r="AL32" s="330">
        <v>38.700000000000003</v>
      </c>
      <c r="AM32" s="210">
        <v>40.72</v>
      </c>
      <c r="AN32" s="210">
        <v>4.28</v>
      </c>
      <c r="AO32" s="210">
        <v>59.28</v>
      </c>
      <c r="AP32" s="210">
        <v>2.94</v>
      </c>
      <c r="AQ32" s="209">
        <v>-51.96</v>
      </c>
      <c r="AR32" s="210">
        <v>3.32</v>
      </c>
      <c r="AS32" s="210">
        <v>-55.08</v>
      </c>
      <c r="AT32" s="330">
        <v>-48.83</v>
      </c>
      <c r="AU32" s="209">
        <v>-52.68</v>
      </c>
      <c r="AV32" s="210">
        <v>3.32</v>
      </c>
      <c r="AW32" s="210">
        <v>-55.76</v>
      </c>
      <c r="AX32" s="330">
        <v>-49.6</v>
      </c>
      <c r="AY32" s="209">
        <v>-5.76</v>
      </c>
      <c r="AZ32" s="210">
        <v>1.76</v>
      </c>
      <c r="BA32" s="210">
        <v>-9.02</v>
      </c>
      <c r="BB32" s="330">
        <v>-2.5</v>
      </c>
      <c r="BC32" s="209">
        <v>20.5</v>
      </c>
      <c r="BD32" s="210">
        <v>4.05</v>
      </c>
      <c r="BE32" s="210">
        <v>18.89</v>
      </c>
      <c r="BF32" s="330">
        <v>22.15</v>
      </c>
      <c r="BG32" s="210">
        <v>90.36</v>
      </c>
      <c r="BH32" s="210">
        <v>1.43</v>
      </c>
      <c r="BI32" s="210">
        <v>9.64</v>
      </c>
      <c r="BJ32" s="210">
        <v>13.43</v>
      </c>
      <c r="BK32" s="209">
        <v>-50.63</v>
      </c>
      <c r="BL32" s="210">
        <v>1.48</v>
      </c>
      <c r="BM32" s="210">
        <v>-52.06</v>
      </c>
      <c r="BN32" s="330">
        <v>-49.2</v>
      </c>
      <c r="BO32" s="209">
        <v>-51.35</v>
      </c>
      <c r="BP32" s="210">
        <v>1.48</v>
      </c>
      <c r="BQ32" s="210">
        <v>-52.76</v>
      </c>
      <c r="BR32" s="330">
        <v>-49.94</v>
      </c>
      <c r="BS32" s="209">
        <v>-6.75</v>
      </c>
      <c r="BT32" s="210">
        <v>1.0900000000000001</v>
      </c>
      <c r="BU32" s="210">
        <v>-8.74</v>
      </c>
      <c r="BV32" s="330">
        <v>-4.75</v>
      </c>
      <c r="BW32" s="209">
        <v>31.3</v>
      </c>
      <c r="BX32" s="210">
        <v>2.58</v>
      </c>
      <c r="BY32" s="210">
        <v>29.68</v>
      </c>
      <c r="BZ32" s="330">
        <v>32.840000000000003</v>
      </c>
      <c r="CA32" s="210">
        <v>72.16</v>
      </c>
      <c r="CB32" s="210">
        <v>2.17</v>
      </c>
      <c r="CC32" s="210">
        <v>27.84</v>
      </c>
      <c r="CD32" s="210">
        <v>5.62</v>
      </c>
      <c r="CE32" s="209">
        <v>-51.02</v>
      </c>
      <c r="CF32" s="210">
        <v>1.19</v>
      </c>
      <c r="CG32" s="210">
        <v>-52.16</v>
      </c>
      <c r="CH32" s="330">
        <v>-49.88</v>
      </c>
      <c r="CI32" s="209">
        <v>-51.79</v>
      </c>
      <c r="CJ32" s="210">
        <v>1.19</v>
      </c>
      <c r="CK32" s="210">
        <v>-52.91</v>
      </c>
      <c r="CL32" s="330">
        <v>-50.66</v>
      </c>
      <c r="CM32" s="209">
        <v>-6.76</v>
      </c>
      <c r="CN32" s="210">
        <v>0.77</v>
      </c>
      <c r="CO32" s="210">
        <v>-8.17</v>
      </c>
      <c r="CP32" s="330">
        <v>-5.34</v>
      </c>
      <c r="CQ32" s="209">
        <v>29.8</v>
      </c>
      <c r="CR32" s="210">
        <v>3.18</v>
      </c>
      <c r="CS32" s="210">
        <v>27.96</v>
      </c>
      <c r="CT32" s="330">
        <v>31.67</v>
      </c>
      <c r="CU32" s="210">
        <v>84.36</v>
      </c>
      <c r="CV32" s="210">
        <v>2.4900000000000002</v>
      </c>
      <c r="CW32" s="210">
        <v>15.64</v>
      </c>
      <c r="CX32" s="210">
        <v>13.45</v>
      </c>
      <c r="CY32" s="209">
        <v>-42.14</v>
      </c>
      <c r="CZ32" s="210">
        <v>1.67</v>
      </c>
      <c r="DA32" s="210">
        <v>-44.03</v>
      </c>
      <c r="DB32" s="330">
        <v>-40.25</v>
      </c>
      <c r="DC32" s="209">
        <v>-42.78</v>
      </c>
      <c r="DD32" s="210">
        <v>1.67</v>
      </c>
      <c r="DE32" s="210">
        <v>-44.65</v>
      </c>
      <c r="DF32" s="330">
        <v>-40.909999999999997</v>
      </c>
      <c r="DG32" s="209">
        <v>-6.21</v>
      </c>
      <c r="DH32" s="210">
        <v>0.89</v>
      </c>
      <c r="DI32" s="210">
        <v>-7.84</v>
      </c>
      <c r="DJ32" s="330">
        <v>-4.58</v>
      </c>
      <c r="DK32" s="209">
        <v>30.6</v>
      </c>
      <c r="DL32" s="210">
        <v>3.02</v>
      </c>
      <c r="DM32" s="210">
        <v>28.77</v>
      </c>
      <c r="DN32" s="330">
        <v>32.39</v>
      </c>
      <c r="DO32" s="210">
        <v>67.14</v>
      </c>
      <c r="DP32" s="210">
        <v>3.98</v>
      </c>
      <c r="DQ32" s="210">
        <v>32.86</v>
      </c>
      <c r="DR32" s="210">
        <v>8.1300000000000008</v>
      </c>
      <c r="DS32" s="209">
        <v>-30.81</v>
      </c>
      <c r="DT32" s="210">
        <v>0.49</v>
      </c>
      <c r="DU32" s="210">
        <v>-31.48</v>
      </c>
      <c r="DV32" s="330">
        <v>-30.14</v>
      </c>
      <c r="DW32" s="209">
        <v>-32.14</v>
      </c>
      <c r="DX32" s="210">
        <v>0.49</v>
      </c>
      <c r="DY32" s="210">
        <v>-32.799999999999997</v>
      </c>
      <c r="DZ32" s="330">
        <v>-31.48</v>
      </c>
      <c r="EA32" s="209">
        <v>-11.97</v>
      </c>
      <c r="EB32" s="210">
        <v>0.43</v>
      </c>
      <c r="EC32" s="210">
        <v>-12.71</v>
      </c>
      <c r="ED32" s="330">
        <v>-11.22</v>
      </c>
      <c r="EE32" s="209">
        <v>62.7</v>
      </c>
      <c r="EF32" s="210">
        <v>1.23</v>
      </c>
      <c r="EG32" s="210">
        <v>61.15</v>
      </c>
      <c r="EH32" s="330">
        <v>64.180000000000007</v>
      </c>
      <c r="EI32" s="210">
        <v>70.95</v>
      </c>
      <c r="EJ32" s="210">
        <v>0.84</v>
      </c>
      <c r="EK32" s="210">
        <v>29.05</v>
      </c>
      <c r="EL32" s="210">
        <v>2.06</v>
      </c>
      <c r="EM32" s="209">
        <v>-41.56</v>
      </c>
      <c r="EN32" s="210">
        <v>2.5099999999999998</v>
      </c>
      <c r="EO32" s="210">
        <v>-44.43</v>
      </c>
      <c r="EP32" s="330">
        <v>-38.68</v>
      </c>
      <c r="EQ32" s="209">
        <v>-42.32</v>
      </c>
      <c r="ER32" s="210">
        <v>2.52</v>
      </c>
      <c r="ES32" s="210">
        <v>-45.16</v>
      </c>
      <c r="ET32" s="330">
        <v>-39.47</v>
      </c>
      <c r="EU32" s="209">
        <v>-6.21</v>
      </c>
      <c r="EV32" s="210">
        <v>0.94</v>
      </c>
      <c r="EW32" s="210">
        <v>-7.95</v>
      </c>
      <c r="EX32" s="330">
        <v>-4.4800000000000004</v>
      </c>
      <c r="EY32" s="209">
        <v>28.7</v>
      </c>
      <c r="EZ32" s="210">
        <v>3.15</v>
      </c>
      <c r="FA32" s="210">
        <v>26.93</v>
      </c>
      <c r="FB32" s="330">
        <v>30.47</v>
      </c>
      <c r="FC32" s="210">
        <v>79.37</v>
      </c>
      <c r="FD32" s="210">
        <v>0.77</v>
      </c>
      <c r="FE32" s="210">
        <v>20.63</v>
      </c>
      <c r="FF32" s="210">
        <v>2.94</v>
      </c>
      <c r="FG32" s="209">
        <v>-39.049999999999997</v>
      </c>
      <c r="FH32" s="210">
        <v>1.77</v>
      </c>
      <c r="FI32" s="210">
        <v>-41.17</v>
      </c>
      <c r="FJ32" s="330">
        <v>-36.93</v>
      </c>
      <c r="FK32" s="209">
        <v>-39.81</v>
      </c>
      <c r="FL32" s="210">
        <v>1.79</v>
      </c>
      <c r="FM32" s="210">
        <v>-41.92</v>
      </c>
      <c r="FN32" s="330">
        <v>-37.700000000000003</v>
      </c>
      <c r="FO32" s="209">
        <v>-4.18</v>
      </c>
      <c r="FP32" s="210">
        <v>0.7</v>
      </c>
      <c r="FQ32" s="210">
        <v>-5.49</v>
      </c>
      <c r="FR32" s="330">
        <v>-2.87</v>
      </c>
      <c r="FS32" s="209">
        <v>28.4</v>
      </c>
      <c r="FT32" s="210">
        <v>4.99</v>
      </c>
      <c r="FU32" s="210">
        <v>25.63</v>
      </c>
      <c r="FV32" s="330">
        <v>31.19</v>
      </c>
      <c r="FW32" s="210">
        <v>84.61</v>
      </c>
      <c r="FX32" s="210">
        <v>1.54</v>
      </c>
      <c r="FY32" s="210">
        <v>15.39</v>
      </c>
      <c r="FZ32" s="210">
        <v>8.4700000000000006</v>
      </c>
      <c r="GA32" s="209">
        <v>-41.36</v>
      </c>
      <c r="GB32" s="210">
        <v>6.22</v>
      </c>
      <c r="GC32" s="210">
        <v>-48.5</v>
      </c>
      <c r="GD32" s="330">
        <v>-34.21</v>
      </c>
      <c r="GE32" s="209">
        <v>-42.08</v>
      </c>
      <c r="GF32" s="210">
        <v>6.27</v>
      </c>
      <c r="GG32" s="210">
        <v>-49.2</v>
      </c>
      <c r="GH32" s="330">
        <v>-34.96</v>
      </c>
      <c r="GI32" s="209">
        <v>-12.08</v>
      </c>
      <c r="GJ32" s="210">
        <v>1.78</v>
      </c>
      <c r="GK32" s="210">
        <v>-15.14</v>
      </c>
      <c r="GL32" s="330">
        <v>-9.01</v>
      </c>
      <c r="GM32" s="209">
        <v>31.6</v>
      </c>
      <c r="GN32" s="210">
        <v>11.19</v>
      </c>
      <c r="GO32" s="210">
        <v>24.71</v>
      </c>
      <c r="GP32" s="330">
        <v>38.590000000000003</v>
      </c>
      <c r="GQ32" s="210">
        <v>96.36</v>
      </c>
      <c r="GR32" s="210">
        <v>0.36</v>
      </c>
      <c r="GS32" s="210">
        <v>3.64</v>
      </c>
      <c r="GT32" s="210">
        <v>9.66</v>
      </c>
      <c r="GU32" s="209">
        <v>-45.57</v>
      </c>
      <c r="GV32" s="210">
        <v>2.65</v>
      </c>
      <c r="GW32" s="210">
        <v>-48.4</v>
      </c>
      <c r="GX32" s="330">
        <v>-42.75</v>
      </c>
      <c r="GY32" s="209">
        <v>-46.1</v>
      </c>
      <c r="GZ32" s="210">
        <v>2.66</v>
      </c>
      <c r="HA32" s="210">
        <v>-48.91</v>
      </c>
      <c r="HB32" s="330">
        <v>-43.3</v>
      </c>
      <c r="HC32" s="209">
        <v>-3.07</v>
      </c>
      <c r="HD32" s="210">
        <v>1.67</v>
      </c>
      <c r="HE32" s="210">
        <v>-6.25</v>
      </c>
      <c r="HF32" s="330">
        <v>0.1</v>
      </c>
      <c r="HG32" s="209">
        <v>25.1</v>
      </c>
      <c r="HH32" s="210">
        <v>3.78</v>
      </c>
      <c r="HI32" s="210">
        <v>23.26</v>
      </c>
      <c r="HJ32" s="330">
        <v>26.98</v>
      </c>
      <c r="HK32" s="210">
        <v>95.02</v>
      </c>
      <c r="HL32" s="210">
        <v>0.34</v>
      </c>
      <c r="HM32" s="210">
        <v>4.9800000000000004</v>
      </c>
      <c r="HN32" s="210">
        <v>6.43</v>
      </c>
      <c r="HO32" s="209">
        <v>-49.31</v>
      </c>
      <c r="HP32" s="210">
        <v>0.89</v>
      </c>
      <c r="HQ32" s="210">
        <v>-50.2</v>
      </c>
      <c r="HR32" s="330">
        <v>-48.43</v>
      </c>
      <c r="HS32" s="209">
        <v>-50.17</v>
      </c>
      <c r="HT32" s="210">
        <v>0.88</v>
      </c>
      <c r="HU32" s="210">
        <v>-51.03</v>
      </c>
      <c r="HV32" s="330">
        <v>-49.32</v>
      </c>
      <c r="HW32" s="209">
        <v>-5.08</v>
      </c>
      <c r="HX32" s="210">
        <v>0.97</v>
      </c>
      <c r="HY32" s="210">
        <v>-6.89</v>
      </c>
      <c r="HZ32" s="330">
        <v>-3.26</v>
      </c>
      <c r="IA32" s="209">
        <v>35.6</v>
      </c>
      <c r="IB32" s="210">
        <v>3.2</v>
      </c>
      <c r="IC32" s="210">
        <v>33.340000000000003</v>
      </c>
      <c r="ID32" s="330">
        <v>37.799999999999997</v>
      </c>
      <c r="IE32" s="209">
        <v>93.05</v>
      </c>
      <c r="IF32" s="210">
        <v>0.61</v>
      </c>
      <c r="IG32" s="210">
        <v>6.95</v>
      </c>
      <c r="IH32" s="330">
        <v>8.1199999999999992</v>
      </c>
    </row>
    <row r="33" spans="1:242" s="27" customFormat="1" ht="15.75" customHeight="1" x14ac:dyDescent="0.2">
      <c r="A33" s="26"/>
      <c r="B33" s="28" t="s">
        <v>14</v>
      </c>
      <c r="C33" s="211">
        <v>-88.88</v>
      </c>
      <c r="D33" s="212">
        <v>5.23</v>
      </c>
      <c r="E33" s="212">
        <v>-90.02</v>
      </c>
      <c r="F33" s="331">
        <v>-87.74</v>
      </c>
      <c r="G33" s="211">
        <v>-88.3</v>
      </c>
      <c r="H33" s="212">
        <v>5.67</v>
      </c>
      <c r="I33" s="212">
        <v>-89.6</v>
      </c>
      <c r="J33" s="331">
        <v>-87</v>
      </c>
      <c r="K33" s="211">
        <v>-24.64</v>
      </c>
      <c r="L33" s="212">
        <v>1.56</v>
      </c>
      <c r="M33" s="212">
        <v>-26.94</v>
      </c>
      <c r="N33" s="331">
        <v>-22.34</v>
      </c>
      <c r="O33" s="211">
        <v>8.8000000000000007</v>
      </c>
      <c r="P33" s="212">
        <v>12.25</v>
      </c>
      <c r="Q33" s="212">
        <v>6.67</v>
      </c>
      <c r="R33" s="331">
        <v>10.88</v>
      </c>
      <c r="S33" s="212">
        <v>64.52</v>
      </c>
      <c r="T33" s="212">
        <v>8.82</v>
      </c>
      <c r="U33" s="212">
        <v>35.479999999999997</v>
      </c>
      <c r="V33" s="212">
        <v>16.03</v>
      </c>
      <c r="W33" s="211">
        <v>-99.03</v>
      </c>
      <c r="X33" s="212">
        <v>10.87</v>
      </c>
      <c r="Y33" s="212">
        <v>-99.24</v>
      </c>
      <c r="Z33" s="331">
        <v>-98.82</v>
      </c>
      <c r="AA33" s="211">
        <v>-98.94</v>
      </c>
      <c r="AB33" s="212">
        <v>10.78</v>
      </c>
      <c r="AC33" s="212">
        <v>-99.16</v>
      </c>
      <c r="AD33" s="331">
        <v>-98.72</v>
      </c>
      <c r="AE33" s="211">
        <v>-24.96</v>
      </c>
      <c r="AF33" s="212">
        <v>1.7</v>
      </c>
      <c r="AG33" s="212">
        <v>-27.45</v>
      </c>
      <c r="AH33" s="331">
        <v>-22.46</v>
      </c>
      <c r="AI33" s="211">
        <v>5.6</v>
      </c>
      <c r="AJ33" s="212">
        <v>10.86</v>
      </c>
      <c r="AK33" s="212">
        <v>4.41</v>
      </c>
      <c r="AL33" s="331">
        <v>6.8</v>
      </c>
      <c r="AM33" s="212">
        <v>68.16</v>
      </c>
      <c r="AN33" s="212">
        <v>15.03</v>
      </c>
      <c r="AO33" s="212">
        <v>31.84</v>
      </c>
      <c r="AP33" s="212">
        <v>32.17</v>
      </c>
      <c r="AQ33" s="211">
        <v>-97.58</v>
      </c>
      <c r="AR33" s="212">
        <v>13.1</v>
      </c>
      <c r="AS33" s="212">
        <v>-98.2</v>
      </c>
      <c r="AT33" s="331">
        <v>-96.96</v>
      </c>
      <c r="AU33" s="211">
        <v>-97.43</v>
      </c>
      <c r="AV33" s="212">
        <v>12.25</v>
      </c>
      <c r="AW33" s="212">
        <v>-98.05</v>
      </c>
      <c r="AX33" s="331">
        <v>-96.82</v>
      </c>
      <c r="AY33" s="211">
        <v>-21.72</v>
      </c>
      <c r="AZ33" s="212">
        <v>1.55</v>
      </c>
      <c r="BA33" s="212">
        <v>-24.1</v>
      </c>
      <c r="BB33" s="331">
        <v>-19.34</v>
      </c>
      <c r="BC33" s="211">
        <v>7</v>
      </c>
      <c r="BD33" s="212">
        <v>10.99</v>
      </c>
      <c r="BE33" s="212">
        <v>5.49</v>
      </c>
      <c r="BF33" s="331">
        <v>8.51</v>
      </c>
      <c r="BG33" s="212">
        <v>99.65</v>
      </c>
      <c r="BH33" s="212">
        <v>0.23</v>
      </c>
      <c r="BI33" s="212">
        <v>0.35</v>
      </c>
      <c r="BJ33" s="212">
        <v>66.209999999999994</v>
      </c>
      <c r="BK33" s="211">
        <v>-96.77</v>
      </c>
      <c r="BL33" s="212">
        <v>6.03</v>
      </c>
      <c r="BM33" s="212">
        <v>-97.15</v>
      </c>
      <c r="BN33" s="331">
        <v>-96.39</v>
      </c>
      <c r="BO33" s="211">
        <v>-96.45</v>
      </c>
      <c r="BP33" s="212">
        <v>6.09</v>
      </c>
      <c r="BQ33" s="212">
        <v>-96.87</v>
      </c>
      <c r="BR33" s="331">
        <v>-96.03</v>
      </c>
      <c r="BS33" s="211">
        <v>-24.67</v>
      </c>
      <c r="BT33" s="212">
        <v>1.63</v>
      </c>
      <c r="BU33" s="212">
        <v>-27.07</v>
      </c>
      <c r="BV33" s="331">
        <v>-22.26</v>
      </c>
      <c r="BW33" s="211">
        <v>9.3000000000000007</v>
      </c>
      <c r="BX33" s="212">
        <v>8.5</v>
      </c>
      <c r="BY33" s="212">
        <v>7.76</v>
      </c>
      <c r="BZ33" s="331">
        <v>10.86</v>
      </c>
      <c r="CA33" s="212">
        <v>72.489999999999995</v>
      </c>
      <c r="CB33" s="212">
        <v>10.23</v>
      </c>
      <c r="CC33" s="212">
        <v>27.51</v>
      </c>
      <c r="CD33" s="212">
        <v>26.97</v>
      </c>
      <c r="CE33" s="211">
        <v>-97.88</v>
      </c>
      <c r="CF33" s="212">
        <v>3.06</v>
      </c>
      <c r="CG33" s="212">
        <v>-98.01</v>
      </c>
      <c r="CH33" s="331">
        <v>-97.76</v>
      </c>
      <c r="CI33" s="211">
        <v>-97.66</v>
      </c>
      <c r="CJ33" s="212">
        <v>3.12</v>
      </c>
      <c r="CK33" s="212">
        <v>-97.8</v>
      </c>
      <c r="CL33" s="331">
        <v>-97.51</v>
      </c>
      <c r="CM33" s="211">
        <v>-29.47</v>
      </c>
      <c r="CN33" s="212">
        <v>1.49</v>
      </c>
      <c r="CO33" s="212">
        <v>-31.53</v>
      </c>
      <c r="CP33" s="331">
        <v>-27.4</v>
      </c>
      <c r="CQ33" s="211">
        <v>11.8</v>
      </c>
      <c r="CR33" s="212">
        <v>6.36</v>
      </c>
      <c r="CS33" s="212">
        <v>10.36</v>
      </c>
      <c r="CT33" s="331">
        <v>13.32</v>
      </c>
      <c r="CU33" s="212">
        <v>99.8</v>
      </c>
      <c r="CV33" s="212">
        <v>0.04</v>
      </c>
      <c r="CW33" s="212">
        <v>0.2</v>
      </c>
      <c r="CX33" s="212">
        <v>21.64</v>
      </c>
      <c r="CY33" s="211">
        <v>-95.13</v>
      </c>
      <c r="CZ33" s="212">
        <v>10.77</v>
      </c>
      <c r="DA33" s="212">
        <v>-96.16</v>
      </c>
      <c r="DB33" s="331">
        <v>-94.1</v>
      </c>
      <c r="DC33" s="211">
        <v>-94.58</v>
      </c>
      <c r="DD33" s="212">
        <v>10.76</v>
      </c>
      <c r="DE33" s="212">
        <v>-95.72</v>
      </c>
      <c r="DF33" s="331">
        <v>-93.44</v>
      </c>
      <c r="DG33" s="211">
        <v>-26.76</v>
      </c>
      <c r="DH33" s="212">
        <v>1.88</v>
      </c>
      <c r="DI33" s="212">
        <v>-29.45</v>
      </c>
      <c r="DJ33" s="331">
        <v>-24.06</v>
      </c>
      <c r="DK33" s="211">
        <v>9.6999999999999993</v>
      </c>
      <c r="DL33" s="212">
        <v>7.04</v>
      </c>
      <c r="DM33" s="212">
        <v>8.36</v>
      </c>
      <c r="DN33" s="331">
        <v>11.03</v>
      </c>
      <c r="DO33" s="212">
        <v>79.41</v>
      </c>
      <c r="DP33" s="212">
        <v>3.46</v>
      </c>
      <c r="DQ33" s="212">
        <v>20.59</v>
      </c>
      <c r="DR33" s="212">
        <v>13.35</v>
      </c>
      <c r="DS33" s="211">
        <v>-100</v>
      </c>
      <c r="DT33" s="212">
        <v>0</v>
      </c>
      <c r="DU33" s="212">
        <v>-100</v>
      </c>
      <c r="DV33" s="331">
        <v>-100</v>
      </c>
      <c r="DW33" s="211">
        <v>-100</v>
      </c>
      <c r="DX33" s="212">
        <v>0</v>
      </c>
      <c r="DY33" s="212">
        <v>-100</v>
      </c>
      <c r="DZ33" s="331">
        <v>-100</v>
      </c>
      <c r="EA33" s="211">
        <v>-20.079999999999998</v>
      </c>
      <c r="EB33" s="212">
        <v>0.41</v>
      </c>
      <c r="EC33" s="212">
        <v>-20.71</v>
      </c>
      <c r="ED33" s="331">
        <v>-19.440000000000001</v>
      </c>
      <c r="EE33" s="211">
        <v>0</v>
      </c>
      <c r="EF33" s="212">
        <v>0</v>
      </c>
      <c r="EG33" s="212">
        <v>0</v>
      </c>
      <c r="EH33" s="331">
        <v>0</v>
      </c>
      <c r="EI33" s="212">
        <v>0</v>
      </c>
      <c r="EJ33" s="212">
        <v>0</v>
      </c>
      <c r="EK33" s="212">
        <v>0</v>
      </c>
      <c r="EL33" s="212">
        <v>0</v>
      </c>
      <c r="EM33" s="211">
        <v>-95.68</v>
      </c>
      <c r="EN33" s="212">
        <v>11.1</v>
      </c>
      <c r="EO33" s="212">
        <v>-96.62</v>
      </c>
      <c r="EP33" s="331">
        <v>-94.74</v>
      </c>
      <c r="EQ33" s="211">
        <v>-95.28</v>
      </c>
      <c r="ER33" s="212">
        <v>11.2</v>
      </c>
      <c r="ES33" s="212">
        <v>-96.32</v>
      </c>
      <c r="ET33" s="331">
        <v>-94.24</v>
      </c>
      <c r="EU33" s="211">
        <v>-21.16</v>
      </c>
      <c r="EV33" s="212">
        <v>1.42</v>
      </c>
      <c r="EW33" s="212">
        <v>-23.35</v>
      </c>
      <c r="EX33" s="331">
        <v>-18.98</v>
      </c>
      <c r="EY33" s="211">
        <v>7.7</v>
      </c>
      <c r="EZ33" s="212">
        <v>14.22</v>
      </c>
      <c r="FA33" s="212">
        <v>5.58</v>
      </c>
      <c r="FB33" s="331">
        <v>9.89</v>
      </c>
      <c r="FC33" s="212">
        <v>84.13</v>
      </c>
      <c r="FD33" s="212">
        <v>1.61</v>
      </c>
      <c r="FE33" s="212">
        <v>15.87</v>
      </c>
      <c r="FF33" s="212">
        <v>8.5299999999999994</v>
      </c>
      <c r="FG33" s="211">
        <v>-92.71</v>
      </c>
      <c r="FH33" s="212">
        <v>12.36</v>
      </c>
      <c r="FI33" s="212">
        <v>-94.48</v>
      </c>
      <c r="FJ33" s="331">
        <v>-90.95</v>
      </c>
      <c r="FK33" s="211">
        <v>-92.16</v>
      </c>
      <c r="FL33" s="212">
        <v>12.89</v>
      </c>
      <c r="FM33" s="212">
        <v>-94.14</v>
      </c>
      <c r="FN33" s="331">
        <v>-90.18</v>
      </c>
      <c r="FO33" s="211">
        <v>-24.9</v>
      </c>
      <c r="FP33" s="212">
        <v>1.61</v>
      </c>
      <c r="FQ33" s="212">
        <v>-27.28</v>
      </c>
      <c r="FR33" s="331">
        <v>-22.53</v>
      </c>
      <c r="FS33" s="211">
        <v>12.2</v>
      </c>
      <c r="FT33" s="212">
        <v>25.97</v>
      </c>
      <c r="FU33" s="212">
        <v>6</v>
      </c>
      <c r="FV33" s="331">
        <v>18.45</v>
      </c>
      <c r="FW33" s="212">
        <v>96.59</v>
      </c>
      <c r="FX33" s="212">
        <v>1.66</v>
      </c>
      <c r="FY33" s="212">
        <v>3.41</v>
      </c>
      <c r="FZ33" s="212">
        <v>47.02</v>
      </c>
      <c r="GA33" s="211">
        <v>-95.32</v>
      </c>
      <c r="GB33" s="212">
        <v>12.98</v>
      </c>
      <c r="GC33" s="212">
        <v>-96.51</v>
      </c>
      <c r="GD33" s="331">
        <v>-94.13</v>
      </c>
      <c r="GE33" s="211">
        <v>-94.87</v>
      </c>
      <c r="GF33" s="212">
        <v>12.93</v>
      </c>
      <c r="GG33" s="212">
        <v>-96.17</v>
      </c>
      <c r="GH33" s="331">
        <v>-93.57</v>
      </c>
      <c r="GI33" s="211">
        <v>-32.85</v>
      </c>
      <c r="GJ33" s="212">
        <v>2.76</v>
      </c>
      <c r="GK33" s="212">
        <v>-36.49</v>
      </c>
      <c r="GL33" s="331">
        <v>-29.21</v>
      </c>
      <c r="GM33" s="211">
        <v>9.5</v>
      </c>
      <c r="GN33" s="212">
        <v>16.02</v>
      </c>
      <c r="GO33" s="212">
        <v>6.51</v>
      </c>
      <c r="GP33" s="331">
        <v>12.48</v>
      </c>
      <c r="GQ33" s="212">
        <v>94.26</v>
      </c>
      <c r="GR33" s="212">
        <v>1.41</v>
      </c>
      <c r="GS33" s="212">
        <v>5.74</v>
      </c>
      <c r="GT33" s="212">
        <v>23.17</v>
      </c>
      <c r="GU33" s="211">
        <v>-98.68</v>
      </c>
      <c r="GV33" s="212">
        <v>11.03</v>
      </c>
      <c r="GW33" s="212">
        <v>-98.96</v>
      </c>
      <c r="GX33" s="331">
        <v>-98.39</v>
      </c>
      <c r="GY33" s="211">
        <v>-98.51</v>
      </c>
      <c r="GZ33" s="212">
        <v>11.16</v>
      </c>
      <c r="HA33" s="212">
        <v>-98.83</v>
      </c>
      <c r="HB33" s="331">
        <v>-98.18</v>
      </c>
      <c r="HC33" s="211">
        <v>-14.74</v>
      </c>
      <c r="HD33" s="212">
        <v>1.89</v>
      </c>
      <c r="HE33" s="212">
        <v>-17.91</v>
      </c>
      <c r="HF33" s="331">
        <v>-11.58</v>
      </c>
      <c r="HG33" s="211">
        <v>8.5</v>
      </c>
      <c r="HH33" s="212">
        <v>6.78</v>
      </c>
      <c r="HI33" s="212">
        <v>7.34</v>
      </c>
      <c r="HJ33" s="331">
        <v>9.58</v>
      </c>
      <c r="HK33" s="212">
        <v>100</v>
      </c>
      <c r="HL33" s="212">
        <v>0</v>
      </c>
      <c r="HM33" s="212">
        <v>0</v>
      </c>
      <c r="HN33" s="212">
        <v>0</v>
      </c>
      <c r="HO33" s="211">
        <v>-95.8</v>
      </c>
      <c r="HP33" s="212">
        <v>2.4</v>
      </c>
      <c r="HQ33" s="212">
        <v>-96</v>
      </c>
      <c r="HR33" s="331">
        <v>-95.6</v>
      </c>
      <c r="HS33" s="211">
        <v>-95.55</v>
      </c>
      <c r="HT33" s="212">
        <v>2.39</v>
      </c>
      <c r="HU33" s="212">
        <v>-95.76</v>
      </c>
      <c r="HV33" s="331">
        <v>-95.34</v>
      </c>
      <c r="HW33" s="211">
        <v>-22.52</v>
      </c>
      <c r="HX33" s="212">
        <v>1.97</v>
      </c>
      <c r="HY33" s="212">
        <v>-25.5</v>
      </c>
      <c r="HZ33" s="331">
        <v>-19.53</v>
      </c>
      <c r="IA33" s="211">
        <v>24.3</v>
      </c>
      <c r="IB33" s="212">
        <v>13.02</v>
      </c>
      <c r="IC33" s="212">
        <v>18.13</v>
      </c>
      <c r="ID33" s="331">
        <v>30.55</v>
      </c>
      <c r="IE33" s="211">
        <v>100</v>
      </c>
      <c r="IF33" s="212">
        <v>0</v>
      </c>
      <c r="IG33" s="212">
        <v>0</v>
      </c>
      <c r="IH33" s="331">
        <v>0</v>
      </c>
    </row>
    <row r="34" spans="1:242" s="27" customFormat="1" ht="15.75" customHeight="1" x14ac:dyDescent="0.2">
      <c r="A34" s="26"/>
      <c r="B34" s="64" t="s">
        <v>15</v>
      </c>
      <c r="C34" s="209">
        <v>-91.5</v>
      </c>
      <c r="D34" s="210">
        <v>6.15</v>
      </c>
      <c r="E34" s="210">
        <v>-92.53</v>
      </c>
      <c r="F34" s="330">
        <v>-90.48</v>
      </c>
      <c r="G34" s="209">
        <v>-91.06</v>
      </c>
      <c r="H34" s="210">
        <v>6.51</v>
      </c>
      <c r="I34" s="210">
        <v>-92.2</v>
      </c>
      <c r="J34" s="330">
        <v>-89.92</v>
      </c>
      <c r="K34" s="209">
        <v>-33.5</v>
      </c>
      <c r="L34" s="210">
        <v>1.99</v>
      </c>
      <c r="M34" s="210">
        <v>-36.090000000000003</v>
      </c>
      <c r="N34" s="330">
        <v>-30.9</v>
      </c>
      <c r="O34" s="209">
        <v>10.1</v>
      </c>
      <c r="P34" s="210">
        <v>10.33</v>
      </c>
      <c r="Q34" s="210">
        <v>8.02</v>
      </c>
      <c r="R34" s="330">
        <v>12.09</v>
      </c>
      <c r="S34" s="210">
        <v>74.13</v>
      </c>
      <c r="T34" s="210">
        <v>2.78</v>
      </c>
      <c r="U34" s="210">
        <v>25.87</v>
      </c>
      <c r="V34" s="210">
        <v>7.96</v>
      </c>
      <c r="W34" s="209">
        <v>-98.67</v>
      </c>
      <c r="X34" s="210">
        <v>17.43</v>
      </c>
      <c r="Y34" s="210">
        <v>-99.12</v>
      </c>
      <c r="Z34" s="330">
        <v>-98.21</v>
      </c>
      <c r="AA34" s="209">
        <v>-98.54</v>
      </c>
      <c r="AB34" s="210">
        <v>17.940000000000001</v>
      </c>
      <c r="AC34" s="210">
        <v>-99.06</v>
      </c>
      <c r="AD34" s="330">
        <v>-98.03</v>
      </c>
      <c r="AE34" s="209">
        <v>-31.8</v>
      </c>
      <c r="AF34" s="210">
        <v>1.98</v>
      </c>
      <c r="AG34" s="210">
        <v>-34.450000000000003</v>
      </c>
      <c r="AH34" s="330">
        <v>-29.16</v>
      </c>
      <c r="AI34" s="209">
        <v>13.5</v>
      </c>
      <c r="AJ34" s="210">
        <v>22.08</v>
      </c>
      <c r="AK34" s="210">
        <v>7.64</v>
      </c>
      <c r="AL34" s="330">
        <v>19.309999999999999</v>
      </c>
      <c r="AM34" s="210">
        <v>89.8</v>
      </c>
      <c r="AN34" s="210">
        <v>5.85</v>
      </c>
      <c r="AO34" s="210">
        <v>10.199999999999999</v>
      </c>
      <c r="AP34" s="210">
        <v>51.5</v>
      </c>
      <c r="AQ34" s="209">
        <v>-93.58</v>
      </c>
      <c r="AR34" s="210">
        <v>6.49</v>
      </c>
      <c r="AS34" s="210">
        <v>-94.4</v>
      </c>
      <c r="AT34" s="330">
        <v>-92.77</v>
      </c>
      <c r="AU34" s="209">
        <v>-93.17</v>
      </c>
      <c r="AV34" s="210">
        <v>6.22</v>
      </c>
      <c r="AW34" s="210">
        <v>-94</v>
      </c>
      <c r="AX34" s="330">
        <v>-92.33</v>
      </c>
      <c r="AY34" s="209">
        <v>-24.65</v>
      </c>
      <c r="AZ34" s="210">
        <v>1.6</v>
      </c>
      <c r="BA34" s="210">
        <v>-27.02</v>
      </c>
      <c r="BB34" s="330">
        <v>-22.29</v>
      </c>
      <c r="BC34" s="209">
        <v>12</v>
      </c>
      <c r="BD34" s="210">
        <v>9.61</v>
      </c>
      <c r="BE34" s="210">
        <v>9.76</v>
      </c>
      <c r="BF34" s="330">
        <v>14.29</v>
      </c>
      <c r="BG34" s="210">
        <v>99.73</v>
      </c>
      <c r="BH34" s="210">
        <v>0.11</v>
      </c>
      <c r="BI34" s="210">
        <v>0.27</v>
      </c>
      <c r="BJ34" s="210">
        <v>42.66</v>
      </c>
      <c r="BK34" s="209">
        <v>-96.01</v>
      </c>
      <c r="BL34" s="210">
        <v>5.73</v>
      </c>
      <c r="BM34" s="210">
        <v>-96.46</v>
      </c>
      <c r="BN34" s="330">
        <v>-95.56</v>
      </c>
      <c r="BO34" s="209">
        <v>-95.61</v>
      </c>
      <c r="BP34" s="210">
        <v>5.76</v>
      </c>
      <c r="BQ34" s="210">
        <v>-96.11</v>
      </c>
      <c r="BR34" s="330">
        <v>-95.12</v>
      </c>
      <c r="BS34" s="209">
        <v>-30.05</v>
      </c>
      <c r="BT34" s="210">
        <v>1.8</v>
      </c>
      <c r="BU34" s="210">
        <v>-32.51</v>
      </c>
      <c r="BV34" s="330">
        <v>-27.59</v>
      </c>
      <c r="BW34" s="209">
        <v>9.1</v>
      </c>
      <c r="BX34" s="210">
        <v>6.52</v>
      </c>
      <c r="BY34" s="210">
        <v>7.92</v>
      </c>
      <c r="BZ34" s="330">
        <v>10.24</v>
      </c>
      <c r="CA34" s="210">
        <v>85.88</v>
      </c>
      <c r="CB34" s="210">
        <v>1.94</v>
      </c>
      <c r="CC34" s="210">
        <v>14.12</v>
      </c>
      <c r="CD34" s="210">
        <v>11.81</v>
      </c>
      <c r="CE34" s="209">
        <v>-96.37</v>
      </c>
      <c r="CF34" s="210">
        <v>3.6</v>
      </c>
      <c r="CG34" s="210">
        <v>-96.63</v>
      </c>
      <c r="CH34" s="330">
        <v>-96.12</v>
      </c>
      <c r="CI34" s="209">
        <v>-96.06</v>
      </c>
      <c r="CJ34" s="210">
        <v>3.72</v>
      </c>
      <c r="CK34" s="210">
        <v>-96.35</v>
      </c>
      <c r="CL34" s="330">
        <v>-95.77</v>
      </c>
      <c r="CM34" s="209">
        <v>-36.770000000000003</v>
      </c>
      <c r="CN34" s="210">
        <v>1.78</v>
      </c>
      <c r="CO34" s="210">
        <v>-38.97</v>
      </c>
      <c r="CP34" s="330">
        <v>-34.57</v>
      </c>
      <c r="CQ34" s="209">
        <v>11.5</v>
      </c>
      <c r="CR34" s="210">
        <v>7.06</v>
      </c>
      <c r="CS34" s="210">
        <v>9.9</v>
      </c>
      <c r="CT34" s="330">
        <v>13.07</v>
      </c>
      <c r="CU34" s="210">
        <v>99.83</v>
      </c>
      <c r="CV34" s="210">
        <v>0.03</v>
      </c>
      <c r="CW34" s="210">
        <v>0.17</v>
      </c>
      <c r="CX34" s="210">
        <v>20.61</v>
      </c>
      <c r="CY34" s="209">
        <v>-94.48</v>
      </c>
      <c r="CZ34" s="210">
        <v>11.07</v>
      </c>
      <c r="DA34" s="210">
        <v>-95.67</v>
      </c>
      <c r="DB34" s="330">
        <v>-93.28</v>
      </c>
      <c r="DC34" s="209">
        <v>-93.91</v>
      </c>
      <c r="DD34" s="210">
        <v>11.08</v>
      </c>
      <c r="DE34" s="210">
        <v>-95.23</v>
      </c>
      <c r="DF34" s="330">
        <v>-92.59</v>
      </c>
      <c r="DG34" s="209">
        <v>-35.369999999999997</v>
      </c>
      <c r="DH34" s="210">
        <v>3.25</v>
      </c>
      <c r="DI34" s="210">
        <v>-39.49</v>
      </c>
      <c r="DJ34" s="330">
        <v>-31.25</v>
      </c>
      <c r="DK34" s="209">
        <v>13.8</v>
      </c>
      <c r="DL34" s="210">
        <v>11.19</v>
      </c>
      <c r="DM34" s="210">
        <v>10.81</v>
      </c>
      <c r="DN34" s="330">
        <v>16.89</v>
      </c>
      <c r="DO34" s="210">
        <v>89.43</v>
      </c>
      <c r="DP34" s="210">
        <v>2.2000000000000002</v>
      </c>
      <c r="DQ34" s="210">
        <v>10.57</v>
      </c>
      <c r="DR34" s="210">
        <v>18.57</v>
      </c>
      <c r="DS34" s="209">
        <v>-100</v>
      </c>
      <c r="DT34" s="210">
        <v>0</v>
      </c>
      <c r="DU34" s="210">
        <v>-100</v>
      </c>
      <c r="DV34" s="330">
        <v>-100</v>
      </c>
      <c r="DW34" s="209">
        <v>-100</v>
      </c>
      <c r="DX34" s="210">
        <v>0</v>
      </c>
      <c r="DY34" s="210">
        <v>-100</v>
      </c>
      <c r="DZ34" s="330">
        <v>-100</v>
      </c>
      <c r="EA34" s="209">
        <v>-21.29</v>
      </c>
      <c r="EB34" s="210">
        <v>0.83</v>
      </c>
      <c r="EC34" s="210">
        <v>-22.57</v>
      </c>
      <c r="ED34" s="330">
        <v>-20</v>
      </c>
      <c r="EE34" s="209">
        <v>0</v>
      </c>
      <c r="EF34" s="210">
        <v>0</v>
      </c>
      <c r="EG34" s="210">
        <v>0</v>
      </c>
      <c r="EH34" s="330">
        <v>0</v>
      </c>
      <c r="EI34" s="210">
        <v>0</v>
      </c>
      <c r="EJ34" s="210">
        <v>0</v>
      </c>
      <c r="EK34" s="210">
        <v>0</v>
      </c>
      <c r="EL34" s="210">
        <v>0</v>
      </c>
      <c r="EM34" s="209">
        <v>-94.1</v>
      </c>
      <c r="EN34" s="210">
        <v>10.08</v>
      </c>
      <c r="EO34" s="210">
        <v>-95.27</v>
      </c>
      <c r="EP34" s="330">
        <v>-92.94</v>
      </c>
      <c r="EQ34" s="209">
        <v>-93.62</v>
      </c>
      <c r="ER34" s="210">
        <v>10.17</v>
      </c>
      <c r="ES34" s="210">
        <v>-94.89</v>
      </c>
      <c r="ET34" s="330">
        <v>-92.34</v>
      </c>
      <c r="EU34" s="209">
        <v>-25.8</v>
      </c>
      <c r="EV34" s="210">
        <v>1.47</v>
      </c>
      <c r="EW34" s="210">
        <v>-27.93</v>
      </c>
      <c r="EX34" s="330">
        <v>-23.66</v>
      </c>
      <c r="EY34" s="209">
        <v>10.4</v>
      </c>
      <c r="EZ34" s="210">
        <v>8.42</v>
      </c>
      <c r="FA34" s="210">
        <v>8.7200000000000006</v>
      </c>
      <c r="FB34" s="330">
        <v>12.17</v>
      </c>
      <c r="FC34" s="210">
        <v>94.56</v>
      </c>
      <c r="FD34" s="210">
        <v>0.27</v>
      </c>
      <c r="FE34" s="210">
        <v>5.44</v>
      </c>
      <c r="FF34" s="210">
        <v>4.72</v>
      </c>
      <c r="FG34" s="209">
        <v>-92.17</v>
      </c>
      <c r="FH34" s="210">
        <v>10.95</v>
      </c>
      <c r="FI34" s="210">
        <v>-93.85</v>
      </c>
      <c r="FJ34" s="330">
        <v>-90.49</v>
      </c>
      <c r="FK34" s="209">
        <v>-91.7</v>
      </c>
      <c r="FL34" s="210">
        <v>11.59</v>
      </c>
      <c r="FM34" s="210">
        <v>-93.59</v>
      </c>
      <c r="FN34" s="330">
        <v>-89.82</v>
      </c>
      <c r="FO34" s="209">
        <v>-33.33</v>
      </c>
      <c r="FP34" s="210">
        <v>2.06</v>
      </c>
      <c r="FQ34" s="210">
        <v>-36.01</v>
      </c>
      <c r="FR34" s="330">
        <v>-30.64</v>
      </c>
      <c r="FS34" s="209">
        <v>11.5</v>
      </c>
      <c r="FT34" s="210">
        <v>28.77</v>
      </c>
      <c r="FU34" s="210">
        <v>5.01</v>
      </c>
      <c r="FV34" s="330">
        <v>17.97</v>
      </c>
      <c r="FW34" s="210">
        <v>95.62</v>
      </c>
      <c r="FX34" s="210">
        <v>2.1</v>
      </c>
      <c r="FY34" s="210">
        <v>4.38</v>
      </c>
      <c r="FZ34" s="210">
        <v>45.94</v>
      </c>
      <c r="GA34" s="209">
        <v>-92.92</v>
      </c>
      <c r="GB34" s="210">
        <v>8.4499999999999993</v>
      </c>
      <c r="GC34" s="210">
        <v>-94.09</v>
      </c>
      <c r="GD34" s="330">
        <v>-91.75</v>
      </c>
      <c r="GE34" s="209">
        <v>-92.2</v>
      </c>
      <c r="GF34" s="210">
        <v>8.7200000000000006</v>
      </c>
      <c r="GG34" s="210">
        <v>-93.53</v>
      </c>
      <c r="GH34" s="330">
        <v>-90.86</v>
      </c>
      <c r="GI34" s="209">
        <v>-31.83</v>
      </c>
      <c r="GJ34" s="210">
        <v>4.07</v>
      </c>
      <c r="GK34" s="210">
        <v>-37.270000000000003</v>
      </c>
      <c r="GL34" s="330">
        <v>-26.4</v>
      </c>
      <c r="GM34" s="209">
        <v>8.1</v>
      </c>
      <c r="GN34" s="210">
        <v>10.1</v>
      </c>
      <c r="GO34" s="210">
        <v>6.5</v>
      </c>
      <c r="GP34" s="330">
        <v>9.7100000000000009</v>
      </c>
      <c r="GQ34" s="210">
        <v>96.8</v>
      </c>
      <c r="GR34" s="210">
        <v>0.25</v>
      </c>
      <c r="GS34" s="210">
        <v>3.2</v>
      </c>
      <c r="GT34" s="210">
        <v>7.59</v>
      </c>
      <c r="GU34" s="209">
        <v>-98.27</v>
      </c>
      <c r="GV34" s="210">
        <v>9.64</v>
      </c>
      <c r="GW34" s="210">
        <v>-98.6</v>
      </c>
      <c r="GX34" s="330">
        <v>-97.94</v>
      </c>
      <c r="GY34" s="209">
        <v>-98.11</v>
      </c>
      <c r="GZ34" s="210">
        <v>9.9600000000000009</v>
      </c>
      <c r="HA34" s="210">
        <v>-98.48</v>
      </c>
      <c r="HB34" s="330">
        <v>-97.74</v>
      </c>
      <c r="HC34" s="209">
        <v>-23.16</v>
      </c>
      <c r="HD34" s="210">
        <v>2.02</v>
      </c>
      <c r="HE34" s="210">
        <v>-26.2</v>
      </c>
      <c r="HF34" s="330">
        <v>-20.11</v>
      </c>
      <c r="HG34" s="209">
        <v>17.100000000000001</v>
      </c>
      <c r="HH34" s="210">
        <v>6.94</v>
      </c>
      <c r="HI34" s="210">
        <v>14.79</v>
      </c>
      <c r="HJ34" s="330">
        <v>19.45</v>
      </c>
      <c r="HK34" s="210">
        <v>100</v>
      </c>
      <c r="HL34" s="210">
        <v>0</v>
      </c>
      <c r="HM34" s="210">
        <v>0</v>
      </c>
      <c r="HN34" s="210">
        <v>0</v>
      </c>
      <c r="HO34" s="209">
        <v>-95.35</v>
      </c>
      <c r="HP34" s="210">
        <v>4.05</v>
      </c>
      <c r="HQ34" s="210">
        <v>-95.72</v>
      </c>
      <c r="HR34" s="330">
        <v>-94.98</v>
      </c>
      <c r="HS34" s="209">
        <v>-95.16</v>
      </c>
      <c r="HT34" s="210">
        <v>4.04</v>
      </c>
      <c r="HU34" s="210">
        <v>-95.54</v>
      </c>
      <c r="HV34" s="330">
        <v>-94.78</v>
      </c>
      <c r="HW34" s="209">
        <v>-31.07</v>
      </c>
      <c r="HX34" s="210">
        <v>2.2599999999999998</v>
      </c>
      <c r="HY34" s="210">
        <v>-34.119999999999997</v>
      </c>
      <c r="HZ34" s="330">
        <v>-28.01</v>
      </c>
      <c r="IA34" s="209">
        <v>29.6</v>
      </c>
      <c r="IB34" s="210">
        <v>16.3</v>
      </c>
      <c r="IC34" s="210">
        <v>20.149999999999999</v>
      </c>
      <c r="ID34" s="330">
        <v>39.06</v>
      </c>
      <c r="IE34" s="209">
        <v>98.99</v>
      </c>
      <c r="IF34" s="210">
        <v>0.39</v>
      </c>
      <c r="IG34" s="210">
        <v>1.01</v>
      </c>
      <c r="IH34" s="330">
        <v>38.659999999999997</v>
      </c>
    </row>
    <row r="35" spans="1:242" s="27" customFormat="1" ht="15.75" customHeight="1" x14ac:dyDescent="0.2">
      <c r="A35" s="26"/>
      <c r="B35" s="28" t="s">
        <v>16</v>
      </c>
      <c r="C35" s="211">
        <v>-87.55</v>
      </c>
      <c r="D35" s="212">
        <v>4.16</v>
      </c>
      <c r="E35" s="212">
        <v>-88.57</v>
      </c>
      <c r="F35" s="331">
        <v>-86.54</v>
      </c>
      <c r="G35" s="211">
        <v>-86.69</v>
      </c>
      <c r="H35" s="212">
        <v>4.38</v>
      </c>
      <c r="I35" s="212">
        <v>-87.83</v>
      </c>
      <c r="J35" s="331">
        <v>-85.54</v>
      </c>
      <c r="K35" s="211">
        <v>-41.75</v>
      </c>
      <c r="L35" s="212">
        <v>2.2400000000000002</v>
      </c>
      <c r="M35" s="212">
        <v>-44.32</v>
      </c>
      <c r="N35" s="331">
        <v>-39.19</v>
      </c>
      <c r="O35" s="211">
        <v>11.8</v>
      </c>
      <c r="P35" s="212">
        <v>8</v>
      </c>
      <c r="Q35" s="212">
        <v>9.9499999999999993</v>
      </c>
      <c r="R35" s="331">
        <v>13.65</v>
      </c>
      <c r="S35" s="212">
        <v>79.03</v>
      </c>
      <c r="T35" s="212">
        <v>3.03</v>
      </c>
      <c r="U35" s="212">
        <v>20.97</v>
      </c>
      <c r="V35" s="212">
        <v>11.41</v>
      </c>
      <c r="W35" s="211">
        <v>-98.39</v>
      </c>
      <c r="X35" s="212">
        <v>13.21</v>
      </c>
      <c r="Y35" s="212">
        <v>-98.8</v>
      </c>
      <c r="Z35" s="331">
        <v>-97.97</v>
      </c>
      <c r="AA35" s="211">
        <v>-98.22</v>
      </c>
      <c r="AB35" s="212">
        <v>13.58</v>
      </c>
      <c r="AC35" s="212">
        <v>-98.69</v>
      </c>
      <c r="AD35" s="331">
        <v>-97.75</v>
      </c>
      <c r="AE35" s="211">
        <v>-38.64</v>
      </c>
      <c r="AF35" s="212">
        <v>1.75</v>
      </c>
      <c r="AG35" s="212">
        <v>-40.74</v>
      </c>
      <c r="AH35" s="331">
        <v>-36.54</v>
      </c>
      <c r="AI35" s="211">
        <v>15.8</v>
      </c>
      <c r="AJ35" s="212">
        <v>18.72</v>
      </c>
      <c r="AK35" s="212">
        <v>9.9700000000000006</v>
      </c>
      <c r="AL35" s="331">
        <v>21.53</v>
      </c>
      <c r="AM35" s="212">
        <v>93.9</v>
      </c>
      <c r="AN35" s="212">
        <v>2.21</v>
      </c>
      <c r="AO35" s="212">
        <v>6.1</v>
      </c>
      <c r="AP35" s="212">
        <v>34</v>
      </c>
      <c r="AQ35" s="211">
        <v>-96.69</v>
      </c>
      <c r="AR35" s="212">
        <v>8.98</v>
      </c>
      <c r="AS35" s="212">
        <v>-97.27</v>
      </c>
      <c r="AT35" s="331">
        <v>-96.1</v>
      </c>
      <c r="AU35" s="211">
        <v>-96.38</v>
      </c>
      <c r="AV35" s="212">
        <v>8.83</v>
      </c>
      <c r="AW35" s="212">
        <v>-97.01</v>
      </c>
      <c r="AX35" s="331">
        <v>-95.76</v>
      </c>
      <c r="AY35" s="211">
        <v>-32.25</v>
      </c>
      <c r="AZ35" s="212">
        <v>1.84</v>
      </c>
      <c r="BA35" s="212">
        <v>-34.69</v>
      </c>
      <c r="BB35" s="331">
        <v>-29.81</v>
      </c>
      <c r="BC35" s="211">
        <v>9.1999999999999993</v>
      </c>
      <c r="BD35" s="212">
        <v>7.76</v>
      </c>
      <c r="BE35" s="212">
        <v>7.77</v>
      </c>
      <c r="BF35" s="331">
        <v>10.56</v>
      </c>
      <c r="BG35" s="212">
        <v>99.47</v>
      </c>
      <c r="BH35" s="212">
        <v>0.16</v>
      </c>
      <c r="BI35" s="212">
        <v>0.53</v>
      </c>
      <c r="BJ35" s="212">
        <v>30.68</v>
      </c>
      <c r="BK35" s="211">
        <v>-94.6</v>
      </c>
      <c r="BL35" s="212">
        <v>3.13</v>
      </c>
      <c r="BM35" s="212">
        <v>-94.93</v>
      </c>
      <c r="BN35" s="331">
        <v>-94.27</v>
      </c>
      <c r="BO35" s="211">
        <v>-94.03</v>
      </c>
      <c r="BP35" s="212">
        <v>3.16</v>
      </c>
      <c r="BQ35" s="212">
        <v>-94.4</v>
      </c>
      <c r="BR35" s="331">
        <v>-93.66</v>
      </c>
      <c r="BS35" s="211">
        <v>-38.590000000000003</v>
      </c>
      <c r="BT35" s="212">
        <v>1.82</v>
      </c>
      <c r="BU35" s="212">
        <v>-40.79</v>
      </c>
      <c r="BV35" s="331">
        <v>-36.39</v>
      </c>
      <c r="BW35" s="211">
        <v>10.8</v>
      </c>
      <c r="BX35" s="212">
        <v>4.53</v>
      </c>
      <c r="BY35" s="212">
        <v>9.83</v>
      </c>
      <c r="BZ35" s="331">
        <v>11.74</v>
      </c>
      <c r="CA35" s="212">
        <v>96.09</v>
      </c>
      <c r="CB35" s="212">
        <v>0.25</v>
      </c>
      <c r="CC35" s="212">
        <v>3.91</v>
      </c>
      <c r="CD35" s="212">
        <v>6.25</v>
      </c>
      <c r="CE35" s="211">
        <v>-97.28</v>
      </c>
      <c r="CF35" s="212">
        <v>7.89</v>
      </c>
      <c r="CG35" s="212">
        <v>-97.7</v>
      </c>
      <c r="CH35" s="331">
        <v>-96.86</v>
      </c>
      <c r="CI35" s="211">
        <v>-97.04</v>
      </c>
      <c r="CJ35" s="212">
        <v>8.23</v>
      </c>
      <c r="CK35" s="212">
        <v>-97.52</v>
      </c>
      <c r="CL35" s="331">
        <v>-96.56</v>
      </c>
      <c r="CM35" s="211">
        <v>-45.81</v>
      </c>
      <c r="CN35" s="212">
        <v>2.0099999999999998</v>
      </c>
      <c r="CO35" s="212">
        <v>-47.95</v>
      </c>
      <c r="CP35" s="331">
        <v>-43.67</v>
      </c>
      <c r="CQ35" s="211">
        <v>9.1999999999999993</v>
      </c>
      <c r="CR35" s="212">
        <v>19.28</v>
      </c>
      <c r="CS35" s="212">
        <v>5.74</v>
      </c>
      <c r="CT35" s="331">
        <v>12.71</v>
      </c>
      <c r="CU35" s="212">
        <v>99.86</v>
      </c>
      <c r="CV35" s="212">
        <v>0.03</v>
      </c>
      <c r="CW35" s="212">
        <v>0.14000000000000001</v>
      </c>
      <c r="CX35" s="212">
        <v>24.62</v>
      </c>
      <c r="CY35" s="211">
        <v>-91.87</v>
      </c>
      <c r="CZ35" s="212">
        <v>8.4499999999999993</v>
      </c>
      <c r="DA35" s="212">
        <v>-93.22</v>
      </c>
      <c r="DB35" s="331">
        <v>-90.53</v>
      </c>
      <c r="DC35" s="211">
        <v>-90.95</v>
      </c>
      <c r="DD35" s="212">
        <v>8.51</v>
      </c>
      <c r="DE35" s="212">
        <v>-92.46</v>
      </c>
      <c r="DF35" s="331">
        <v>-89.44</v>
      </c>
      <c r="DG35" s="211">
        <v>-41.67</v>
      </c>
      <c r="DH35" s="212">
        <v>3.93</v>
      </c>
      <c r="DI35" s="212">
        <v>-46.16</v>
      </c>
      <c r="DJ35" s="331">
        <v>-37.17</v>
      </c>
      <c r="DK35" s="211">
        <v>15.4</v>
      </c>
      <c r="DL35" s="212">
        <v>9.59</v>
      </c>
      <c r="DM35" s="212">
        <v>12.48</v>
      </c>
      <c r="DN35" s="331">
        <v>18.260000000000002</v>
      </c>
      <c r="DO35" s="212">
        <v>93.04</v>
      </c>
      <c r="DP35" s="212">
        <v>1.5</v>
      </c>
      <c r="DQ35" s="212">
        <v>6.96</v>
      </c>
      <c r="DR35" s="212">
        <v>20.010000000000002</v>
      </c>
      <c r="DS35" s="211">
        <v>-100</v>
      </c>
      <c r="DT35" s="212">
        <v>0</v>
      </c>
      <c r="DU35" s="212">
        <v>-100</v>
      </c>
      <c r="DV35" s="331">
        <v>-100</v>
      </c>
      <c r="DW35" s="211">
        <v>-100</v>
      </c>
      <c r="DX35" s="212">
        <v>0</v>
      </c>
      <c r="DY35" s="212">
        <v>-100</v>
      </c>
      <c r="DZ35" s="331">
        <v>-100</v>
      </c>
      <c r="EA35" s="211">
        <v>-26.61</v>
      </c>
      <c r="EB35" s="212">
        <v>0.79</v>
      </c>
      <c r="EC35" s="212">
        <v>-27.74</v>
      </c>
      <c r="ED35" s="331">
        <v>-25.48</v>
      </c>
      <c r="EE35" s="211">
        <v>0</v>
      </c>
      <c r="EF35" s="212">
        <v>0</v>
      </c>
      <c r="EG35" s="212">
        <v>0</v>
      </c>
      <c r="EH35" s="331">
        <v>0</v>
      </c>
      <c r="EI35" s="212">
        <v>0</v>
      </c>
      <c r="EJ35" s="212">
        <v>0</v>
      </c>
      <c r="EK35" s="212">
        <v>0</v>
      </c>
      <c r="EL35" s="212">
        <v>0</v>
      </c>
      <c r="EM35" s="211">
        <v>-92.33</v>
      </c>
      <c r="EN35" s="212">
        <v>8.25</v>
      </c>
      <c r="EO35" s="212">
        <v>-93.57</v>
      </c>
      <c r="EP35" s="331">
        <v>-91.1</v>
      </c>
      <c r="EQ35" s="211">
        <v>-91.49</v>
      </c>
      <c r="ER35" s="212">
        <v>8.3699999999999992</v>
      </c>
      <c r="ES35" s="212">
        <v>-92.89</v>
      </c>
      <c r="ET35" s="331">
        <v>-90.09</v>
      </c>
      <c r="EU35" s="211">
        <v>-30.14</v>
      </c>
      <c r="EV35" s="212">
        <v>1.43</v>
      </c>
      <c r="EW35" s="212">
        <v>-32.1</v>
      </c>
      <c r="EX35" s="331">
        <v>-28.18</v>
      </c>
      <c r="EY35" s="211">
        <v>12.1</v>
      </c>
      <c r="EZ35" s="212">
        <v>6.88</v>
      </c>
      <c r="FA35" s="212">
        <v>10.48</v>
      </c>
      <c r="FB35" s="331">
        <v>13.75</v>
      </c>
      <c r="FC35" s="212">
        <v>97.12</v>
      </c>
      <c r="FD35" s="212">
        <v>0.35</v>
      </c>
      <c r="FE35" s="212">
        <v>2.88</v>
      </c>
      <c r="FF35" s="212">
        <v>11.83</v>
      </c>
      <c r="FG35" s="211">
        <v>-88.85</v>
      </c>
      <c r="FH35" s="212">
        <v>6.97</v>
      </c>
      <c r="FI35" s="212">
        <v>-90.38</v>
      </c>
      <c r="FJ35" s="331">
        <v>-87.33</v>
      </c>
      <c r="FK35" s="211">
        <v>-87.7</v>
      </c>
      <c r="FL35" s="212">
        <v>7.19</v>
      </c>
      <c r="FM35" s="212">
        <v>-89.43</v>
      </c>
      <c r="FN35" s="331">
        <v>-85.97</v>
      </c>
      <c r="FO35" s="211">
        <v>-41.12</v>
      </c>
      <c r="FP35" s="212">
        <v>2.3199999999999998</v>
      </c>
      <c r="FQ35" s="212">
        <v>-43.79</v>
      </c>
      <c r="FR35" s="331">
        <v>-38.450000000000003</v>
      </c>
      <c r="FS35" s="211">
        <v>13.2</v>
      </c>
      <c r="FT35" s="212">
        <v>15.99</v>
      </c>
      <c r="FU35" s="212">
        <v>9.0299999999999994</v>
      </c>
      <c r="FV35" s="331">
        <v>17.28</v>
      </c>
      <c r="FW35" s="212">
        <v>97.82</v>
      </c>
      <c r="FX35" s="212">
        <v>0.62</v>
      </c>
      <c r="FY35" s="212">
        <v>2.1800000000000002</v>
      </c>
      <c r="FZ35" s="212">
        <v>27.63</v>
      </c>
      <c r="GA35" s="211">
        <v>-83.25</v>
      </c>
      <c r="GB35" s="212">
        <v>4.41</v>
      </c>
      <c r="GC35" s="212">
        <v>-84.7</v>
      </c>
      <c r="GD35" s="331">
        <v>-81.8</v>
      </c>
      <c r="GE35" s="211">
        <v>-81.41</v>
      </c>
      <c r="GF35" s="212">
        <v>4.43</v>
      </c>
      <c r="GG35" s="212">
        <v>-83.02</v>
      </c>
      <c r="GH35" s="331">
        <v>-79.790000000000006</v>
      </c>
      <c r="GI35" s="211">
        <v>-30.69</v>
      </c>
      <c r="GJ35" s="212">
        <v>2.74</v>
      </c>
      <c r="GK35" s="212">
        <v>-34.42</v>
      </c>
      <c r="GL35" s="331">
        <v>-26.96</v>
      </c>
      <c r="GM35" s="211">
        <v>12.9</v>
      </c>
      <c r="GN35" s="212">
        <v>7.98</v>
      </c>
      <c r="GO35" s="212">
        <v>10.89</v>
      </c>
      <c r="GP35" s="331">
        <v>14.93</v>
      </c>
      <c r="GQ35" s="212">
        <v>97.1</v>
      </c>
      <c r="GR35" s="212">
        <v>0.13</v>
      </c>
      <c r="GS35" s="212">
        <v>2.9</v>
      </c>
      <c r="GT35" s="212">
        <v>4.45</v>
      </c>
      <c r="GU35" s="211">
        <v>-94.3</v>
      </c>
      <c r="GV35" s="212">
        <v>9.85</v>
      </c>
      <c r="GW35" s="212">
        <v>-95.4</v>
      </c>
      <c r="GX35" s="331">
        <v>-93.19</v>
      </c>
      <c r="GY35" s="211">
        <v>-93.59</v>
      </c>
      <c r="GZ35" s="212">
        <v>10.039999999999999</v>
      </c>
      <c r="HA35" s="212">
        <v>-94.86</v>
      </c>
      <c r="HB35" s="331">
        <v>-92.33</v>
      </c>
      <c r="HC35" s="211">
        <v>-26.32</v>
      </c>
      <c r="HD35" s="212">
        <v>1.92</v>
      </c>
      <c r="HE35" s="212">
        <v>-29.1</v>
      </c>
      <c r="HF35" s="331">
        <v>-23.55</v>
      </c>
      <c r="HG35" s="211">
        <v>18</v>
      </c>
      <c r="HH35" s="212">
        <v>5.98</v>
      </c>
      <c r="HI35" s="212">
        <v>15.87</v>
      </c>
      <c r="HJ35" s="331">
        <v>20.079999999999998</v>
      </c>
      <c r="HK35" s="212">
        <v>100</v>
      </c>
      <c r="HL35" s="212">
        <v>0</v>
      </c>
      <c r="HM35" s="212">
        <v>0</v>
      </c>
      <c r="HN35" s="212">
        <v>0</v>
      </c>
      <c r="HO35" s="211">
        <v>-93.18</v>
      </c>
      <c r="HP35" s="212">
        <v>3.23</v>
      </c>
      <c r="HQ35" s="212">
        <v>-93.62</v>
      </c>
      <c r="HR35" s="331">
        <v>-92.75</v>
      </c>
      <c r="HS35" s="211">
        <v>-92.52</v>
      </c>
      <c r="HT35" s="212">
        <v>3.26</v>
      </c>
      <c r="HU35" s="212">
        <v>-93</v>
      </c>
      <c r="HV35" s="331">
        <v>-92.05</v>
      </c>
      <c r="HW35" s="211">
        <v>-32.07</v>
      </c>
      <c r="HX35" s="212">
        <v>2.38</v>
      </c>
      <c r="HY35" s="212">
        <v>-35.24</v>
      </c>
      <c r="HZ35" s="331">
        <v>-28.91</v>
      </c>
      <c r="IA35" s="211">
        <v>25.9</v>
      </c>
      <c r="IB35" s="212">
        <v>10.039999999999999</v>
      </c>
      <c r="IC35" s="212">
        <v>20.84</v>
      </c>
      <c r="ID35" s="331">
        <v>31.06</v>
      </c>
      <c r="IE35" s="211">
        <v>100</v>
      </c>
      <c r="IF35" s="212">
        <v>0</v>
      </c>
      <c r="IG35" s="212">
        <v>0</v>
      </c>
      <c r="IH35" s="331">
        <v>0</v>
      </c>
    </row>
    <row r="36" spans="1:242" s="27" customFormat="1" ht="15.75" customHeight="1" x14ac:dyDescent="0.2">
      <c r="A36" s="26"/>
      <c r="B36" s="64" t="s">
        <v>8</v>
      </c>
      <c r="C36" s="209">
        <v>-89.4</v>
      </c>
      <c r="D36" s="210">
        <v>5.94</v>
      </c>
      <c r="E36" s="210">
        <v>-90.63</v>
      </c>
      <c r="F36" s="330">
        <v>-88.17</v>
      </c>
      <c r="G36" s="209">
        <v>-88.64</v>
      </c>
      <c r="H36" s="210">
        <v>6.14</v>
      </c>
      <c r="I36" s="210">
        <v>-90.01</v>
      </c>
      <c r="J36" s="330">
        <v>-87.27</v>
      </c>
      <c r="K36" s="209">
        <v>-48.67</v>
      </c>
      <c r="L36" s="210">
        <v>2.4500000000000002</v>
      </c>
      <c r="M36" s="210">
        <v>-51.13</v>
      </c>
      <c r="N36" s="330">
        <v>-46.2</v>
      </c>
      <c r="O36" s="209">
        <v>10</v>
      </c>
      <c r="P36" s="210">
        <v>9.3699999999999992</v>
      </c>
      <c r="Q36" s="210">
        <v>8.1999999999999993</v>
      </c>
      <c r="R36" s="330">
        <v>11.89</v>
      </c>
      <c r="S36" s="210">
        <v>82.62</v>
      </c>
      <c r="T36" s="210">
        <v>2.2400000000000002</v>
      </c>
      <c r="U36" s="210">
        <v>17.38</v>
      </c>
      <c r="V36" s="210">
        <v>10.66</v>
      </c>
      <c r="W36" s="209">
        <v>-98.57</v>
      </c>
      <c r="X36" s="210">
        <v>13.67</v>
      </c>
      <c r="Y36" s="210">
        <v>-98.95</v>
      </c>
      <c r="Z36" s="330">
        <v>-98.18</v>
      </c>
      <c r="AA36" s="209">
        <v>-98.41</v>
      </c>
      <c r="AB36" s="210">
        <v>14.18</v>
      </c>
      <c r="AC36" s="210">
        <v>-98.85</v>
      </c>
      <c r="AD36" s="330">
        <v>-97.97</v>
      </c>
      <c r="AE36" s="209">
        <v>-41.24</v>
      </c>
      <c r="AF36" s="210">
        <v>1.8</v>
      </c>
      <c r="AG36" s="210">
        <v>-43.32</v>
      </c>
      <c r="AH36" s="330">
        <v>-39.159999999999997</v>
      </c>
      <c r="AI36" s="209">
        <v>17.8</v>
      </c>
      <c r="AJ36" s="210">
        <v>20.329999999999998</v>
      </c>
      <c r="AK36" s="210">
        <v>10.68</v>
      </c>
      <c r="AL36" s="330">
        <v>24.83</v>
      </c>
      <c r="AM36" s="210">
        <v>96.81</v>
      </c>
      <c r="AN36" s="210">
        <v>1.46</v>
      </c>
      <c r="AO36" s="210">
        <v>3.19</v>
      </c>
      <c r="AP36" s="210">
        <v>44.13</v>
      </c>
      <c r="AQ36" s="209">
        <v>-94.3</v>
      </c>
      <c r="AR36" s="210">
        <v>8.89</v>
      </c>
      <c r="AS36" s="210">
        <v>-95.29</v>
      </c>
      <c r="AT36" s="330">
        <v>-93.3</v>
      </c>
      <c r="AU36" s="209">
        <v>-93.66</v>
      </c>
      <c r="AV36" s="210">
        <v>8.8000000000000007</v>
      </c>
      <c r="AW36" s="210">
        <v>-94.75</v>
      </c>
      <c r="AX36" s="330">
        <v>-92.57</v>
      </c>
      <c r="AY36" s="209">
        <v>-33.64</v>
      </c>
      <c r="AZ36" s="210">
        <v>2.2400000000000002</v>
      </c>
      <c r="BA36" s="210">
        <v>-36.549999999999997</v>
      </c>
      <c r="BB36" s="330">
        <v>-30.73</v>
      </c>
      <c r="BC36" s="209">
        <v>10.7</v>
      </c>
      <c r="BD36" s="210">
        <v>8.27</v>
      </c>
      <c r="BE36" s="210">
        <v>8.98</v>
      </c>
      <c r="BF36" s="330">
        <v>12.45</v>
      </c>
      <c r="BG36" s="210">
        <v>99.64</v>
      </c>
      <c r="BH36" s="210">
        <v>7.0000000000000007E-2</v>
      </c>
      <c r="BI36" s="210">
        <v>0.36</v>
      </c>
      <c r="BJ36" s="210">
        <v>19.7</v>
      </c>
      <c r="BK36" s="209">
        <v>-93.1</v>
      </c>
      <c r="BL36" s="210">
        <v>4.1399999999999997</v>
      </c>
      <c r="BM36" s="210">
        <v>-93.66</v>
      </c>
      <c r="BN36" s="330">
        <v>-92.54</v>
      </c>
      <c r="BO36" s="209">
        <v>-92.24</v>
      </c>
      <c r="BP36" s="210">
        <v>4.13</v>
      </c>
      <c r="BQ36" s="210">
        <v>-92.87</v>
      </c>
      <c r="BR36" s="330">
        <v>-91.61</v>
      </c>
      <c r="BS36" s="209">
        <v>-42.72</v>
      </c>
      <c r="BT36" s="210">
        <v>1.89</v>
      </c>
      <c r="BU36" s="210">
        <v>-44.84</v>
      </c>
      <c r="BV36" s="330">
        <v>-40.6</v>
      </c>
      <c r="BW36" s="209">
        <v>14</v>
      </c>
      <c r="BX36" s="210">
        <v>3.17</v>
      </c>
      <c r="BY36" s="210">
        <v>13.14</v>
      </c>
      <c r="BZ36" s="330">
        <v>14.88</v>
      </c>
      <c r="CA36" s="210">
        <v>94.49</v>
      </c>
      <c r="CB36" s="210">
        <v>0.93</v>
      </c>
      <c r="CC36" s="210">
        <v>5.51</v>
      </c>
      <c r="CD36" s="210">
        <v>15.9</v>
      </c>
      <c r="CE36" s="209">
        <v>-93.09</v>
      </c>
      <c r="CF36" s="210">
        <v>4.8899999999999997</v>
      </c>
      <c r="CG36" s="210">
        <v>-93.76</v>
      </c>
      <c r="CH36" s="330">
        <v>-92.43</v>
      </c>
      <c r="CI36" s="209">
        <v>-92.46</v>
      </c>
      <c r="CJ36" s="210">
        <v>5.12</v>
      </c>
      <c r="CK36" s="210">
        <v>-93.22</v>
      </c>
      <c r="CL36" s="330">
        <v>-91.7</v>
      </c>
      <c r="CM36" s="209">
        <v>-48.86</v>
      </c>
      <c r="CN36" s="210">
        <v>2.19</v>
      </c>
      <c r="CO36" s="210">
        <v>-51.06</v>
      </c>
      <c r="CP36" s="330">
        <v>-46.66</v>
      </c>
      <c r="CQ36" s="209">
        <v>10.1</v>
      </c>
      <c r="CR36" s="210">
        <v>11.83</v>
      </c>
      <c r="CS36" s="210">
        <v>7.79</v>
      </c>
      <c r="CT36" s="330">
        <v>12.49</v>
      </c>
      <c r="CU36" s="210">
        <v>99.54</v>
      </c>
      <c r="CV36" s="210">
        <v>0.06</v>
      </c>
      <c r="CW36" s="210">
        <v>0.46</v>
      </c>
      <c r="CX36" s="210">
        <v>12.2</v>
      </c>
      <c r="CY36" s="209">
        <v>-88.09</v>
      </c>
      <c r="CZ36" s="210">
        <v>7.75</v>
      </c>
      <c r="DA36" s="210">
        <v>-89.9</v>
      </c>
      <c r="DB36" s="330">
        <v>-86.28</v>
      </c>
      <c r="DC36" s="209">
        <v>-86.54</v>
      </c>
      <c r="DD36" s="210">
        <v>7.8</v>
      </c>
      <c r="DE36" s="210">
        <v>-88.6</v>
      </c>
      <c r="DF36" s="330">
        <v>-84.49</v>
      </c>
      <c r="DG36" s="209">
        <v>-47.48</v>
      </c>
      <c r="DH36" s="210">
        <v>3.87</v>
      </c>
      <c r="DI36" s="210">
        <v>-51.46</v>
      </c>
      <c r="DJ36" s="330">
        <v>-43.49</v>
      </c>
      <c r="DK36" s="209">
        <v>20.2</v>
      </c>
      <c r="DL36" s="210">
        <v>6.93</v>
      </c>
      <c r="DM36" s="210">
        <v>17.45</v>
      </c>
      <c r="DN36" s="330">
        <v>22.94</v>
      </c>
      <c r="DO36" s="210">
        <v>94.7</v>
      </c>
      <c r="DP36" s="210">
        <v>0.87</v>
      </c>
      <c r="DQ36" s="210">
        <v>5.3</v>
      </c>
      <c r="DR36" s="210">
        <v>15.57</v>
      </c>
      <c r="DS36" s="209">
        <v>-100</v>
      </c>
      <c r="DT36" s="210">
        <v>0</v>
      </c>
      <c r="DU36" s="210">
        <v>-100</v>
      </c>
      <c r="DV36" s="330">
        <v>-100</v>
      </c>
      <c r="DW36" s="209">
        <v>-100</v>
      </c>
      <c r="DX36" s="210">
        <v>0</v>
      </c>
      <c r="DY36" s="210">
        <v>-100</v>
      </c>
      <c r="DZ36" s="330">
        <v>-100</v>
      </c>
      <c r="EA36" s="209">
        <v>-37.36</v>
      </c>
      <c r="EB36" s="210">
        <v>0.88</v>
      </c>
      <c r="EC36" s="210">
        <v>-38.450000000000003</v>
      </c>
      <c r="ED36" s="330">
        <v>-36.28</v>
      </c>
      <c r="EE36" s="209">
        <v>0</v>
      </c>
      <c r="EF36" s="210">
        <v>0</v>
      </c>
      <c r="EG36" s="210">
        <v>0</v>
      </c>
      <c r="EH36" s="330">
        <v>0</v>
      </c>
      <c r="EI36" s="210">
        <v>0</v>
      </c>
      <c r="EJ36" s="210">
        <v>0</v>
      </c>
      <c r="EK36" s="210">
        <v>0</v>
      </c>
      <c r="EL36" s="210">
        <v>0</v>
      </c>
      <c r="EM36" s="209">
        <v>-88.93</v>
      </c>
      <c r="EN36" s="210">
        <v>8.5</v>
      </c>
      <c r="EO36" s="210">
        <v>-90.77</v>
      </c>
      <c r="EP36" s="330">
        <v>-87.08</v>
      </c>
      <c r="EQ36" s="209">
        <v>-87.69</v>
      </c>
      <c r="ER36" s="210">
        <v>8.41</v>
      </c>
      <c r="ES36" s="210">
        <v>-89.72</v>
      </c>
      <c r="ET36" s="330">
        <v>-85.66</v>
      </c>
      <c r="EU36" s="209">
        <v>-36.31</v>
      </c>
      <c r="EV36" s="210">
        <v>1.64</v>
      </c>
      <c r="EW36" s="210">
        <v>-38.36</v>
      </c>
      <c r="EX36" s="330">
        <v>-34.26</v>
      </c>
      <c r="EY36" s="209">
        <v>14.1</v>
      </c>
      <c r="EZ36" s="210">
        <v>7.24</v>
      </c>
      <c r="FA36" s="210">
        <v>12.09</v>
      </c>
      <c r="FB36" s="330">
        <v>16.09</v>
      </c>
      <c r="FC36" s="210">
        <v>99.09</v>
      </c>
      <c r="FD36" s="210">
        <v>0.09</v>
      </c>
      <c r="FE36" s="210">
        <v>0.91</v>
      </c>
      <c r="FF36" s="210">
        <v>10.16</v>
      </c>
      <c r="FG36" s="209">
        <v>-84.47</v>
      </c>
      <c r="FH36" s="210">
        <v>4.45</v>
      </c>
      <c r="FI36" s="210">
        <v>-85.82</v>
      </c>
      <c r="FJ36" s="330">
        <v>-83.11</v>
      </c>
      <c r="FK36" s="209">
        <v>-82.81</v>
      </c>
      <c r="FL36" s="210">
        <v>4.62</v>
      </c>
      <c r="FM36" s="210">
        <v>-84.37</v>
      </c>
      <c r="FN36" s="330">
        <v>-81.25</v>
      </c>
      <c r="FO36" s="209">
        <v>-43.65</v>
      </c>
      <c r="FP36" s="210">
        <v>2.16</v>
      </c>
      <c r="FQ36" s="210">
        <v>-46.03</v>
      </c>
      <c r="FR36" s="330">
        <v>-41.27</v>
      </c>
      <c r="FS36" s="209">
        <v>12.7</v>
      </c>
      <c r="FT36" s="210">
        <v>10.039999999999999</v>
      </c>
      <c r="FU36" s="210">
        <v>10.18</v>
      </c>
      <c r="FV36" s="330">
        <v>15.17</v>
      </c>
      <c r="FW36" s="210">
        <v>97.98</v>
      </c>
      <c r="FX36" s="210">
        <v>0.42</v>
      </c>
      <c r="FY36" s="210">
        <v>2.02</v>
      </c>
      <c r="FZ36" s="210">
        <v>20.39</v>
      </c>
      <c r="GA36" s="209">
        <v>-75.61</v>
      </c>
      <c r="GB36" s="210">
        <v>6.62</v>
      </c>
      <c r="GC36" s="210">
        <v>-78.77</v>
      </c>
      <c r="GD36" s="330">
        <v>-72.45</v>
      </c>
      <c r="GE36" s="209">
        <v>-72.819999999999993</v>
      </c>
      <c r="GF36" s="210">
        <v>6.71</v>
      </c>
      <c r="GG36" s="210">
        <v>-76.39</v>
      </c>
      <c r="GH36" s="330">
        <v>-69.239999999999995</v>
      </c>
      <c r="GI36" s="209">
        <v>-33.630000000000003</v>
      </c>
      <c r="GJ36" s="210">
        <v>3.17</v>
      </c>
      <c r="GK36" s="210">
        <v>-37.76</v>
      </c>
      <c r="GL36" s="330">
        <v>-29.51</v>
      </c>
      <c r="GM36" s="209">
        <v>16.100000000000001</v>
      </c>
      <c r="GN36" s="210">
        <v>8.66</v>
      </c>
      <c r="GO36" s="210">
        <v>13.33</v>
      </c>
      <c r="GP36" s="330">
        <v>18.78</v>
      </c>
      <c r="GQ36" s="210">
        <v>98.27</v>
      </c>
      <c r="GR36" s="210">
        <v>0.06</v>
      </c>
      <c r="GS36" s="210">
        <v>1.73</v>
      </c>
      <c r="GT36" s="210">
        <v>3.63</v>
      </c>
      <c r="GU36" s="209">
        <v>-89.78</v>
      </c>
      <c r="GV36" s="210">
        <v>6.68</v>
      </c>
      <c r="GW36" s="210">
        <v>-91.12</v>
      </c>
      <c r="GX36" s="330">
        <v>-88.44</v>
      </c>
      <c r="GY36" s="209">
        <v>-88.42</v>
      </c>
      <c r="GZ36" s="210">
        <v>6.78</v>
      </c>
      <c r="HA36" s="210">
        <v>-89.96</v>
      </c>
      <c r="HB36" s="330">
        <v>-86.88</v>
      </c>
      <c r="HC36" s="209">
        <v>-34.4</v>
      </c>
      <c r="HD36" s="210">
        <v>2.0099999999999998</v>
      </c>
      <c r="HE36" s="210">
        <v>-36.979999999999997</v>
      </c>
      <c r="HF36" s="330">
        <v>-31.82</v>
      </c>
      <c r="HG36" s="209">
        <v>19</v>
      </c>
      <c r="HH36" s="210">
        <v>6.26</v>
      </c>
      <c r="HI36" s="210">
        <v>16.68</v>
      </c>
      <c r="HJ36" s="330">
        <v>21.35</v>
      </c>
      <c r="HK36" s="210">
        <v>100</v>
      </c>
      <c r="HL36" s="210">
        <v>0</v>
      </c>
      <c r="HM36" s="210">
        <v>0</v>
      </c>
      <c r="HN36" s="210">
        <v>0</v>
      </c>
      <c r="HO36" s="209">
        <v>-91.65</v>
      </c>
      <c r="HP36" s="210">
        <v>9.02</v>
      </c>
      <c r="HQ36" s="210">
        <v>-93.13</v>
      </c>
      <c r="HR36" s="330">
        <v>-90.17</v>
      </c>
      <c r="HS36" s="209">
        <v>-90.87</v>
      </c>
      <c r="HT36" s="210">
        <v>9.18</v>
      </c>
      <c r="HU36" s="210">
        <v>-92.52</v>
      </c>
      <c r="HV36" s="330">
        <v>-89.23</v>
      </c>
      <c r="HW36" s="209">
        <v>-36.19</v>
      </c>
      <c r="HX36" s="210">
        <v>2.2999999999999998</v>
      </c>
      <c r="HY36" s="210">
        <v>-39.07</v>
      </c>
      <c r="HZ36" s="330">
        <v>-33.32</v>
      </c>
      <c r="IA36" s="209">
        <v>31.5</v>
      </c>
      <c r="IB36" s="210">
        <v>4.3099999999999996</v>
      </c>
      <c r="IC36" s="210">
        <v>28.85</v>
      </c>
      <c r="ID36" s="330">
        <v>34.17</v>
      </c>
      <c r="IE36" s="209">
        <v>100</v>
      </c>
      <c r="IF36" s="210">
        <v>0</v>
      </c>
      <c r="IG36" s="210">
        <v>0</v>
      </c>
      <c r="IH36" s="330">
        <v>0</v>
      </c>
    </row>
    <row r="37" spans="1:242" s="27" customFormat="1" ht="15.75" customHeight="1" x14ac:dyDescent="0.2">
      <c r="A37" s="26"/>
      <c r="B37" s="28" t="s">
        <v>9</v>
      </c>
      <c r="C37" s="211">
        <v>-88.77</v>
      </c>
      <c r="D37" s="212">
        <v>5.03</v>
      </c>
      <c r="E37" s="212">
        <v>-89.88</v>
      </c>
      <c r="F37" s="331">
        <v>-87.66</v>
      </c>
      <c r="G37" s="211">
        <v>-88.18</v>
      </c>
      <c r="H37" s="212">
        <v>5.28</v>
      </c>
      <c r="I37" s="212">
        <v>-89.4</v>
      </c>
      <c r="J37" s="331">
        <v>-86.95</v>
      </c>
      <c r="K37" s="211">
        <v>-50.09</v>
      </c>
      <c r="L37" s="212">
        <v>2.5299999999999998</v>
      </c>
      <c r="M37" s="212">
        <v>-52.57</v>
      </c>
      <c r="N37" s="331">
        <v>-47.61</v>
      </c>
      <c r="O37" s="211">
        <v>10</v>
      </c>
      <c r="P37" s="212">
        <v>8.92</v>
      </c>
      <c r="Q37" s="212">
        <v>8.2799999999999994</v>
      </c>
      <c r="R37" s="331">
        <v>11.79</v>
      </c>
      <c r="S37" s="212">
        <v>86.97</v>
      </c>
      <c r="T37" s="212">
        <v>1.86</v>
      </c>
      <c r="U37" s="212">
        <v>13.03</v>
      </c>
      <c r="V37" s="212">
        <v>12.41</v>
      </c>
      <c r="W37" s="211">
        <v>-98.76</v>
      </c>
      <c r="X37" s="212">
        <v>7.95</v>
      </c>
      <c r="Y37" s="212">
        <v>-98.95</v>
      </c>
      <c r="Z37" s="331">
        <v>-98.57</v>
      </c>
      <c r="AA37" s="211">
        <v>-98.65</v>
      </c>
      <c r="AB37" s="212">
        <v>8.16</v>
      </c>
      <c r="AC37" s="212">
        <v>-98.86</v>
      </c>
      <c r="AD37" s="331">
        <v>-98.43</v>
      </c>
      <c r="AE37" s="211">
        <v>-42.92</v>
      </c>
      <c r="AF37" s="212">
        <v>1.78</v>
      </c>
      <c r="AG37" s="212">
        <v>-44.91</v>
      </c>
      <c r="AH37" s="331">
        <v>-40.93</v>
      </c>
      <c r="AI37" s="211">
        <v>9.3000000000000007</v>
      </c>
      <c r="AJ37" s="212">
        <v>11.76</v>
      </c>
      <c r="AK37" s="212">
        <v>7.14</v>
      </c>
      <c r="AL37" s="331">
        <v>11.42</v>
      </c>
      <c r="AM37" s="212">
        <v>99.14</v>
      </c>
      <c r="AN37" s="212">
        <v>0.21</v>
      </c>
      <c r="AO37" s="212">
        <v>0.86</v>
      </c>
      <c r="AP37" s="212">
        <v>23.69</v>
      </c>
      <c r="AQ37" s="211">
        <v>-91.5</v>
      </c>
      <c r="AR37" s="212">
        <v>11.32</v>
      </c>
      <c r="AS37" s="212">
        <v>-93.39</v>
      </c>
      <c r="AT37" s="331">
        <v>-89.61</v>
      </c>
      <c r="AU37" s="211">
        <v>-90.58</v>
      </c>
      <c r="AV37" s="212">
        <v>11.5</v>
      </c>
      <c r="AW37" s="212">
        <v>-92.7</v>
      </c>
      <c r="AX37" s="331">
        <v>-88.46</v>
      </c>
      <c r="AY37" s="211">
        <v>-34.97</v>
      </c>
      <c r="AZ37" s="212">
        <v>2.2400000000000002</v>
      </c>
      <c r="BA37" s="212">
        <v>-37.82</v>
      </c>
      <c r="BB37" s="331">
        <v>-32.119999999999997</v>
      </c>
      <c r="BC37" s="211">
        <v>13.5</v>
      </c>
      <c r="BD37" s="212">
        <v>11.66</v>
      </c>
      <c r="BE37" s="212">
        <v>10.44</v>
      </c>
      <c r="BF37" s="331">
        <v>16.63</v>
      </c>
      <c r="BG37" s="212">
        <v>88.11</v>
      </c>
      <c r="BH37" s="212">
        <v>8.6199999999999992</v>
      </c>
      <c r="BI37" s="212">
        <v>11.89</v>
      </c>
      <c r="BJ37" s="212">
        <v>63.86</v>
      </c>
      <c r="BK37" s="211">
        <v>-93.5</v>
      </c>
      <c r="BL37" s="212">
        <v>7.2</v>
      </c>
      <c r="BM37" s="212">
        <v>-94.41</v>
      </c>
      <c r="BN37" s="331">
        <v>-92.58</v>
      </c>
      <c r="BO37" s="211">
        <v>-92.75</v>
      </c>
      <c r="BP37" s="212">
        <v>7.14</v>
      </c>
      <c r="BQ37" s="212">
        <v>-93.77</v>
      </c>
      <c r="BR37" s="331">
        <v>-91.74</v>
      </c>
      <c r="BS37" s="211">
        <v>-47.04</v>
      </c>
      <c r="BT37" s="212">
        <v>2.39</v>
      </c>
      <c r="BU37" s="212">
        <v>-49.52</v>
      </c>
      <c r="BV37" s="331">
        <v>-44.56</v>
      </c>
      <c r="BW37" s="211">
        <v>13.7</v>
      </c>
      <c r="BX37" s="212">
        <v>6.43</v>
      </c>
      <c r="BY37" s="212">
        <v>11.96</v>
      </c>
      <c r="BZ37" s="331">
        <v>15.41</v>
      </c>
      <c r="CA37" s="212">
        <v>95.46</v>
      </c>
      <c r="CB37" s="212">
        <v>0.83</v>
      </c>
      <c r="CC37" s="212">
        <v>4.54</v>
      </c>
      <c r="CD37" s="212">
        <v>17.399999999999999</v>
      </c>
      <c r="CE37" s="211">
        <v>-87.16</v>
      </c>
      <c r="CF37" s="212">
        <v>3.43</v>
      </c>
      <c r="CG37" s="212">
        <v>-88.02</v>
      </c>
      <c r="CH37" s="331">
        <v>-86.3</v>
      </c>
      <c r="CI37" s="211">
        <v>-86.08</v>
      </c>
      <c r="CJ37" s="212">
        <v>3.54</v>
      </c>
      <c r="CK37" s="212">
        <v>-87.04</v>
      </c>
      <c r="CL37" s="331">
        <v>-85.11</v>
      </c>
      <c r="CM37" s="211">
        <v>-50.8</v>
      </c>
      <c r="CN37" s="212">
        <v>2.2200000000000002</v>
      </c>
      <c r="CO37" s="212">
        <v>-52.95</v>
      </c>
      <c r="CP37" s="331">
        <v>-48.66</v>
      </c>
      <c r="CQ37" s="211">
        <v>12.1</v>
      </c>
      <c r="CR37" s="212">
        <v>8.66</v>
      </c>
      <c r="CS37" s="212">
        <v>10.050000000000001</v>
      </c>
      <c r="CT37" s="331">
        <v>14.16</v>
      </c>
      <c r="CU37" s="212">
        <v>99.68</v>
      </c>
      <c r="CV37" s="212">
        <v>0.03</v>
      </c>
      <c r="CW37" s="212">
        <v>0.32</v>
      </c>
      <c r="CX37" s="212">
        <v>9.17</v>
      </c>
      <c r="CY37" s="211">
        <v>-89.68</v>
      </c>
      <c r="CZ37" s="212">
        <v>9.76</v>
      </c>
      <c r="DA37" s="212">
        <v>-91.66</v>
      </c>
      <c r="DB37" s="331">
        <v>-87.71</v>
      </c>
      <c r="DC37" s="211">
        <v>-88.52</v>
      </c>
      <c r="DD37" s="212">
        <v>9.91</v>
      </c>
      <c r="DE37" s="212">
        <v>-90.75</v>
      </c>
      <c r="DF37" s="331">
        <v>-86.29</v>
      </c>
      <c r="DG37" s="211">
        <v>-49.17</v>
      </c>
      <c r="DH37" s="212">
        <v>3.82</v>
      </c>
      <c r="DI37" s="212">
        <v>-52.98</v>
      </c>
      <c r="DJ37" s="331">
        <v>-45.36</v>
      </c>
      <c r="DK37" s="211">
        <v>17.8</v>
      </c>
      <c r="DL37" s="212">
        <v>8.5399999999999991</v>
      </c>
      <c r="DM37" s="212">
        <v>14.82</v>
      </c>
      <c r="DN37" s="331">
        <v>20.78</v>
      </c>
      <c r="DO37" s="212">
        <v>95.9</v>
      </c>
      <c r="DP37" s="212">
        <v>0.67</v>
      </c>
      <c r="DQ37" s="212">
        <v>4.0999999999999996</v>
      </c>
      <c r="DR37" s="212">
        <v>15.7</v>
      </c>
      <c r="DS37" s="211">
        <v>-99.99</v>
      </c>
      <c r="DT37" s="212">
        <v>1.22</v>
      </c>
      <c r="DU37" s="212">
        <v>-99.99</v>
      </c>
      <c r="DV37" s="331">
        <v>-99.99</v>
      </c>
      <c r="DW37" s="211">
        <v>-99.99</v>
      </c>
      <c r="DX37" s="212">
        <v>1.22</v>
      </c>
      <c r="DY37" s="212">
        <v>-99.99</v>
      </c>
      <c r="DZ37" s="331">
        <v>-99.99</v>
      </c>
      <c r="EA37" s="211">
        <v>-37.58</v>
      </c>
      <c r="EB37" s="212">
        <v>0.85</v>
      </c>
      <c r="EC37" s="212">
        <v>-38.630000000000003</v>
      </c>
      <c r="ED37" s="331">
        <v>-36.54</v>
      </c>
      <c r="EE37" s="211">
        <v>0</v>
      </c>
      <c r="EF37" s="212">
        <v>0</v>
      </c>
      <c r="EG37" s="212">
        <v>0</v>
      </c>
      <c r="EH37" s="331">
        <v>0</v>
      </c>
      <c r="EI37" s="212">
        <v>0</v>
      </c>
      <c r="EJ37" s="212">
        <v>0</v>
      </c>
      <c r="EK37" s="212">
        <v>0</v>
      </c>
      <c r="EL37" s="212">
        <v>0</v>
      </c>
      <c r="EM37" s="211">
        <v>-87.82</v>
      </c>
      <c r="EN37" s="212">
        <v>5.92</v>
      </c>
      <c r="EO37" s="212">
        <v>-89.23</v>
      </c>
      <c r="EP37" s="331">
        <v>-86.41</v>
      </c>
      <c r="EQ37" s="211">
        <v>-86.53</v>
      </c>
      <c r="ER37" s="212">
        <v>6.03</v>
      </c>
      <c r="ES37" s="212">
        <v>-88.12</v>
      </c>
      <c r="ET37" s="331">
        <v>-84.93</v>
      </c>
      <c r="EU37" s="211">
        <v>-42.63</v>
      </c>
      <c r="EV37" s="212">
        <v>2.16</v>
      </c>
      <c r="EW37" s="212">
        <v>-45.06</v>
      </c>
      <c r="EX37" s="331">
        <v>-40.19</v>
      </c>
      <c r="EY37" s="211">
        <v>13.6</v>
      </c>
      <c r="EZ37" s="212">
        <v>5.07</v>
      </c>
      <c r="FA37" s="212">
        <v>12.28</v>
      </c>
      <c r="FB37" s="331">
        <v>14.99</v>
      </c>
      <c r="FC37" s="212">
        <v>96.37</v>
      </c>
      <c r="FD37" s="212">
        <v>0.27</v>
      </c>
      <c r="FE37" s="212">
        <v>3.63</v>
      </c>
      <c r="FF37" s="212">
        <v>7.18</v>
      </c>
      <c r="FG37" s="211">
        <v>-83</v>
      </c>
      <c r="FH37" s="212">
        <v>4.1100000000000003</v>
      </c>
      <c r="FI37" s="212">
        <v>-84.37</v>
      </c>
      <c r="FJ37" s="331">
        <v>-81.63</v>
      </c>
      <c r="FK37" s="211">
        <v>-81.319999999999993</v>
      </c>
      <c r="FL37" s="212">
        <v>4.28</v>
      </c>
      <c r="FM37" s="212">
        <v>-82.89</v>
      </c>
      <c r="FN37" s="331">
        <v>-79.75</v>
      </c>
      <c r="FO37" s="211">
        <v>-46.23</v>
      </c>
      <c r="FP37" s="212">
        <v>2</v>
      </c>
      <c r="FQ37" s="212">
        <v>-48.34</v>
      </c>
      <c r="FR37" s="331">
        <v>-44.12</v>
      </c>
      <c r="FS37" s="211">
        <v>13.6</v>
      </c>
      <c r="FT37" s="212">
        <v>9.3699999999999992</v>
      </c>
      <c r="FU37" s="212">
        <v>11.07</v>
      </c>
      <c r="FV37" s="331">
        <v>16.059999999999999</v>
      </c>
      <c r="FW37" s="212">
        <v>96.86</v>
      </c>
      <c r="FX37" s="212">
        <v>0.37</v>
      </c>
      <c r="FY37" s="212">
        <v>3.14</v>
      </c>
      <c r="FZ37" s="212">
        <v>11.35</v>
      </c>
      <c r="GA37" s="211">
        <v>-74.53</v>
      </c>
      <c r="GB37" s="212">
        <v>5.83</v>
      </c>
      <c r="GC37" s="212">
        <v>-77.44</v>
      </c>
      <c r="GD37" s="331">
        <v>-71.62</v>
      </c>
      <c r="GE37" s="211">
        <v>-71.8</v>
      </c>
      <c r="GF37" s="212">
        <v>5.76</v>
      </c>
      <c r="GG37" s="212">
        <v>-74.98</v>
      </c>
      <c r="GH37" s="331">
        <v>-68.61</v>
      </c>
      <c r="GI37" s="211">
        <v>-35.93</v>
      </c>
      <c r="GJ37" s="212">
        <v>3.19</v>
      </c>
      <c r="GK37" s="212">
        <v>-39.93</v>
      </c>
      <c r="GL37" s="331">
        <v>-31.92</v>
      </c>
      <c r="GM37" s="211">
        <v>17.600000000000001</v>
      </c>
      <c r="GN37" s="212">
        <v>5.97</v>
      </c>
      <c r="GO37" s="212">
        <v>15.58</v>
      </c>
      <c r="GP37" s="331">
        <v>19.7</v>
      </c>
      <c r="GQ37" s="212">
        <v>98.87</v>
      </c>
      <c r="GR37" s="212">
        <v>7.0000000000000007E-2</v>
      </c>
      <c r="GS37" s="212">
        <v>1.1299999999999999</v>
      </c>
      <c r="GT37" s="212">
        <v>6.11</v>
      </c>
      <c r="GU37" s="211">
        <v>-88.58</v>
      </c>
      <c r="GV37" s="212">
        <v>5.71</v>
      </c>
      <c r="GW37" s="212">
        <v>-89.86</v>
      </c>
      <c r="GX37" s="331">
        <v>-87.3</v>
      </c>
      <c r="GY37" s="211">
        <v>-87.19</v>
      </c>
      <c r="GZ37" s="212">
        <v>5.82</v>
      </c>
      <c r="HA37" s="212">
        <v>-88.66</v>
      </c>
      <c r="HB37" s="331">
        <v>-85.73</v>
      </c>
      <c r="HC37" s="211">
        <v>-36.86</v>
      </c>
      <c r="HD37" s="212">
        <v>2.0499999999999998</v>
      </c>
      <c r="HE37" s="212">
        <v>-39.4</v>
      </c>
      <c r="HF37" s="331">
        <v>-34.32</v>
      </c>
      <c r="HG37" s="211">
        <v>16.600000000000001</v>
      </c>
      <c r="HH37" s="212">
        <v>5.34</v>
      </c>
      <c r="HI37" s="212">
        <v>14.85</v>
      </c>
      <c r="HJ37" s="331">
        <v>18.329999999999998</v>
      </c>
      <c r="HK37" s="212">
        <v>99.95</v>
      </c>
      <c r="HL37" s="212">
        <v>0</v>
      </c>
      <c r="HM37" s="212">
        <v>0.05</v>
      </c>
      <c r="HN37" s="212">
        <v>7.38</v>
      </c>
      <c r="HO37" s="211">
        <v>-90.3</v>
      </c>
      <c r="HP37" s="212">
        <v>3.43</v>
      </c>
      <c r="HQ37" s="212">
        <v>-90.95</v>
      </c>
      <c r="HR37" s="331">
        <v>-89.64</v>
      </c>
      <c r="HS37" s="211">
        <v>-89.13</v>
      </c>
      <c r="HT37" s="212">
        <v>3.43</v>
      </c>
      <c r="HU37" s="212">
        <v>-89.86</v>
      </c>
      <c r="HV37" s="331">
        <v>-88.4</v>
      </c>
      <c r="HW37" s="211">
        <v>-41.86</v>
      </c>
      <c r="HX37" s="212">
        <v>2.2400000000000002</v>
      </c>
      <c r="HY37" s="212">
        <v>-44.42</v>
      </c>
      <c r="HZ37" s="331">
        <v>-39.31</v>
      </c>
      <c r="IA37" s="211">
        <v>35.5</v>
      </c>
      <c r="IB37" s="212">
        <v>6.97</v>
      </c>
      <c r="IC37" s="212">
        <v>30.67</v>
      </c>
      <c r="ID37" s="331">
        <v>40.369999999999997</v>
      </c>
      <c r="IE37" s="211">
        <v>100</v>
      </c>
      <c r="IF37" s="212">
        <v>0</v>
      </c>
      <c r="IG37" s="212">
        <v>0</v>
      </c>
      <c r="IH37" s="331">
        <v>0</v>
      </c>
    </row>
    <row r="38" spans="1:242" s="27" customFormat="1" ht="15.75" customHeight="1" x14ac:dyDescent="0.2">
      <c r="A38" s="26"/>
      <c r="B38" s="64" t="s">
        <v>10</v>
      </c>
      <c r="C38" s="209">
        <v>-85.77</v>
      </c>
      <c r="D38" s="210">
        <v>4.18</v>
      </c>
      <c r="E38" s="210">
        <v>-86.93</v>
      </c>
      <c r="F38" s="330">
        <v>-84.6</v>
      </c>
      <c r="G38" s="209">
        <v>-85.29</v>
      </c>
      <c r="H38" s="210">
        <v>4.3</v>
      </c>
      <c r="I38" s="210">
        <v>-86.53</v>
      </c>
      <c r="J38" s="330">
        <v>-84.05</v>
      </c>
      <c r="K38" s="209">
        <v>-52.58</v>
      </c>
      <c r="L38" s="210">
        <v>2.56</v>
      </c>
      <c r="M38" s="210">
        <v>-54.96</v>
      </c>
      <c r="N38" s="330">
        <v>-50.2</v>
      </c>
      <c r="O38" s="209">
        <v>13</v>
      </c>
      <c r="P38" s="210">
        <v>6.39</v>
      </c>
      <c r="Q38" s="210">
        <v>11.39</v>
      </c>
      <c r="R38" s="330">
        <v>14.65</v>
      </c>
      <c r="S38" s="210">
        <v>86.04</v>
      </c>
      <c r="T38" s="210">
        <v>2.27</v>
      </c>
      <c r="U38" s="210">
        <v>13.96</v>
      </c>
      <c r="V38" s="210">
        <v>13.99</v>
      </c>
      <c r="W38" s="209">
        <v>-93.44</v>
      </c>
      <c r="X38" s="210">
        <v>2.8</v>
      </c>
      <c r="Y38" s="210">
        <v>-93.8</v>
      </c>
      <c r="Z38" s="330">
        <v>-93.08</v>
      </c>
      <c r="AA38" s="209">
        <v>-93.02</v>
      </c>
      <c r="AB38" s="210">
        <v>2.82</v>
      </c>
      <c r="AC38" s="210">
        <v>-93.4</v>
      </c>
      <c r="AD38" s="330">
        <v>-92.63</v>
      </c>
      <c r="AE38" s="209">
        <v>-42.87</v>
      </c>
      <c r="AF38" s="210">
        <v>1.46</v>
      </c>
      <c r="AG38" s="210">
        <v>-44.5</v>
      </c>
      <c r="AH38" s="330">
        <v>-41.24</v>
      </c>
      <c r="AI38" s="209">
        <v>8.8000000000000007</v>
      </c>
      <c r="AJ38" s="210">
        <v>6.75</v>
      </c>
      <c r="AK38" s="210">
        <v>7.67</v>
      </c>
      <c r="AL38" s="330">
        <v>10</v>
      </c>
      <c r="AM38" s="210">
        <v>87.89</v>
      </c>
      <c r="AN38" s="210">
        <v>2.76</v>
      </c>
      <c r="AO38" s="210">
        <v>12.11</v>
      </c>
      <c r="AP38" s="210">
        <v>19.989999999999998</v>
      </c>
      <c r="AQ38" s="209">
        <v>-76.5</v>
      </c>
      <c r="AR38" s="210">
        <v>5.83</v>
      </c>
      <c r="AS38" s="210">
        <v>-79.19</v>
      </c>
      <c r="AT38" s="330">
        <v>-73.819999999999993</v>
      </c>
      <c r="AU38" s="209">
        <v>-74.900000000000006</v>
      </c>
      <c r="AV38" s="210">
        <v>5.9</v>
      </c>
      <c r="AW38" s="210">
        <v>-77.81</v>
      </c>
      <c r="AX38" s="330">
        <v>-72</v>
      </c>
      <c r="AY38" s="209">
        <v>-34.61</v>
      </c>
      <c r="AZ38" s="210">
        <v>2.15</v>
      </c>
      <c r="BA38" s="210">
        <v>-37.36</v>
      </c>
      <c r="BB38" s="330">
        <v>-31.86</v>
      </c>
      <c r="BC38" s="209">
        <v>19.3</v>
      </c>
      <c r="BD38" s="210">
        <v>6.13</v>
      </c>
      <c r="BE38" s="210">
        <v>16.97</v>
      </c>
      <c r="BF38" s="330">
        <v>21.61</v>
      </c>
      <c r="BG38" s="210">
        <v>99.36</v>
      </c>
      <c r="BH38" s="210">
        <v>0.08</v>
      </c>
      <c r="BI38" s="210">
        <v>0.64</v>
      </c>
      <c r="BJ38" s="210">
        <v>12.28</v>
      </c>
      <c r="BK38" s="209">
        <v>-81.63</v>
      </c>
      <c r="BL38" s="210">
        <v>3.51</v>
      </c>
      <c r="BM38" s="210">
        <v>-82.9</v>
      </c>
      <c r="BN38" s="330">
        <v>-80.37</v>
      </c>
      <c r="BO38" s="209">
        <v>-80.459999999999994</v>
      </c>
      <c r="BP38" s="210">
        <v>3.53</v>
      </c>
      <c r="BQ38" s="210">
        <v>-81.819999999999993</v>
      </c>
      <c r="BR38" s="330">
        <v>-79.11</v>
      </c>
      <c r="BS38" s="209">
        <v>-44.77</v>
      </c>
      <c r="BT38" s="210">
        <v>2.19</v>
      </c>
      <c r="BU38" s="210">
        <v>-47.14</v>
      </c>
      <c r="BV38" s="330">
        <v>-42.4</v>
      </c>
      <c r="BW38" s="209">
        <v>19.399999999999999</v>
      </c>
      <c r="BX38" s="210">
        <v>4.42</v>
      </c>
      <c r="BY38" s="210">
        <v>17.670000000000002</v>
      </c>
      <c r="BZ38" s="330">
        <v>21.03</v>
      </c>
      <c r="CA38" s="210">
        <v>90.59</v>
      </c>
      <c r="CB38" s="210">
        <v>0.78</v>
      </c>
      <c r="CC38" s="210">
        <v>9.41</v>
      </c>
      <c r="CD38" s="210">
        <v>7.53</v>
      </c>
      <c r="CE38" s="209">
        <v>-62.88</v>
      </c>
      <c r="CF38" s="210">
        <v>2.06</v>
      </c>
      <c r="CG38" s="210">
        <v>-64.38</v>
      </c>
      <c r="CH38" s="330">
        <v>-61.38</v>
      </c>
      <c r="CI38" s="209">
        <v>-60.74</v>
      </c>
      <c r="CJ38" s="210">
        <v>2.12</v>
      </c>
      <c r="CK38" s="210">
        <v>-62.37</v>
      </c>
      <c r="CL38" s="330">
        <v>-59.1</v>
      </c>
      <c r="CM38" s="209">
        <v>-42.86</v>
      </c>
      <c r="CN38" s="210">
        <v>1.91</v>
      </c>
      <c r="CO38" s="210">
        <v>-45</v>
      </c>
      <c r="CP38" s="330">
        <v>-40.72</v>
      </c>
      <c r="CQ38" s="209">
        <v>21.5</v>
      </c>
      <c r="CR38" s="210">
        <v>4.3099999999999996</v>
      </c>
      <c r="CS38" s="210">
        <v>19.649999999999999</v>
      </c>
      <c r="CT38" s="330">
        <v>23.27</v>
      </c>
      <c r="CU38" s="210">
        <v>99.51</v>
      </c>
      <c r="CV38" s="210">
        <v>0.02</v>
      </c>
      <c r="CW38" s="210">
        <v>0.49</v>
      </c>
      <c r="CX38" s="210">
        <v>4.21</v>
      </c>
      <c r="CY38" s="209">
        <v>-77.739999999999995</v>
      </c>
      <c r="CZ38" s="210">
        <v>7.42</v>
      </c>
      <c r="DA38" s="210">
        <v>-80.98</v>
      </c>
      <c r="DB38" s="330">
        <v>-74.5</v>
      </c>
      <c r="DC38" s="209">
        <v>-76.3</v>
      </c>
      <c r="DD38" s="210">
        <v>7.46</v>
      </c>
      <c r="DE38" s="210">
        <v>-79.77</v>
      </c>
      <c r="DF38" s="330">
        <v>-72.84</v>
      </c>
      <c r="DG38" s="209">
        <v>-47.31</v>
      </c>
      <c r="DH38" s="210">
        <v>3.79</v>
      </c>
      <c r="DI38" s="210">
        <v>-51.22</v>
      </c>
      <c r="DJ38" s="330">
        <v>-43.39</v>
      </c>
      <c r="DK38" s="209">
        <v>22.2</v>
      </c>
      <c r="DL38" s="210">
        <v>6.09</v>
      </c>
      <c r="DM38" s="210">
        <v>19.579999999999998</v>
      </c>
      <c r="DN38" s="330">
        <v>24.89</v>
      </c>
      <c r="DO38" s="210">
        <v>95.51</v>
      </c>
      <c r="DP38" s="210">
        <v>0.76</v>
      </c>
      <c r="DQ38" s="210">
        <v>4.49</v>
      </c>
      <c r="DR38" s="210">
        <v>16.2</v>
      </c>
      <c r="DS38" s="209">
        <v>-100</v>
      </c>
      <c r="DT38" s="210">
        <v>1.35</v>
      </c>
      <c r="DU38" s="210">
        <v>-100</v>
      </c>
      <c r="DV38" s="330">
        <v>-100</v>
      </c>
      <c r="DW38" s="209">
        <v>-100</v>
      </c>
      <c r="DX38" s="210">
        <v>1.35</v>
      </c>
      <c r="DY38" s="210">
        <v>-100</v>
      </c>
      <c r="DZ38" s="330">
        <v>-100</v>
      </c>
      <c r="EA38" s="209">
        <v>-37.54</v>
      </c>
      <c r="EB38" s="210">
        <v>0.8</v>
      </c>
      <c r="EC38" s="210">
        <v>-38.53</v>
      </c>
      <c r="ED38" s="330">
        <v>-36.56</v>
      </c>
      <c r="EE38" s="209">
        <v>0.8</v>
      </c>
      <c r="EF38" s="210">
        <v>0</v>
      </c>
      <c r="EG38" s="210">
        <v>0.83</v>
      </c>
      <c r="EH38" s="330">
        <v>0.83</v>
      </c>
      <c r="EI38" s="210">
        <v>66.67</v>
      </c>
      <c r="EJ38" s="210">
        <v>0</v>
      </c>
      <c r="EK38" s="210">
        <v>33.33</v>
      </c>
      <c r="EL38" s="210">
        <v>0</v>
      </c>
      <c r="EM38" s="209">
        <v>-74.87</v>
      </c>
      <c r="EN38" s="210">
        <v>4.41</v>
      </c>
      <c r="EO38" s="210">
        <v>-77.040000000000006</v>
      </c>
      <c r="EP38" s="330">
        <v>-72.7</v>
      </c>
      <c r="EQ38" s="209">
        <v>-73.31</v>
      </c>
      <c r="ER38" s="210">
        <v>4.51</v>
      </c>
      <c r="ES38" s="210">
        <v>-75.67</v>
      </c>
      <c r="ET38" s="330">
        <v>-70.95</v>
      </c>
      <c r="EU38" s="209">
        <v>-44.46</v>
      </c>
      <c r="EV38" s="210">
        <v>2.21</v>
      </c>
      <c r="EW38" s="210">
        <v>-46.87</v>
      </c>
      <c r="EX38" s="330">
        <v>-42.05</v>
      </c>
      <c r="EY38" s="209">
        <v>18.5</v>
      </c>
      <c r="EZ38" s="210">
        <v>4.63</v>
      </c>
      <c r="FA38" s="210">
        <v>16.84</v>
      </c>
      <c r="FB38" s="330">
        <v>20.2</v>
      </c>
      <c r="FC38" s="210">
        <v>92.95</v>
      </c>
      <c r="FD38" s="210">
        <v>0.4</v>
      </c>
      <c r="FE38" s="210">
        <v>7.05</v>
      </c>
      <c r="FF38" s="210">
        <v>5.33</v>
      </c>
      <c r="FG38" s="209">
        <v>-67.599999999999994</v>
      </c>
      <c r="FH38" s="210">
        <v>2.63</v>
      </c>
      <c r="FI38" s="210">
        <v>-69.260000000000005</v>
      </c>
      <c r="FJ38" s="330">
        <v>-65.930000000000007</v>
      </c>
      <c r="FK38" s="209">
        <v>-65.55</v>
      </c>
      <c r="FL38" s="210">
        <v>2.68</v>
      </c>
      <c r="FM38" s="210">
        <v>-67.36</v>
      </c>
      <c r="FN38" s="330">
        <v>-63.74</v>
      </c>
      <c r="FO38" s="209">
        <v>-44.64</v>
      </c>
      <c r="FP38" s="210">
        <v>1.66</v>
      </c>
      <c r="FQ38" s="210">
        <v>-46.45</v>
      </c>
      <c r="FR38" s="330">
        <v>-42.84</v>
      </c>
      <c r="FS38" s="209">
        <v>20.8</v>
      </c>
      <c r="FT38" s="210">
        <v>5.64</v>
      </c>
      <c r="FU38" s="210">
        <v>18.47</v>
      </c>
      <c r="FV38" s="330">
        <v>23.06</v>
      </c>
      <c r="FW38" s="210">
        <v>94.98</v>
      </c>
      <c r="FX38" s="210">
        <v>0.53</v>
      </c>
      <c r="FY38" s="210">
        <v>5.0199999999999996</v>
      </c>
      <c r="FZ38" s="210">
        <v>9.98</v>
      </c>
      <c r="GA38" s="209">
        <v>-52.85</v>
      </c>
      <c r="GB38" s="210">
        <v>11.28</v>
      </c>
      <c r="GC38" s="210">
        <v>-63.28</v>
      </c>
      <c r="GD38" s="330">
        <v>-42.43</v>
      </c>
      <c r="GE38" s="209">
        <v>-49.39</v>
      </c>
      <c r="GF38" s="210">
        <v>11.48</v>
      </c>
      <c r="GG38" s="210">
        <v>-60.78</v>
      </c>
      <c r="GH38" s="330">
        <v>-38.01</v>
      </c>
      <c r="GI38" s="209">
        <v>-34.67</v>
      </c>
      <c r="GJ38" s="210">
        <v>3.91</v>
      </c>
      <c r="GK38" s="210">
        <v>-39.67</v>
      </c>
      <c r="GL38" s="330">
        <v>-29.67</v>
      </c>
      <c r="GM38" s="209">
        <v>25.2</v>
      </c>
      <c r="GN38" s="210">
        <v>12.93</v>
      </c>
      <c r="GO38" s="210">
        <v>18.809999999999999</v>
      </c>
      <c r="GP38" s="330">
        <v>31.58</v>
      </c>
      <c r="GQ38" s="210">
        <v>98.39</v>
      </c>
      <c r="GR38" s="210">
        <v>0.22</v>
      </c>
      <c r="GS38" s="210">
        <v>1.61</v>
      </c>
      <c r="GT38" s="210">
        <v>13.59</v>
      </c>
      <c r="GU38" s="209">
        <v>-72.64</v>
      </c>
      <c r="GV38" s="210">
        <v>4.09</v>
      </c>
      <c r="GW38" s="210">
        <v>-74.84</v>
      </c>
      <c r="GX38" s="330">
        <v>-70.45</v>
      </c>
      <c r="GY38" s="209">
        <v>-70.19</v>
      </c>
      <c r="GZ38" s="210">
        <v>4.1100000000000003</v>
      </c>
      <c r="HA38" s="210">
        <v>-72.59</v>
      </c>
      <c r="HB38" s="330">
        <v>-67.790000000000006</v>
      </c>
      <c r="HC38" s="209">
        <v>-38.68</v>
      </c>
      <c r="HD38" s="210">
        <v>2.08</v>
      </c>
      <c r="HE38" s="210">
        <v>-41.17</v>
      </c>
      <c r="HF38" s="330">
        <v>-36.18</v>
      </c>
      <c r="HG38" s="209">
        <v>23.6</v>
      </c>
      <c r="HH38" s="210">
        <v>3.37</v>
      </c>
      <c r="HI38" s="210">
        <v>22.08</v>
      </c>
      <c r="HJ38" s="330">
        <v>25.2</v>
      </c>
      <c r="HK38" s="210">
        <v>99.33</v>
      </c>
      <c r="HL38" s="210">
        <v>0.04</v>
      </c>
      <c r="HM38" s="210">
        <v>0.67</v>
      </c>
      <c r="HN38" s="210">
        <v>5.63</v>
      </c>
      <c r="HO38" s="209">
        <v>-87.24</v>
      </c>
      <c r="HP38" s="210">
        <v>4.34</v>
      </c>
      <c r="HQ38" s="210">
        <v>-88.32</v>
      </c>
      <c r="HR38" s="330">
        <v>-86.15</v>
      </c>
      <c r="HS38" s="209">
        <v>-86.35</v>
      </c>
      <c r="HT38" s="210">
        <v>4.3099999999999996</v>
      </c>
      <c r="HU38" s="210">
        <v>-87.51</v>
      </c>
      <c r="HV38" s="330">
        <v>-85.2</v>
      </c>
      <c r="HW38" s="209">
        <v>-40.97</v>
      </c>
      <c r="HX38" s="210">
        <v>2.4300000000000002</v>
      </c>
      <c r="HY38" s="210">
        <v>-43.78</v>
      </c>
      <c r="HZ38" s="330">
        <v>-38.159999999999997</v>
      </c>
      <c r="IA38" s="209">
        <v>29.1</v>
      </c>
      <c r="IB38" s="210">
        <v>5.86</v>
      </c>
      <c r="IC38" s="210">
        <v>25.79</v>
      </c>
      <c r="ID38" s="330">
        <v>32.49</v>
      </c>
      <c r="IE38" s="209">
        <v>98.99</v>
      </c>
      <c r="IF38" s="210">
        <v>0.4</v>
      </c>
      <c r="IG38" s="210">
        <v>1.01</v>
      </c>
      <c r="IH38" s="330">
        <v>39</v>
      </c>
    </row>
    <row r="39" spans="1:242" s="27" customFormat="1" ht="15.75" customHeight="1" x14ac:dyDescent="0.2">
      <c r="A39" s="26"/>
      <c r="B39" s="28" t="s">
        <v>11</v>
      </c>
      <c r="C39" s="211">
        <v>-79</v>
      </c>
      <c r="D39" s="212">
        <v>3.48</v>
      </c>
      <c r="E39" s="212">
        <v>-80.430000000000007</v>
      </c>
      <c r="F39" s="331">
        <v>-77.56</v>
      </c>
      <c r="G39" s="211">
        <v>-78.03</v>
      </c>
      <c r="H39" s="212">
        <v>3.61</v>
      </c>
      <c r="I39" s="212">
        <v>-79.58</v>
      </c>
      <c r="J39" s="331">
        <v>-76.47</v>
      </c>
      <c r="K39" s="211">
        <v>-53.38</v>
      </c>
      <c r="L39" s="212">
        <v>2.5</v>
      </c>
      <c r="M39" s="212">
        <v>-55.66</v>
      </c>
      <c r="N39" s="331">
        <v>-51.09</v>
      </c>
      <c r="O39" s="211">
        <v>19.3</v>
      </c>
      <c r="P39" s="212">
        <v>5.16</v>
      </c>
      <c r="Q39" s="212">
        <v>17.39</v>
      </c>
      <c r="R39" s="331">
        <v>21.31</v>
      </c>
      <c r="S39" s="212">
        <v>77.3</v>
      </c>
      <c r="T39" s="212">
        <v>1.9</v>
      </c>
      <c r="U39" s="212">
        <v>22.7</v>
      </c>
      <c r="V39" s="212">
        <v>6.46</v>
      </c>
      <c r="W39" s="211">
        <v>-68.42</v>
      </c>
      <c r="X39" s="212">
        <v>1.52</v>
      </c>
      <c r="Y39" s="212">
        <v>-69.36</v>
      </c>
      <c r="Z39" s="331">
        <v>-67.48</v>
      </c>
      <c r="AA39" s="211">
        <v>-66.69</v>
      </c>
      <c r="AB39" s="212">
        <v>1.55</v>
      </c>
      <c r="AC39" s="212">
        <v>-67.709999999999994</v>
      </c>
      <c r="AD39" s="331">
        <v>-65.680000000000007</v>
      </c>
      <c r="AE39" s="211">
        <v>-40.590000000000003</v>
      </c>
      <c r="AF39" s="212">
        <v>1.36</v>
      </c>
      <c r="AG39" s="212">
        <v>-42.18</v>
      </c>
      <c r="AH39" s="331">
        <v>-39.01</v>
      </c>
      <c r="AI39" s="211">
        <v>23.1</v>
      </c>
      <c r="AJ39" s="212">
        <v>3.12</v>
      </c>
      <c r="AK39" s="212">
        <v>21.7</v>
      </c>
      <c r="AL39" s="331">
        <v>24.52</v>
      </c>
      <c r="AM39" s="212">
        <v>83.89</v>
      </c>
      <c r="AN39" s="212">
        <v>1.62</v>
      </c>
      <c r="AO39" s="212">
        <v>16.11</v>
      </c>
      <c r="AP39" s="212">
        <v>8.4499999999999993</v>
      </c>
      <c r="AQ39" s="211">
        <v>-47.03</v>
      </c>
      <c r="AR39" s="212">
        <v>2.96</v>
      </c>
      <c r="AS39" s="212">
        <v>-50.11</v>
      </c>
      <c r="AT39" s="331">
        <v>-43.95</v>
      </c>
      <c r="AU39" s="211">
        <v>-43.87</v>
      </c>
      <c r="AV39" s="212">
        <v>2.99</v>
      </c>
      <c r="AW39" s="212">
        <v>-47.15</v>
      </c>
      <c r="AX39" s="331">
        <v>-40.590000000000003</v>
      </c>
      <c r="AY39" s="211">
        <v>-28.98</v>
      </c>
      <c r="AZ39" s="212">
        <v>2</v>
      </c>
      <c r="BA39" s="212">
        <v>-31.76</v>
      </c>
      <c r="BB39" s="331">
        <v>-26.19</v>
      </c>
      <c r="BC39" s="211">
        <v>28.8</v>
      </c>
      <c r="BD39" s="212">
        <v>4.01</v>
      </c>
      <c r="BE39" s="212">
        <v>26.57</v>
      </c>
      <c r="BF39" s="331">
        <v>31.11</v>
      </c>
      <c r="BG39" s="212">
        <v>98.96</v>
      </c>
      <c r="BH39" s="212">
        <v>0.08</v>
      </c>
      <c r="BI39" s="212">
        <v>1.04</v>
      </c>
      <c r="BJ39" s="212">
        <v>7.3</v>
      </c>
      <c r="BK39" s="211">
        <v>-49.77</v>
      </c>
      <c r="BL39" s="212">
        <v>1.95</v>
      </c>
      <c r="BM39" s="212">
        <v>-51.68</v>
      </c>
      <c r="BN39" s="331">
        <v>-47.85</v>
      </c>
      <c r="BO39" s="211">
        <v>-47.13</v>
      </c>
      <c r="BP39" s="212">
        <v>1.95</v>
      </c>
      <c r="BQ39" s="212">
        <v>-49.15</v>
      </c>
      <c r="BR39" s="331">
        <v>-45.11</v>
      </c>
      <c r="BS39" s="211">
        <v>-38.090000000000003</v>
      </c>
      <c r="BT39" s="212">
        <v>2.0299999999999998</v>
      </c>
      <c r="BU39" s="212">
        <v>-40.56</v>
      </c>
      <c r="BV39" s="331">
        <v>-35.619999999999997</v>
      </c>
      <c r="BW39" s="211">
        <v>28.2</v>
      </c>
      <c r="BX39" s="212">
        <v>2.94</v>
      </c>
      <c r="BY39" s="212">
        <v>26.53</v>
      </c>
      <c r="BZ39" s="331">
        <v>29.77</v>
      </c>
      <c r="CA39" s="212">
        <v>91.77</v>
      </c>
      <c r="CB39" s="212">
        <v>0.35</v>
      </c>
      <c r="CC39" s="212">
        <v>8.23</v>
      </c>
      <c r="CD39" s="212">
        <v>3.86</v>
      </c>
      <c r="CE39" s="211">
        <v>-34.94</v>
      </c>
      <c r="CF39" s="212">
        <v>1.45</v>
      </c>
      <c r="CG39" s="212">
        <v>-36.79</v>
      </c>
      <c r="CH39" s="331">
        <v>-33.090000000000003</v>
      </c>
      <c r="CI39" s="211">
        <v>-31.53</v>
      </c>
      <c r="CJ39" s="212">
        <v>1.48</v>
      </c>
      <c r="CK39" s="212">
        <v>-33.520000000000003</v>
      </c>
      <c r="CL39" s="331">
        <v>-29.55</v>
      </c>
      <c r="CM39" s="211">
        <v>-35.74</v>
      </c>
      <c r="CN39" s="212">
        <v>1.88</v>
      </c>
      <c r="CO39" s="212">
        <v>-38.11</v>
      </c>
      <c r="CP39" s="331">
        <v>-33.369999999999997</v>
      </c>
      <c r="CQ39" s="211">
        <v>33.299999999999997</v>
      </c>
      <c r="CR39" s="212">
        <v>3.14</v>
      </c>
      <c r="CS39" s="212">
        <v>31.23</v>
      </c>
      <c r="CT39" s="331">
        <v>35.32</v>
      </c>
      <c r="CU39" s="212">
        <v>98.41</v>
      </c>
      <c r="CV39" s="212">
        <v>0.06</v>
      </c>
      <c r="CW39" s="212">
        <v>1.59</v>
      </c>
      <c r="CX39" s="212">
        <v>3.46</v>
      </c>
      <c r="CY39" s="211">
        <v>-61.76</v>
      </c>
      <c r="CZ39" s="212">
        <v>5.18</v>
      </c>
      <c r="DA39" s="212">
        <v>-65.650000000000006</v>
      </c>
      <c r="DB39" s="331">
        <v>-57.88</v>
      </c>
      <c r="DC39" s="211">
        <v>-59.32</v>
      </c>
      <c r="DD39" s="212">
        <v>5.19</v>
      </c>
      <c r="DE39" s="212">
        <v>-63.46</v>
      </c>
      <c r="DF39" s="331">
        <v>-55.18</v>
      </c>
      <c r="DG39" s="211">
        <v>-44.76</v>
      </c>
      <c r="DH39" s="212">
        <v>3.55</v>
      </c>
      <c r="DI39" s="212">
        <v>-48.6</v>
      </c>
      <c r="DJ39" s="331">
        <v>-40.92</v>
      </c>
      <c r="DK39" s="211">
        <v>27.1</v>
      </c>
      <c r="DL39" s="212">
        <v>4.4400000000000004</v>
      </c>
      <c r="DM39" s="212">
        <v>24.75</v>
      </c>
      <c r="DN39" s="331">
        <v>29.47</v>
      </c>
      <c r="DO39" s="212">
        <v>90.04</v>
      </c>
      <c r="DP39" s="212">
        <v>1.18</v>
      </c>
      <c r="DQ39" s="212">
        <v>9.9600000000000009</v>
      </c>
      <c r="DR39" s="212">
        <v>10.68</v>
      </c>
      <c r="DS39" s="211">
        <v>-87.57</v>
      </c>
      <c r="DT39" s="212">
        <v>1.4</v>
      </c>
      <c r="DU39" s="212">
        <v>-87.91</v>
      </c>
      <c r="DV39" s="331">
        <v>-87.23</v>
      </c>
      <c r="DW39" s="211">
        <v>-87.17</v>
      </c>
      <c r="DX39" s="212">
        <v>1.44</v>
      </c>
      <c r="DY39" s="212">
        <v>-87.53</v>
      </c>
      <c r="DZ39" s="331">
        <v>-86.8</v>
      </c>
      <c r="EA39" s="211">
        <v>-30.59</v>
      </c>
      <c r="EB39" s="212">
        <v>0.78</v>
      </c>
      <c r="EC39" s="212">
        <v>-31.65</v>
      </c>
      <c r="ED39" s="331">
        <v>-29.54</v>
      </c>
      <c r="EE39" s="211">
        <v>20.399999999999999</v>
      </c>
      <c r="EF39" s="212">
        <v>2.0699999999999998</v>
      </c>
      <c r="EG39" s="212">
        <v>19.57</v>
      </c>
      <c r="EH39" s="331">
        <v>21.22</v>
      </c>
      <c r="EI39" s="212">
        <v>62.56</v>
      </c>
      <c r="EJ39" s="212">
        <v>1.83</v>
      </c>
      <c r="EK39" s="212">
        <v>37.44</v>
      </c>
      <c r="EL39" s="212">
        <v>3.05</v>
      </c>
      <c r="EM39" s="211">
        <v>-61.68</v>
      </c>
      <c r="EN39" s="212">
        <v>3.52</v>
      </c>
      <c r="EO39" s="212">
        <v>-64.319999999999993</v>
      </c>
      <c r="EP39" s="331">
        <v>-59.03</v>
      </c>
      <c r="EQ39" s="211">
        <v>-59.25</v>
      </c>
      <c r="ER39" s="212">
        <v>3.56</v>
      </c>
      <c r="ES39" s="212">
        <v>-62.09</v>
      </c>
      <c r="ET39" s="331">
        <v>-56.4</v>
      </c>
      <c r="EU39" s="211">
        <v>-43.22</v>
      </c>
      <c r="EV39" s="212">
        <v>2.23</v>
      </c>
      <c r="EW39" s="212">
        <v>-45.71</v>
      </c>
      <c r="EX39" s="331">
        <v>-40.74</v>
      </c>
      <c r="EY39" s="211">
        <v>26.2</v>
      </c>
      <c r="EZ39" s="212">
        <v>4.0999999999999996</v>
      </c>
      <c r="FA39" s="212">
        <v>24.07</v>
      </c>
      <c r="FB39" s="331">
        <v>28.28</v>
      </c>
      <c r="FC39" s="212">
        <v>90.45</v>
      </c>
      <c r="FD39" s="212">
        <v>0.66</v>
      </c>
      <c r="FE39" s="212">
        <v>9.5500000000000007</v>
      </c>
      <c r="FF39" s="212">
        <v>6.3</v>
      </c>
      <c r="FG39" s="211">
        <v>-51.22</v>
      </c>
      <c r="FH39" s="212">
        <v>2.1</v>
      </c>
      <c r="FI39" s="212">
        <v>-53.23</v>
      </c>
      <c r="FJ39" s="331">
        <v>-49.2</v>
      </c>
      <c r="FK39" s="211">
        <v>-48.22</v>
      </c>
      <c r="FL39" s="212">
        <v>2.17</v>
      </c>
      <c r="FM39" s="212">
        <v>-50.43</v>
      </c>
      <c r="FN39" s="331">
        <v>-46.02</v>
      </c>
      <c r="FO39" s="211">
        <v>-45.01</v>
      </c>
      <c r="FP39" s="212">
        <v>1.72</v>
      </c>
      <c r="FQ39" s="212">
        <v>-46.86</v>
      </c>
      <c r="FR39" s="331">
        <v>-43.17</v>
      </c>
      <c r="FS39" s="211">
        <v>28.3</v>
      </c>
      <c r="FT39" s="212">
        <v>4.4400000000000004</v>
      </c>
      <c r="FU39" s="212">
        <v>25.85</v>
      </c>
      <c r="FV39" s="331">
        <v>30.78</v>
      </c>
      <c r="FW39" s="212">
        <v>92.11</v>
      </c>
      <c r="FX39" s="212">
        <v>0.59</v>
      </c>
      <c r="FY39" s="212">
        <v>7.89</v>
      </c>
      <c r="FZ39" s="212">
        <v>6.91</v>
      </c>
      <c r="GA39" s="211">
        <v>-18.88</v>
      </c>
      <c r="GB39" s="212">
        <v>3.56</v>
      </c>
      <c r="GC39" s="212">
        <v>-24.55</v>
      </c>
      <c r="GD39" s="331">
        <v>-13.22</v>
      </c>
      <c r="GE39" s="211">
        <v>-13.72</v>
      </c>
      <c r="GF39" s="212">
        <v>3.64</v>
      </c>
      <c r="GG39" s="212">
        <v>-19.87</v>
      </c>
      <c r="GH39" s="331">
        <v>-7.57</v>
      </c>
      <c r="GI39" s="211">
        <v>-26.07</v>
      </c>
      <c r="GJ39" s="212">
        <v>3.53</v>
      </c>
      <c r="GK39" s="212">
        <v>-31.19</v>
      </c>
      <c r="GL39" s="331">
        <v>-20.95</v>
      </c>
      <c r="GM39" s="211">
        <v>34.799999999999997</v>
      </c>
      <c r="GN39" s="212">
        <v>6.24</v>
      </c>
      <c r="GO39" s="212">
        <v>30.54</v>
      </c>
      <c r="GP39" s="331">
        <v>39.06</v>
      </c>
      <c r="GQ39" s="212">
        <v>97.19</v>
      </c>
      <c r="GR39" s="212">
        <v>0.26</v>
      </c>
      <c r="GS39" s="212">
        <v>2.81</v>
      </c>
      <c r="GT39" s="212">
        <v>8.9700000000000006</v>
      </c>
      <c r="GU39" s="211">
        <v>-55.47</v>
      </c>
      <c r="GV39" s="212">
        <v>3.51</v>
      </c>
      <c r="GW39" s="212">
        <v>-58.53</v>
      </c>
      <c r="GX39" s="331">
        <v>-52.41</v>
      </c>
      <c r="GY39" s="211">
        <v>-52.09</v>
      </c>
      <c r="GZ39" s="212">
        <v>3.48</v>
      </c>
      <c r="HA39" s="212">
        <v>-55.36</v>
      </c>
      <c r="HB39" s="331">
        <v>-48.82</v>
      </c>
      <c r="HC39" s="211">
        <v>-35.369999999999997</v>
      </c>
      <c r="HD39" s="212">
        <v>1.75</v>
      </c>
      <c r="HE39" s="212">
        <v>-37.590000000000003</v>
      </c>
      <c r="HF39" s="331">
        <v>-33.15</v>
      </c>
      <c r="HG39" s="211">
        <v>26.5</v>
      </c>
      <c r="HH39" s="212">
        <v>3.62</v>
      </c>
      <c r="HI39" s="212">
        <v>24.62</v>
      </c>
      <c r="HJ39" s="331">
        <v>28.39</v>
      </c>
      <c r="HK39" s="212">
        <v>98.67</v>
      </c>
      <c r="HL39" s="212">
        <v>7.0000000000000007E-2</v>
      </c>
      <c r="HM39" s="212">
        <v>1.33</v>
      </c>
      <c r="HN39" s="212">
        <v>4.99</v>
      </c>
      <c r="HO39" s="211">
        <v>-86.09</v>
      </c>
      <c r="HP39" s="212">
        <v>6.2</v>
      </c>
      <c r="HQ39" s="212">
        <v>-87.78</v>
      </c>
      <c r="HR39" s="331">
        <v>-84.4</v>
      </c>
      <c r="HS39" s="211">
        <v>-85.22</v>
      </c>
      <c r="HT39" s="212">
        <v>6.21</v>
      </c>
      <c r="HU39" s="212">
        <v>-87.02</v>
      </c>
      <c r="HV39" s="331">
        <v>-83.43</v>
      </c>
      <c r="HW39" s="211">
        <v>-36.130000000000003</v>
      </c>
      <c r="HX39" s="212">
        <v>2.46</v>
      </c>
      <c r="HY39" s="212">
        <v>-39.21</v>
      </c>
      <c r="HZ39" s="331">
        <v>-33.049999999999997</v>
      </c>
      <c r="IA39" s="211">
        <v>26</v>
      </c>
      <c r="IB39" s="212">
        <v>3.42</v>
      </c>
      <c r="IC39" s="212">
        <v>24.22</v>
      </c>
      <c r="ID39" s="331">
        <v>27.7</v>
      </c>
      <c r="IE39" s="211">
        <v>97.28</v>
      </c>
      <c r="IF39" s="212">
        <v>0.53</v>
      </c>
      <c r="IG39" s="212">
        <v>2.72</v>
      </c>
      <c r="IH39" s="331">
        <v>19.010000000000002</v>
      </c>
    </row>
    <row r="40" spans="1:242" s="27" customFormat="1" ht="15.75" customHeight="1" x14ac:dyDescent="0.2">
      <c r="A40" s="26"/>
      <c r="B40" s="64" t="s">
        <v>12</v>
      </c>
      <c r="C40" s="209">
        <v>-70.739999999999995</v>
      </c>
      <c r="D40" s="210">
        <v>2.54</v>
      </c>
      <c r="E40" s="210">
        <v>-72.2</v>
      </c>
      <c r="F40" s="330">
        <v>-69.28</v>
      </c>
      <c r="G40" s="209">
        <v>-69.23</v>
      </c>
      <c r="H40" s="210">
        <v>2.68</v>
      </c>
      <c r="I40" s="210">
        <v>-70.84</v>
      </c>
      <c r="J40" s="330">
        <v>-67.61</v>
      </c>
      <c r="K40" s="209">
        <v>-54.1</v>
      </c>
      <c r="L40" s="210">
        <v>2.48</v>
      </c>
      <c r="M40" s="210">
        <v>-56.33</v>
      </c>
      <c r="N40" s="330">
        <v>-51.87</v>
      </c>
      <c r="O40" s="209">
        <v>25.9</v>
      </c>
      <c r="P40" s="210">
        <v>4.8600000000000003</v>
      </c>
      <c r="Q40" s="210">
        <v>23.41</v>
      </c>
      <c r="R40" s="330">
        <v>28.34</v>
      </c>
      <c r="S40" s="210">
        <v>70.13</v>
      </c>
      <c r="T40" s="210">
        <v>3.36</v>
      </c>
      <c r="U40" s="210">
        <v>29.87</v>
      </c>
      <c r="V40" s="210">
        <v>7.88</v>
      </c>
      <c r="W40" s="209">
        <v>-67.510000000000005</v>
      </c>
      <c r="X40" s="210">
        <v>1.83</v>
      </c>
      <c r="Y40" s="210">
        <v>-68.680000000000007</v>
      </c>
      <c r="Z40" s="330">
        <v>-66.349999999999994</v>
      </c>
      <c r="AA40" s="209">
        <v>-65.45</v>
      </c>
      <c r="AB40" s="210">
        <v>1.83</v>
      </c>
      <c r="AC40" s="210">
        <v>-66.69</v>
      </c>
      <c r="AD40" s="330">
        <v>-64.209999999999994</v>
      </c>
      <c r="AE40" s="209">
        <v>-40.159999999999997</v>
      </c>
      <c r="AF40" s="210">
        <v>1.36</v>
      </c>
      <c r="AG40" s="210">
        <v>-41.76</v>
      </c>
      <c r="AH40" s="330">
        <v>-38.56</v>
      </c>
      <c r="AI40" s="209">
        <v>29.8</v>
      </c>
      <c r="AJ40" s="210">
        <v>2.87</v>
      </c>
      <c r="AK40" s="210">
        <v>28.09</v>
      </c>
      <c r="AL40" s="330">
        <v>31.43</v>
      </c>
      <c r="AM40" s="210">
        <v>85.32</v>
      </c>
      <c r="AN40" s="210">
        <v>0.94</v>
      </c>
      <c r="AO40" s="210">
        <v>14.68</v>
      </c>
      <c r="AP40" s="210">
        <v>5.46</v>
      </c>
      <c r="AQ40" s="209">
        <v>-44.79</v>
      </c>
      <c r="AR40" s="210">
        <v>2.58</v>
      </c>
      <c r="AS40" s="210">
        <v>-47.59</v>
      </c>
      <c r="AT40" s="330">
        <v>-42</v>
      </c>
      <c r="AU40" s="209">
        <v>-41.41</v>
      </c>
      <c r="AV40" s="210">
        <v>2.62</v>
      </c>
      <c r="AW40" s="210">
        <v>-44.42</v>
      </c>
      <c r="AX40" s="330">
        <v>-38.4</v>
      </c>
      <c r="AY40" s="209">
        <v>-27.13</v>
      </c>
      <c r="AZ40" s="210">
        <v>1.82</v>
      </c>
      <c r="BA40" s="210">
        <v>-29.73</v>
      </c>
      <c r="BB40" s="330">
        <v>-24.52</v>
      </c>
      <c r="BC40" s="209">
        <v>29.8</v>
      </c>
      <c r="BD40" s="210">
        <v>4.1100000000000003</v>
      </c>
      <c r="BE40" s="210">
        <v>27.38</v>
      </c>
      <c r="BF40" s="330">
        <v>32.18</v>
      </c>
      <c r="BG40" s="210">
        <v>97.81</v>
      </c>
      <c r="BH40" s="210">
        <v>0.15</v>
      </c>
      <c r="BI40" s="210">
        <v>2.19</v>
      </c>
      <c r="BJ40" s="210">
        <v>6.81</v>
      </c>
      <c r="BK40" s="209">
        <v>-47.44</v>
      </c>
      <c r="BL40" s="210">
        <v>1.8</v>
      </c>
      <c r="BM40" s="210">
        <v>-49.3</v>
      </c>
      <c r="BN40" s="330">
        <v>-45.59</v>
      </c>
      <c r="BO40" s="209">
        <v>-44.22</v>
      </c>
      <c r="BP40" s="210">
        <v>1.83</v>
      </c>
      <c r="BQ40" s="210">
        <v>-46.21</v>
      </c>
      <c r="BR40" s="330">
        <v>-42.22</v>
      </c>
      <c r="BS40" s="209">
        <v>-35.99</v>
      </c>
      <c r="BT40" s="210">
        <v>2.11</v>
      </c>
      <c r="BU40" s="210">
        <v>-38.64</v>
      </c>
      <c r="BV40" s="330">
        <v>-33.340000000000003</v>
      </c>
      <c r="BW40" s="209">
        <v>33.200000000000003</v>
      </c>
      <c r="BX40" s="210">
        <v>2.2999999999999998</v>
      </c>
      <c r="BY40" s="210">
        <v>31.75</v>
      </c>
      <c r="BZ40" s="330">
        <v>34.74</v>
      </c>
      <c r="CA40" s="210">
        <v>91.44</v>
      </c>
      <c r="CB40" s="210">
        <v>0.38</v>
      </c>
      <c r="CC40" s="210">
        <v>8.56</v>
      </c>
      <c r="CD40" s="210">
        <v>4.08</v>
      </c>
      <c r="CE40" s="209">
        <v>-34.54</v>
      </c>
      <c r="CF40" s="210">
        <v>1.23</v>
      </c>
      <c r="CG40" s="210">
        <v>-36.119999999999997</v>
      </c>
      <c r="CH40" s="330">
        <v>-32.96</v>
      </c>
      <c r="CI40" s="209">
        <v>-30.68</v>
      </c>
      <c r="CJ40" s="210">
        <v>1.27</v>
      </c>
      <c r="CK40" s="210">
        <v>-32.409999999999997</v>
      </c>
      <c r="CL40" s="330">
        <v>-28.95</v>
      </c>
      <c r="CM40" s="209">
        <v>-32.409999999999997</v>
      </c>
      <c r="CN40" s="210">
        <v>1.73</v>
      </c>
      <c r="CO40" s="210">
        <v>-34.71</v>
      </c>
      <c r="CP40" s="330">
        <v>-30.12</v>
      </c>
      <c r="CQ40" s="209">
        <v>34.1</v>
      </c>
      <c r="CR40" s="210">
        <v>2.42</v>
      </c>
      <c r="CS40" s="210">
        <v>32.520000000000003</v>
      </c>
      <c r="CT40" s="330">
        <v>35.75</v>
      </c>
      <c r="CU40" s="210">
        <v>97.65</v>
      </c>
      <c r="CV40" s="210">
        <v>7.0000000000000007E-2</v>
      </c>
      <c r="CW40" s="210">
        <v>2.35</v>
      </c>
      <c r="CX40" s="210">
        <v>3.1</v>
      </c>
      <c r="CY40" s="209">
        <v>-57.18</v>
      </c>
      <c r="CZ40" s="210">
        <v>4.45</v>
      </c>
      <c r="DA40" s="210">
        <v>-60.92</v>
      </c>
      <c r="DB40" s="330">
        <v>-53.44</v>
      </c>
      <c r="DC40" s="209">
        <v>-54.05</v>
      </c>
      <c r="DD40" s="210">
        <v>4.43</v>
      </c>
      <c r="DE40" s="210">
        <v>-58.04</v>
      </c>
      <c r="DF40" s="330">
        <v>-50.07</v>
      </c>
      <c r="DG40" s="209">
        <v>-41.9</v>
      </c>
      <c r="DH40" s="210">
        <v>3.17</v>
      </c>
      <c r="DI40" s="210">
        <v>-45.51</v>
      </c>
      <c r="DJ40" s="330">
        <v>-38.29</v>
      </c>
      <c r="DK40" s="209">
        <v>32</v>
      </c>
      <c r="DL40" s="210">
        <v>4</v>
      </c>
      <c r="DM40" s="210">
        <v>29.47</v>
      </c>
      <c r="DN40" s="330">
        <v>34.49</v>
      </c>
      <c r="DO40" s="210">
        <v>85.82</v>
      </c>
      <c r="DP40" s="210">
        <v>1.44</v>
      </c>
      <c r="DQ40" s="210">
        <v>14.18</v>
      </c>
      <c r="DR40" s="210">
        <v>8.73</v>
      </c>
      <c r="DS40" s="209">
        <v>-77.12</v>
      </c>
      <c r="DT40" s="210">
        <v>1.47</v>
      </c>
      <c r="DU40" s="210">
        <v>-77.78</v>
      </c>
      <c r="DV40" s="330">
        <v>-76.459999999999994</v>
      </c>
      <c r="DW40" s="209">
        <v>-76.08</v>
      </c>
      <c r="DX40" s="210">
        <v>1.52</v>
      </c>
      <c r="DY40" s="210">
        <v>-76.790000000000006</v>
      </c>
      <c r="DZ40" s="330">
        <v>-75.36</v>
      </c>
      <c r="EA40" s="209">
        <v>-28.91</v>
      </c>
      <c r="EB40" s="210">
        <v>0.8</v>
      </c>
      <c r="EC40" s="210">
        <v>-30.02</v>
      </c>
      <c r="ED40" s="330">
        <v>-27.79</v>
      </c>
      <c r="EE40" s="209">
        <v>34.1</v>
      </c>
      <c r="EF40" s="210">
        <v>1.24</v>
      </c>
      <c r="EG40" s="210">
        <v>33.299999999999997</v>
      </c>
      <c r="EH40" s="330">
        <v>34.96</v>
      </c>
      <c r="EI40" s="210">
        <v>88.42</v>
      </c>
      <c r="EJ40" s="210">
        <v>0.75</v>
      </c>
      <c r="EK40" s="210">
        <v>11.58</v>
      </c>
      <c r="EL40" s="210">
        <v>5.72</v>
      </c>
      <c r="EM40" s="209">
        <v>-50.9</v>
      </c>
      <c r="EN40" s="210">
        <v>3.23</v>
      </c>
      <c r="EO40" s="210">
        <v>-54</v>
      </c>
      <c r="EP40" s="330">
        <v>-47.79</v>
      </c>
      <c r="EQ40" s="209">
        <v>-47.46</v>
      </c>
      <c r="ER40" s="210">
        <v>3.21</v>
      </c>
      <c r="ES40" s="210">
        <v>-50.77</v>
      </c>
      <c r="ET40" s="330">
        <v>-44.15</v>
      </c>
      <c r="EU40" s="209">
        <v>-40.85</v>
      </c>
      <c r="EV40" s="210">
        <v>2.04</v>
      </c>
      <c r="EW40" s="210">
        <v>-43.22</v>
      </c>
      <c r="EX40" s="330">
        <v>-38.49</v>
      </c>
      <c r="EY40" s="209">
        <v>30.4</v>
      </c>
      <c r="EZ40" s="210">
        <v>3.85</v>
      </c>
      <c r="FA40" s="210">
        <v>28.13</v>
      </c>
      <c r="FB40" s="330">
        <v>32.72</v>
      </c>
      <c r="FC40" s="210">
        <v>88.59</v>
      </c>
      <c r="FD40" s="210">
        <v>0.65</v>
      </c>
      <c r="FE40" s="210">
        <v>11.41</v>
      </c>
      <c r="FF40" s="210">
        <v>5.01</v>
      </c>
      <c r="FG40" s="209">
        <v>-42.6</v>
      </c>
      <c r="FH40" s="210">
        <v>2.0699999999999998</v>
      </c>
      <c r="FI40" s="210">
        <v>-44.93</v>
      </c>
      <c r="FJ40" s="330">
        <v>-40.270000000000003</v>
      </c>
      <c r="FK40" s="209">
        <v>-38.53</v>
      </c>
      <c r="FL40" s="210">
        <v>2.1</v>
      </c>
      <c r="FM40" s="210">
        <v>-41.06</v>
      </c>
      <c r="FN40" s="330">
        <v>-36.01</v>
      </c>
      <c r="FO40" s="209">
        <v>-41.87</v>
      </c>
      <c r="FP40" s="210">
        <v>1.56</v>
      </c>
      <c r="FQ40" s="210">
        <v>-43.65</v>
      </c>
      <c r="FR40" s="330">
        <v>-40.1</v>
      </c>
      <c r="FS40" s="209">
        <v>33</v>
      </c>
      <c r="FT40" s="210">
        <v>4.4800000000000004</v>
      </c>
      <c r="FU40" s="210">
        <v>30.11</v>
      </c>
      <c r="FV40" s="330">
        <v>35.909999999999997</v>
      </c>
      <c r="FW40" s="210">
        <v>91.68</v>
      </c>
      <c r="FX40" s="210">
        <v>0.55000000000000004</v>
      </c>
      <c r="FY40" s="210">
        <v>8.32</v>
      </c>
      <c r="FZ40" s="210">
        <v>6.02</v>
      </c>
      <c r="GA40" s="209">
        <v>-23.03</v>
      </c>
      <c r="GB40" s="210">
        <v>5.0999999999999996</v>
      </c>
      <c r="GC40" s="210">
        <v>-30.73</v>
      </c>
      <c r="GD40" s="330">
        <v>-15.34</v>
      </c>
      <c r="GE40" s="209">
        <v>-17.649999999999999</v>
      </c>
      <c r="GF40" s="210">
        <v>5.26</v>
      </c>
      <c r="GG40" s="210">
        <v>-26.14</v>
      </c>
      <c r="GH40" s="330">
        <v>-9.16</v>
      </c>
      <c r="GI40" s="209">
        <v>-26.63</v>
      </c>
      <c r="GJ40" s="210">
        <v>3.01</v>
      </c>
      <c r="GK40" s="210">
        <v>-30.96</v>
      </c>
      <c r="GL40" s="330">
        <v>-22.3</v>
      </c>
      <c r="GM40" s="209">
        <v>34.6</v>
      </c>
      <c r="GN40" s="210">
        <v>7.31</v>
      </c>
      <c r="GO40" s="210">
        <v>29.68</v>
      </c>
      <c r="GP40" s="330">
        <v>39.61</v>
      </c>
      <c r="GQ40" s="210">
        <v>97.01</v>
      </c>
      <c r="GR40" s="210">
        <v>0.23</v>
      </c>
      <c r="GS40" s="210">
        <v>2.99</v>
      </c>
      <c r="GT40" s="210">
        <v>7.42</v>
      </c>
      <c r="GU40" s="209">
        <v>-38.79</v>
      </c>
      <c r="GV40" s="210">
        <v>3.21</v>
      </c>
      <c r="GW40" s="210">
        <v>-42.64</v>
      </c>
      <c r="GX40" s="330">
        <v>-34.94</v>
      </c>
      <c r="GY40" s="209">
        <v>-33.68</v>
      </c>
      <c r="GZ40" s="210">
        <v>3.15</v>
      </c>
      <c r="HA40" s="210">
        <v>-37.770000000000003</v>
      </c>
      <c r="HB40" s="330">
        <v>-29.59</v>
      </c>
      <c r="HC40" s="209">
        <v>-33.25</v>
      </c>
      <c r="HD40" s="210">
        <v>1.8</v>
      </c>
      <c r="HE40" s="210">
        <v>-35.61</v>
      </c>
      <c r="HF40" s="330">
        <v>-30.9</v>
      </c>
      <c r="HG40" s="209">
        <v>33.5</v>
      </c>
      <c r="HH40" s="210">
        <v>3.76</v>
      </c>
      <c r="HI40" s="210">
        <v>31.06</v>
      </c>
      <c r="HJ40" s="330">
        <v>36.01</v>
      </c>
      <c r="HK40" s="210">
        <v>98.63</v>
      </c>
      <c r="HL40" s="210">
        <v>0.09</v>
      </c>
      <c r="HM40" s="210">
        <v>1.37</v>
      </c>
      <c r="HN40" s="210">
        <v>6.5</v>
      </c>
      <c r="HO40" s="209">
        <v>-82.9</v>
      </c>
      <c r="HP40" s="210">
        <v>5.84</v>
      </c>
      <c r="HQ40" s="210">
        <v>-84.86</v>
      </c>
      <c r="HR40" s="330">
        <v>-80.94</v>
      </c>
      <c r="HS40" s="209">
        <v>-81.62</v>
      </c>
      <c r="HT40" s="210">
        <v>5.85</v>
      </c>
      <c r="HU40" s="210">
        <v>-83.73</v>
      </c>
      <c r="HV40" s="330">
        <v>-79.52</v>
      </c>
      <c r="HW40" s="209">
        <v>-34.61</v>
      </c>
      <c r="HX40" s="210">
        <v>2.2799999999999998</v>
      </c>
      <c r="HY40" s="210">
        <v>-37.53</v>
      </c>
      <c r="HZ40" s="330">
        <v>-31.69</v>
      </c>
      <c r="IA40" s="209">
        <v>32.299999999999997</v>
      </c>
      <c r="IB40" s="210">
        <v>4</v>
      </c>
      <c r="IC40" s="210">
        <v>29.75</v>
      </c>
      <c r="ID40" s="330">
        <v>34.82</v>
      </c>
      <c r="IE40" s="209">
        <v>96.71</v>
      </c>
      <c r="IF40" s="210">
        <v>0.69</v>
      </c>
      <c r="IG40" s="210">
        <v>3.29</v>
      </c>
      <c r="IH40" s="330">
        <v>20.18</v>
      </c>
    </row>
    <row r="41" spans="1:242" s="27" customFormat="1" ht="15.75" customHeight="1" x14ac:dyDescent="0.2">
      <c r="A41" s="26"/>
      <c r="B41" s="28" t="s">
        <v>13</v>
      </c>
      <c r="C41" s="211">
        <v>-63.49</v>
      </c>
      <c r="D41" s="212">
        <v>2.2599999999999998</v>
      </c>
      <c r="E41" s="212">
        <v>-65.11</v>
      </c>
      <c r="F41" s="331">
        <v>-61.87</v>
      </c>
      <c r="G41" s="211">
        <v>-61.32</v>
      </c>
      <c r="H41" s="212">
        <v>2.34</v>
      </c>
      <c r="I41" s="212">
        <v>-63.09</v>
      </c>
      <c r="J41" s="331">
        <v>-59.54</v>
      </c>
      <c r="K41" s="211">
        <v>-53.06</v>
      </c>
      <c r="L41" s="212">
        <v>2.52</v>
      </c>
      <c r="M41" s="212">
        <v>-55.38</v>
      </c>
      <c r="N41" s="331">
        <v>-50.75</v>
      </c>
      <c r="O41" s="211">
        <v>26</v>
      </c>
      <c r="P41" s="212">
        <v>4.29</v>
      </c>
      <c r="Q41" s="212">
        <v>23.84</v>
      </c>
      <c r="R41" s="331">
        <v>28.21</v>
      </c>
      <c r="S41" s="212">
        <v>69.3</v>
      </c>
      <c r="T41" s="212">
        <v>2.63</v>
      </c>
      <c r="U41" s="212">
        <v>30.7</v>
      </c>
      <c r="V41" s="212">
        <v>5.94</v>
      </c>
      <c r="W41" s="211">
        <v>-60.74</v>
      </c>
      <c r="X41" s="212">
        <v>1.7</v>
      </c>
      <c r="Y41" s="212">
        <v>-62.05</v>
      </c>
      <c r="Z41" s="331">
        <v>-59.43</v>
      </c>
      <c r="AA41" s="211">
        <v>-57.67</v>
      </c>
      <c r="AB41" s="212">
        <v>1.74</v>
      </c>
      <c r="AC41" s="212">
        <v>-59.11</v>
      </c>
      <c r="AD41" s="331">
        <v>-56.23</v>
      </c>
      <c r="AE41" s="211">
        <v>-37.770000000000003</v>
      </c>
      <c r="AF41" s="212">
        <v>1.31</v>
      </c>
      <c r="AG41" s="212">
        <v>-39.369999999999997</v>
      </c>
      <c r="AH41" s="331">
        <v>-36.17</v>
      </c>
      <c r="AI41" s="211">
        <v>35.200000000000003</v>
      </c>
      <c r="AJ41" s="212">
        <v>1.79</v>
      </c>
      <c r="AK41" s="212">
        <v>33.99</v>
      </c>
      <c r="AL41" s="331">
        <v>36.46</v>
      </c>
      <c r="AM41" s="212">
        <v>82.44</v>
      </c>
      <c r="AN41" s="212">
        <v>0.92</v>
      </c>
      <c r="AO41" s="212">
        <v>17.559999999999999</v>
      </c>
      <c r="AP41" s="212">
        <v>4.3099999999999996</v>
      </c>
      <c r="AQ41" s="211">
        <v>-36.49</v>
      </c>
      <c r="AR41" s="212">
        <v>2.11</v>
      </c>
      <c r="AS41" s="212">
        <v>-39.119999999999997</v>
      </c>
      <c r="AT41" s="331">
        <v>-33.86</v>
      </c>
      <c r="AU41" s="211">
        <v>-32.299999999999997</v>
      </c>
      <c r="AV41" s="212">
        <v>2.15</v>
      </c>
      <c r="AW41" s="212">
        <v>-35.15</v>
      </c>
      <c r="AX41" s="331">
        <v>-29.44</v>
      </c>
      <c r="AY41" s="211">
        <v>-28.36</v>
      </c>
      <c r="AZ41" s="212">
        <v>1.69</v>
      </c>
      <c r="BA41" s="212">
        <v>-30.73</v>
      </c>
      <c r="BB41" s="331">
        <v>-25.98</v>
      </c>
      <c r="BC41" s="211">
        <v>30.4</v>
      </c>
      <c r="BD41" s="212">
        <v>3.46</v>
      </c>
      <c r="BE41" s="212">
        <v>28.29</v>
      </c>
      <c r="BF41" s="331">
        <v>32.409999999999997</v>
      </c>
      <c r="BG41" s="212">
        <v>98.03</v>
      </c>
      <c r="BH41" s="212">
        <v>0.13</v>
      </c>
      <c r="BI41" s="212">
        <v>1.97</v>
      </c>
      <c r="BJ41" s="212">
        <v>6.55</v>
      </c>
      <c r="BK41" s="211">
        <v>-37.78</v>
      </c>
      <c r="BL41" s="212">
        <v>1.55</v>
      </c>
      <c r="BM41" s="212">
        <v>-39.67</v>
      </c>
      <c r="BN41" s="331">
        <v>-35.9</v>
      </c>
      <c r="BO41" s="211">
        <v>-33.659999999999997</v>
      </c>
      <c r="BP41" s="212">
        <v>1.56</v>
      </c>
      <c r="BQ41" s="212">
        <v>-35.69</v>
      </c>
      <c r="BR41" s="331">
        <v>-31.62</v>
      </c>
      <c r="BS41" s="211">
        <v>-30.25</v>
      </c>
      <c r="BT41" s="212">
        <v>1.69</v>
      </c>
      <c r="BU41" s="212">
        <v>-32.57</v>
      </c>
      <c r="BV41" s="331">
        <v>-27.94</v>
      </c>
      <c r="BW41" s="211">
        <v>37.5</v>
      </c>
      <c r="BX41" s="212">
        <v>2.2400000000000002</v>
      </c>
      <c r="BY41" s="212">
        <v>35.85</v>
      </c>
      <c r="BZ41" s="331">
        <v>39.15</v>
      </c>
      <c r="CA41" s="212">
        <v>92.02</v>
      </c>
      <c r="CB41" s="212">
        <v>0.37</v>
      </c>
      <c r="CC41" s="212">
        <v>7.98</v>
      </c>
      <c r="CD41" s="212">
        <v>4.26</v>
      </c>
      <c r="CE41" s="211">
        <v>-28.61</v>
      </c>
      <c r="CF41" s="212">
        <v>1.39</v>
      </c>
      <c r="CG41" s="212">
        <v>-30.56</v>
      </c>
      <c r="CH41" s="331">
        <v>-26.66</v>
      </c>
      <c r="CI41" s="211">
        <v>-23.86</v>
      </c>
      <c r="CJ41" s="212">
        <v>1.42</v>
      </c>
      <c r="CK41" s="212">
        <v>-25.98</v>
      </c>
      <c r="CL41" s="331">
        <v>-21.75</v>
      </c>
      <c r="CM41" s="211">
        <v>-31.7</v>
      </c>
      <c r="CN41" s="212">
        <v>1.55</v>
      </c>
      <c r="CO41" s="212">
        <v>-33.78</v>
      </c>
      <c r="CP41" s="331">
        <v>-29.63</v>
      </c>
      <c r="CQ41" s="211">
        <v>35.799999999999997</v>
      </c>
      <c r="CR41" s="212">
        <v>2.73</v>
      </c>
      <c r="CS41" s="212">
        <v>33.840000000000003</v>
      </c>
      <c r="CT41" s="331">
        <v>37.659999999999997</v>
      </c>
      <c r="CU41" s="212">
        <v>97.11</v>
      </c>
      <c r="CV41" s="212">
        <v>0.09</v>
      </c>
      <c r="CW41" s="212">
        <v>2.89</v>
      </c>
      <c r="CX41" s="212">
        <v>3.17</v>
      </c>
      <c r="CY41" s="211">
        <v>-48.3</v>
      </c>
      <c r="CZ41" s="212">
        <v>3.59</v>
      </c>
      <c r="DA41" s="212">
        <v>-51.94</v>
      </c>
      <c r="DB41" s="331">
        <v>-44.65</v>
      </c>
      <c r="DC41" s="211">
        <v>-43.96</v>
      </c>
      <c r="DD41" s="212">
        <v>3.54</v>
      </c>
      <c r="DE41" s="212">
        <v>-47.85</v>
      </c>
      <c r="DF41" s="331">
        <v>-40.07</v>
      </c>
      <c r="DG41" s="211">
        <v>-38.659999999999997</v>
      </c>
      <c r="DH41" s="212">
        <v>3.52</v>
      </c>
      <c r="DI41" s="212">
        <v>-42.9</v>
      </c>
      <c r="DJ41" s="331">
        <v>-34.42</v>
      </c>
      <c r="DK41" s="211">
        <v>36.700000000000003</v>
      </c>
      <c r="DL41" s="212">
        <v>3.39</v>
      </c>
      <c r="DM41" s="212">
        <v>34.25</v>
      </c>
      <c r="DN41" s="331">
        <v>39.130000000000003</v>
      </c>
      <c r="DO41" s="212">
        <v>85.75</v>
      </c>
      <c r="DP41" s="212">
        <v>1.94</v>
      </c>
      <c r="DQ41" s="212">
        <v>14.25</v>
      </c>
      <c r="DR41" s="212">
        <v>11.65</v>
      </c>
      <c r="DS41" s="211">
        <v>-61.99</v>
      </c>
      <c r="DT41" s="212">
        <v>1.28</v>
      </c>
      <c r="DU41" s="212">
        <v>-62.94</v>
      </c>
      <c r="DV41" s="331">
        <v>-61.03</v>
      </c>
      <c r="DW41" s="211">
        <v>-59.81</v>
      </c>
      <c r="DX41" s="212">
        <v>1.32</v>
      </c>
      <c r="DY41" s="212">
        <v>-60.84</v>
      </c>
      <c r="DZ41" s="331">
        <v>-58.77</v>
      </c>
      <c r="EA41" s="211">
        <v>-25.5</v>
      </c>
      <c r="EB41" s="212">
        <v>0.82</v>
      </c>
      <c r="EC41" s="212">
        <v>-26.7</v>
      </c>
      <c r="ED41" s="331">
        <v>-24.3</v>
      </c>
      <c r="EE41" s="211">
        <v>39</v>
      </c>
      <c r="EF41" s="212">
        <v>1.1100000000000001</v>
      </c>
      <c r="EG41" s="212">
        <v>38.19</v>
      </c>
      <c r="EH41" s="331">
        <v>39.9</v>
      </c>
      <c r="EI41" s="212">
        <v>88.26</v>
      </c>
      <c r="EJ41" s="212">
        <v>0.25</v>
      </c>
      <c r="EK41" s="212">
        <v>11.74</v>
      </c>
      <c r="EL41" s="212">
        <v>1.86</v>
      </c>
      <c r="EM41" s="211">
        <v>-48.43</v>
      </c>
      <c r="EN41" s="212">
        <v>2.95</v>
      </c>
      <c r="EO41" s="212">
        <v>-51.42</v>
      </c>
      <c r="EP41" s="331">
        <v>-45.45</v>
      </c>
      <c r="EQ41" s="211">
        <v>-44.73</v>
      </c>
      <c r="ER41" s="212">
        <v>2.95</v>
      </c>
      <c r="ES41" s="212">
        <v>-47.93</v>
      </c>
      <c r="ET41" s="331">
        <v>-41.53</v>
      </c>
      <c r="EU41" s="211">
        <v>-40.270000000000003</v>
      </c>
      <c r="EV41" s="212">
        <v>2.12</v>
      </c>
      <c r="EW41" s="212">
        <v>-42.76</v>
      </c>
      <c r="EX41" s="331">
        <v>-37.79</v>
      </c>
      <c r="EY41" s="211">
        <v>30.8</v>
      </c>
      <c r="EZ41" s="212">
        <v>4.4400000000000004</v>
      </c>
      <c r="FA41" s="212">
        <v>28.12</v>
      </c>
      <c r="FB41" s="331">
        <v>33.479999999999997</v>
      </c>
      <c r="FC41" s="212">
        <v>90.13</v>
      </c>
      <c r="FD41" s="212">
        <v>0.44</v>
      </c>
      <c r="FE41" s="212">
        <v>9.8699999999999992</v>
      </c>
      <c r="FF41" s="212">
        <v>4.03</v>
      </c>
      <c r="FG41" s="211">
        <v>-39.729999999999997</v>
      </c>
      <c r="FH41" s="212">
        <v>2.21</v>
      </c>
      <c r="FI41" s="212">
        <v>-42.34</v>
      </c>
      <c r="FJ41" s="331">
        <v>-37.119999999999997</v>
      </c>
      <c r="FK41" s="211">
        <v>-35.630000000000003</v>
      </c>
      <c r="FL41" s="212">
        <v>2.23</v>
      </c>
      <c r="FM41" s="212">
        <v>-38.44</v>
      </c>
      <c r="FN41" s="331">
        <v>-32.81</v>
      </c>
      <c r="FO41" s="211">
        <v>-39.18</v>
      </c>
      <c r="FP41" s="212">
        <v>1.57</v>
      </c>
      <c r="FQ41" s="212">
        <v>-41.05</v>
      </c>
      <c r="FR41" s="331">
        <v>-37.299999999999997</v>
      </c>
      <c r="FS41" s="211">
        <v>31.5</v>
      </c>
      <c r="FT41" s="212">
        <v>4.6500000000000004</v>
      </c>
      <c r="FU41" s="212">
        <v>28.6</v>
      </c>
      <c r="FV41" s="331">
        <v>34.33</v>
      </c>
      <c r="FW41" s="212">
        <v>91.52</v>
      </c>
      <c r="FX41" s="212">
        <v>0.53</v>
      </c>
      <c r="FY41" s="212">
        <v>8.48</v>
      </c>
      <c r="FZ41" s="212">
        <v>5.77</v>
      </c>
      <c r="GA41" s="211">
        <v>-25.42</v>
      </c>
      <c r="GB41" s="212">
        <v>2.79</v>
      </c>
      <c r="GC41" s="212">
        <v>-29.5</v>
      </c>
      <c r="GD41" s="331">
        <v>-21.34</v>
      </c>
      <c r="GE41" s="211">
        <v>-20.16</v>
      </c>
      <c r="GF41" s="212">
        <v>2.8</v>
      </c>
      <c r="GG41" s="212">
        <v>-24.55</v>
      </c>
      <c r="GH41" s="331">
        <v>-15.78</v>
      </c>
      <c r="GI41" s="211">
        <v>-26.25</v>
      </c>
      <c r="GJ41" s="212">
        <v>4.1900000000000004</v>
      </c>
      <c r="GK41" s="212">
        <v>-32.31</v>
      </c>
      <c r="GL41" s="331">
        <v>-20.2</v>
      </c>
      <c r="GM41" s="211">
        <v>34.5</v>
      </c>
      <c r="GN41" s="212">
        <v>6.19</v>
      </c>
      <c r="GO41" s="212">
        <v>30.27</v>
      </c>
      <c r="GP41" s="331">
        <v>38.630000000000003</v>
      </c>
      <c r="GQ41" s="212">
        <v>98.29</v>
      </c>
      <c r="GR41" s="212">
        <v>0.15</v>
      </c>
      <c r="GS41" s="212">
        <v>1.71</v>
      </c>
      <c r="GT41" s="212">
        <v>8.39</v>
      </c>
      <c r="GU41" s="211">
        <v>-30.22</v>
      </c>
      <c r="GV41" s="212">
        <v>3.42</v>
      </c>
      <c r="GW41" s="212">
        <v>-34.9</v>
      </c>
      <c r="GX41" s="331">
        <v>-25.55</v>
      </c>
      <c r="GY41" s="211">
        <v>-23.99</v>
      </c>
      <c r="GZ41" s="212">
        <v>3.41</v>
      </c>
      <c r="HA41" s="212">
        <v>-29.07</v>
      </c>
      <c r="HB41" s="331">
        <v>-18.91</v>
      </c>
      <c r="HC41" s="211">
        <v>-33.479999999999997</v>
      </c>
      <c r="HD41" s="212">
        <v>1.87</v>
      </c>
      <c r="HE41" s="212">
        <v>-35.92</v>
      </c>
      <c r="HF41" s="331">
        <v>-31.04</v>
      </c>
      <c r="HG41" s="211">
        <v>35</v>
      </c>
      <c r="HH41" s="212">
        <v>3.41</v>
      </c>
      <c r="HI41" s="212">
        <v>32.64</v>
      </c>
      <c r="HJ41" s="331">
        <v>37.31</v>
      </c>
      <c r="HK41" s="212">
        <v>97.93</v>
      </c>
      <c r="HL41" s="212">
        <v>0.13</v>
      </c>
      <c r="HM41" s="212">
        <v>2.0699999999999998</v>
      </c>
      <c r="HN41" s="212">
        <v>6.04</v>
      </c>
      <c r="HO41" s="211">
        <v>-80.39</v>
      </c>
      <c r="HP41" s="212">
        <v>4</v>
      </c>
      <c r="HQ41" s="212">
        <v>-81.93</v>
      </c>
      <c r="HR41" s="331">
        <v>-78.849999999999994</v>
      </c>
      <c r="HS41" s="211">
        <v>-78.97</v>
      </c>
      <c r="HT41" s="212">
        <v>4.0599999999999996</v>
      </c>
      <c r="HU41" s="212">
        <v>-80.64</v>
      </c>
      <c r="HV41" s="331">
        <v>-77.3</v>
      </c>
      <c r="HW41" s="211">
        <v>-28.94</v>
      </c>
      <c r="HX41" s="212">
        <v>1.98</v>
      </c>
      <c r="HY41" s="212">
        <v>-31.7</v>
      </c>
      <c r="HZ41" s="331">
        <v>-26.18</v>
      </c>
      <c r="IA41" s="211">
        <v>26.1</v>
      </c>
      <c r="IB41" s="212">
        <v>3.54</v>
      </c>
      <c r="IC41" s="212">
        <v>24.31</v>
      </c>
      <c r="ID41" s="331">
        <v>27.94</v>
      </c>
      <c r="IE41" s="211">
        <v>95.74</v>
      </c>
      <c r="IF41" s="212">
        <v>0.75</v>
      </c>
      <c r="IG41" s="212">
        <v>4.26</v>
      </c>
      <c r="IH41" s="331">
        <v>16.920000000000002</v>
      </c>
    </row>
    <row r="42" spans="1:242" s="27" customFormat="1" ht="15.75" customHeight="1" x14ac:dyDescent="0.2">
      <c r="A42" s="69" t="s">
        <v>124</v>
      </c>
      <c r="B42" s="64" t="s">
        <v>47</v>
      </c>
      <c r="C42" s="209">
        <v>-69.84</v>
      </c>
      <c r="D42" s="210">
        <v>2.74</v>
      </c>
      <c r="E42" s="210">
        <v>-71.459999999999994</v>
      </c>
      <c r="F42" s="330">
        <v>-68.22</v>
      </c>
      <c r="G42" s="209">
        <v>-67.19</v>
      </c>
      <c r="H42" s="210">
        <v>2.79</v>
      </c>
      <c r="I42" s="210">
        <v>-68.989999999999995</v>
      </c>
      <c r="J42" s="330">
        <v>-65.400000000000006</v>
      </c>
      <c r="K42" s="209">
        <v>-53.15</v>
      </c>
      <c r="L42" s="210">
        <v>2.61</v>
      </c>
      <c r="M42" s="210">
        <v>-55.55</v>
      </c>
      <c r="N42" s="330">
        <v>-50.75</v>
      </c>
      <c r="O42" s="209">
        <v>20.6</v>
      </c>
      <c r="P42" s="210">
        <v>4.9800000000000004</v>
      </c>
      <c r="Q42" s="210">
        <v>18.62</v>
      </c>
      <c r="R42" s="330">
        <v>22.65</v>
      </c>
      <c r="S42" s="210">
        <v>68.3</v>
      </c>
      <c r="T42" s="210">
        <v>2.6</v>
      </c>
      <c r="U42" s="210">
        <v>31.7</v>
      </c>
      <c r="V42" s="210">
        <v>5.61</v>
      </c>
      <c r="W42" s="209">
        <v>-54.81</v>
      </c>
      <c r="X42" s="210">
        <v>2.59</v>
      </c>
      <c r="Y42" s="210">
        <v>-57.1</v>
      </c>
      <c r="Z42" s="330">
        <v>-52.51</v>
      </c>
      <c r="AA42" s="209">
        <v>-50.59</v>
      </c>
      <c r="AB42" s="210">
        <v>2.66</v>
      </c>
      <c r="AC42" s="210">
        <v>-53.17</v>
      </c>
      <c r="AD42" s="330">
        <v>-48.01</v>
      </c>
      <c r="AE42" s="209">
        <v>-37.229999999999997</v>
      </c>
      <c r="AF42" s="210">
        <v>1.03</v>
      </c>
      <c r="AG42" s="210">
        <v>-38.5</v>
      </c>
      <c r="AH42" s="330">
        <v>-35.96</v>
      </c>
      <c r="AI42" s="209">
        <v>43.1</v>
      </c>
      <c r="AJ42" s="210">
        <v>1.93</v>
      </c>
      <c r="AK42" s="210">
        <v>41.52</v>
      </c>
      <c r="AL42" s="330">
        <v>44.78</v>
      </c>
      <c r="AM42" s="210">
        <v>83.37</v>
      </c>
      <c r="AN42" s="210">
        <v>1.67</v>
      </c>
      <c r="AO42" s="210">
        <v>16.63</v>
      </c>
      <c r="AP42" s="210">
        <v>8.3800000000000008</v>
      </c>
      <c r="AQ42" s="209">
        <v>-38.22</v>
      </c>
      <c r="AR42" s="210">
        <v>2.34</v>
      </c>
      <c r="AS42" s="210">
        <v>-41.06</v>
      </c>
      <c r="AT42" s="330">
        <v>-35.39</v>
      </c>
      <c r="AU42" s="209">
        <v>-33.53</v>
      </c>
      <c r="AV42" s="210">
        <v>2.35</v>
      </c>
      <c r="AW42" s="210">
        <v>-36.590000000000003</v>
      </c>
      <c r="AX42" s="330">
        <v>-30.47</v>
      </c>
      <c r="AY42" s="209">
        <v>-28.85</v>
      </c>
      <c r="AZ42" s="210">
        <v>1.71</v>
      </c>
      <c r="BA42" s="210">
        <v>-31.24</v>
      </c>
      <c r="BB42" s="330">
        <v>-26.46</v>
      </c>
      <c r="BC42" s="209">
        <v>28.4</v>
      </c>
      <c r="BD42" s="210">
        <v>3.36</v>
      </c>
      <c r="BE42" s="210">
        <v>26.54</v>
      </c>
      <c r="BF42" s="330">
        <v>30.29</v>
      </c>
      <c r="BG42" s="210">
        <v>98.03</v>
      </c>
      <c r="BH42" s="210">
        <v>0.15</v>
      </c>
      <c r="BI42" s="210">
        <v>1.97</v>
      </c>
      <c r="BJ42" s="210">
        <v>7.67</v>
      </c>
      <c r="BK42" s="209">
        <v>-25.97</v>
      </c>
      <c r="BL42" s="210">
        <v>1.68</v>
      </c>
      <c r="BM42" s="210">
        <v>-28.4</v>
      </c>
      <c r="BN42" s="330">
        <v>-23.54</v>
      </c>
      <c r="BO42" s="209">
        <v>-20.079999999999998</v>
      </c>
      <c r="BP42" s="210">
        <v>1.67</v>
      </c>
      <c r="BQ42" s="210">
        <v>-22.7</v>
      </c>
      <c r="BR42" s="330">
        <v>-17.47</v>
      </c>
      <c r="BS42" s="209">
        <v>-28.37</v>
      </c>
      <c r="BT42" s="210">
        <v>1.41</v>
      </c>
      <c r="BU42" s="210">
        <v>-30.35</v>
      </c>
      <c r="BV42" s="330">
        <v>-26.4</v>
      </c>
      <c r="BW42" s="209">
        <v>42.4</v>
      </c>
      <c r="BX42" s="210">
        <v>2.4</v>
      </c>
      <c r="BY42" s="210">
        <v>40.450000000000003</v>
      </c>
      <c r="BZ42" s="330">
        <v>44.44</v>
      </c>
      <c r="CA42" s="210">
        <v>92.05</v>
      </c>
      <c r="CB42" s="210">
        <v>0.41</v>
      </c>
      <c r="CC42" s="210">
        <v>7.95</v>
      </c>
      <c r="CD42" s="210">
        <v>4.79</v>
      </c>
      <c r="CE42" s="209">
        <v>-36.229999999999997</v>
      </c>
      <c r="CF42" s="210">
        <v>1.54</v>
      </c>
      <c r="CG42" s="210">
        <v>-38.15</v>
      </c>
      <c r="CH42" s="330">
        <v>-34.31</v>
      </c>
      <c r="CI42" s="209">
        <v>-31.43</v>
      </c>
      <c r="CJ42" s="210">
        <v>1.54</v>
      </c>
      <c r="CK42" s="210">
        <v>-33.5</v>
      </c>
      <c r="CL42" s="330">
        <v>-29.37</v>
      </c>
      <c r="CM42" s="209">
        <v>-32.82</v>
      </c>
      <c r="CN42" s="210">
        <v>1.9</v>
      </c>
      <c r="CO42" s="210">
        <v>-35.31</v>
      </c>
      <c r="CP42" s="330">
        <v>-30.32</v>
      </c>
      <c r="CQ42" s="209">
        <v>36.5</v>
      </c>
      <c r="CR42" s="210">
        <v>2.67</v>
      </c>
      <c r="CS42" s="210">
        <v>34.56</v>
      </c>
      <c r="CT42" s="330">
        <v>38.380000000000003</v>
      </c>
      <c r="CU42" s="210">
        <v>96.35</v>
      </c>
      <c r="CV42" s="210">
        <v>0.1</v>
      </c>
      <c r="CW42" s="210">
        <v>3.65</v>
      </c>
      <c r="CX42" s="210">
        <v>2.74</v>
      </c>
      <c r="CY42" s="209">
        <v>-51.26</v>
      </c>
      <c r="CZ42" s="210">
        <v>4.82</v>
      </c>
      <c r="DA42" s="210">
        <v>-55.86</v>
      </c>
      <c r="DB42" s="330">
        <v>-46.66</v>
      </c>
      <c r="DC42" s="209">
        <v>-46.62</v>
      </c>
      <c r="DD42" s="210">
        <v>4.78</v>
      </c>
      <c r="DE42" s="210">
        <v>-51.62</v>
      </c>
      <c r="DF42" s="330">
        <v>-41.62</v>
      </c>
      <c r="DG42" s="209">
        <v>-40.11</v>
      </c>
      <c r="DH42" s="210">
        <v>3.63</v>
      </c>
      <c r="DI42" s="210">
        <v>-44.38</v>
      </c>
      <c r="DJ42" s="330">
        <v>-35.85</v>
      </c>
      <c r="DK42" s="209">
        <v>33.799999999999997</v>
      </c>
      <c r="DL42" s="210">
        <v>3.47</v>
      </c>
      <c r="DM42" s="210">
        <v>31.51</v>
      </c>
      <c r="DN42" s="330">
        <v>36.11</v>
      </c>
      <c r="DO42" s="210">
        <v>85.1</v>
      </c>
      <c r="DP42" s="210">
        <v>1.59</v>
      </c>
      <c r="DQ42" s="210">
        <v>14.9</v>
      </c>
      <c r="DR42" s="210">
        <v>9.06</v>
      </c>
      <c r="DS42" s="209">
        <v>-52.57</v>
      </c>
      <c r="DT42" s="210">
        <v>0.76</v>
      </c>
      <c r="DU42" s="210">
        <v>-53.28</v>
      </c>
      <c r="DV42" s="330">
        <v>-51.86</v>
      </c>
      <c r="DW42" s="209">
        <v>-49.32</v>
      </c>
      <c r="DX42" s="210">
        <v>0.79</v>
      </c>
      <c r="DY42" s="210">
        <v>-50.11</v>
      </c>
      <c r="DZ42" s="330">
        <v>-48.54</v>
      </c>
      <c r="EA42" s="209">
        <v>-22.36</v>
      </c>
      <c r="EB42" s="210">
        <v>0.52</v>
      </c>
      <c r="EC42" s="210">
        <v>-23.16</v>
      </c>
      <c r="ED42" s="330">
        <v>-21.56</v>
      </c>
      <c r="EE42" s="209">
        <v>45</v>
      </c>
      <c r="EF42" s="210">
        <v>1.55</v>
      </c>
      <c r="EG42" s="210">
        <v>43.67</v>
      </c>
      <c r="EH42" s="330">
        <v>46.4</v>
      </c>
      <c r="EI42" s="210">
        <v>84.98</v>
      </c>
      <c r="EJ42" s="210">
        <v>0.47</v>
      </c>
      <c r="EK42" s="210">
        <v>15.02</v>
      </c>
      <c r="EL42" s="210">
        <v>2.67</v>
      </c>
      <c r="EM42" s="209">
        <v>-53.2</v>
      </c>
      <c r="EN42" s="210">
        <v>3.78</v>
      </c>
      <c r="EO42" s="210">
        <v>-56.67</v>
      </c>
      <c r="EP42" s="330">
        <v>-49.74</v>
      </c>
      <c r="EQ42" s="209">
        <v>-49.05</v>
      </c>
      <c r="ER42" s="210">
        <v>3.78</v>
      </c>
      <c r="ES42" s="210">
        <v>-52.83</v>
      </c>
      <c r="ET42" s="330">
        <v>-45.27</v>
      </c>
      <c r="EU42" s="209">
        <v>-41.39</v>
      </c>
      <c r="EV42" s="210">
        <v>2.0099999999999998</v>
      </c>
      <c r="EW42" s="210">
        <v>-43.7</v>
      </c>
      <c r="EX42" s="330">
        <v>-39.08</v>
      </c>
      <c r="EY42" s="209">
        <v>23</v>
      </c>
      <c r="EZ42" s="210">
        <v>5.76</v>
      </c>
      <c r="FA42" s="210">
        <v>20.41</v>
      </c>
      <c r="FB42" s="330">
        <v>25.6</v>
      </c>
      <c r="FC42" s="210">
        <v>90.01</v>
      </c>
      <c r="FD42" s="210">
        <v>0.5</v>
      </c>
      <c r="FE42" s="210">
        <v>9.99</v>
      </c>
      <c r="FF42" s="210">
        <v>4.51</v>
      </c>
      <c r="FG42" s="209">
        <v>-31.89</v>
      </c>
      <c r="FH42" s="210">
        <v>2.1800000000000002</v>
      </c>
      <c r="FI42" s="210">
        <v>-34.799999999999997</v>
      </c>
      <c r="FJ42" s="330">
        <v>-28.98</v>
      </c>
      <c r="FK42" s="209">
        <v>-26.29</v>
      </c>
      <c r="FL42" s="210">
        <v>2.2000000000000002</v>
      </c>
      <c r="FM42" s="210">
        <v>-29.47</v>
      </c>
      <c r="FN42" s="330">
        <v>-23.12</v>
      </c>
      <c r="FO42" s="209">
        <v>-38</v>
      </c>
      <c r="FP42" s="210">
        <v>1.5</v>
      </c>
      <c r="FQ42" s="210">
        <v>-39.83</v>
      </c>
      <c r="FR42" s="330">
        <v>-36.17</v>
      </c>
      <c r="FS42" s="209">
        <v>29.2</v>
      </c>
      <c r="FT42" s="210">
        <v>4.3499999999999996</v>
      </c>
      <c r="FU42" s="210">
        <v>26.73</v>
      </c>
      <c r="FV42" s="330">
        <v>31.71</v>
      </c>
      <c r="FW42" s="210">
        <v>91.96</v>
      </c>
      <c r="FX42" s="210">
        <v>0.54</v>
      </c>
      <c r="FY42" s="210">
        <v>8.0399999999999991</v>
      </c>
      <c r="FZ42" s="210">
        <v>6.16</v>
      </c>
      <c r="GA42" s="209">
        <v>-24.41</v>
      </c>
      <c r="GB42" s="210">
        <v>3.36</v>
      </c>
      <c r="GC42" s="210">
        <v>-29.39</v>
      </c>
      <c r="GD42" s="330">
        <v>-19.420000000000002</v>
      </c>
      <c r="GE42" s="209">
        <v>-18.309999999999999</v>
      </c>
      <c r="GF42" s="210">
        <v>3.47</v>
      </c>
      <c r="GG42" s="210">
        <v>-23.86</v>
      </c>
      <c r="GH42" s="330">
        <v>-12.76</v>
      </c>
      <c r="GI42" s="209">
        <v>-27.36</v>
      </c>
      <c r="GJ42" s="210">
        <v>4.45</v>
      </c>
      <c r="GK42" s="210">
        <v>-33.700000000000003</v>
      </c>
      <c r="GL42" s="330">
        <v>-21.01</v>
      </c>
      <c r="GM42" s="209">
        <v>31.8</v>
      </c>
      <c r="GN42" s="210">
        <v>6.8</v>
      </c>
      <c r="GO42" s="210">
        <v>27.59</v>
      </c>
      <c r="GP42" s="330">
        <v>36.08</v>
      </c>
      <c r="GQ42" s="210">
        <v>98.15</v>
      </c>
      <c r="GR42" s="210">
        <v>0.13</v>
      </c>
      <c r="GS42" s="210">
        <v>1.85</v>
      </c>
      <c r="GT42" s="210">
        <v>6.64</v>
      </c>
      <c r="GU42" s="209">
        <v>-26.99</v>
      </c>
      <c r="GV42" s="210">
        <v>3.59</v>
      </c>
      <c r="GW42" s="210">
        <v>-32.130000000000003</v>
      </c>
      <c r="GX42" s="330">
        <v>-21.85</v>
      </c>
      <c r="GY42" s="209">
        <v>-19.670000000000002</v>
      </c>
      <c r="GZ42" s="210">
        <v>3.5</v>
      </c>
      <c r="HA42" s="210">
        <v>-25.17</v>
      </c>
      <c r="HB42" s="330">
        <v>-14.16</v>
      </c>
      <c r="HC42" s="209">
        <v>-29.12</v>
      </c>
      <c r="HD42" s="210">
        <v>2.15</v>
      </c>
      <c r="HE42" s="210">
        <v>-32.1</v>
      </c>
      <c r="HF42" s="330">
        <v>-26.14</v>
      </c>
      <c r="HG42" s="209">
        <v>30.7</v>
      </c>
      <c r="HH42" s="210">
        <v>3.07</v>
      </c>
      <c r="HI42" s="210">
        <v>28.88</v>
      </c>
      <c r="HJ42" s="330">
        <v>32.58</v>
      </c>
      <c r="HK42" s="210">
        <v>99.28</v>
      </c>
      <c r="HL42" s="210">
        <v>7.0000000000000007E-2</v>
      </c>
      <c r="HM42" s="210">
        <v>0.72</v>
      </c>
      <c r="HN42" s="210">
        <v>9.2200000000000006</v>
      </c>
      <c r="HO42" s="209">
        <v>-72.87</v>
      </c>
      <c r="HP42" s="210">
        <v>2.29</v>
      </c>
      <c r="HQ42" s="210">
        <v>-74.09</v>
      </c>
      <c r="HR42" s="330">
        <v>-71.650000000000006</v>
      </c>
      <c r="HS42" s="209">
        <v>-70.8</v>
      </c>
      <c r="HT42" s="210">
        <v>2.33</v>
      </c>
      <c r="HU42" s="210">
        <v>-72.14</v>
      </c>
      <c r="HV42" s="330">
        <v>-69.47</v>
      </c>
      <c r="HW42" s="209">
        <v>-27.42</v>
      </c>
      <c r="HX42" s="210">
        <v>2.12</v>
      </c>
      <c r="HY42" s="210">
        <v>-30.44</v>
      </c>
      <c r="HZ42" s="330">
        <v>-24.4</v>
      </c>
      <c r="IA42" s="209">
        <v>25</v>
      </c>
      <c r="IB42" s="210">
        <v>3.29</v>
      </c>
      <c r="IC42" s="210">
        <v>23.39</v>
      </c>
      <c r="ID42" s="330">
        <v>26.61</v>
      </c>
      <c r="IE42" s="209">
        <v>93.4</v>
      </c>
      <c r="IF42" s="210">
        <v>0.79</v>
      </c>
      <c r="IG42" s="210">
        <v>6.6</v>
      </c>
      <c r="IH42" s="330">
        <v>11.23</v>
      </c>
    </row>
    <row r="43" spans="1:242" s="27" customFormat="1" ht="15.75" customHeight="1" x14ac:dyDescent="0.2">
      <c r="A43" s="26"/>
      <c r="B43" s="28" t="s">
        <v>48</v>
      </c>
      <c r="C43" s="211">
        <v>-73.08</v>
      </c>
      <c r="D43" s="212">
        <v>2.44</v>
      </c>
      <c r="E43" s="212">
        <v>-74.37</v>
      </c>
      <c r="F43" s="331">
        <v>-71.790000000000006</v>
      </c>
      <c r="G43" s="211">
        <v>-70.56</v>
      </c>
      <c r="H43" s="212">
        <v>2.54</v>
      </c>
      <c r="I43" s="212">
        <v>-72.03</v>
      </c>
      <c r="J43" s="331">
        <v>-69.09</v>
      </c>
      <c r="K43" s="211">
        <v>-54.87</v>
      </c>
      <c r="L43" s="212">
        <v>2.4500000000000002</v>
      </c>
      <c r="M43" s="212">
        <v>-57.04</v>
      </c>
      <c r="N43" s="331">
        <v>-52.7</v>
      </c>
      <c r="O43" s="211">
        <v>24.1</v>
      </c>
      <c r="P43" s="212">
        <v>3.92</v>
      </c>
      <c r="Q43" s="212">
        <v>22.22</v>
      </c>
      <c r="R43" s="331">
        <v>25.92</v>
      </c>
      <c r="S43" s="212">
        <v>70.03</v>
      </c>
      <c r="T43" s="212">
        <v>2.4700000000000002</v>
      </c>
      <c r="U43" s="212">
        <v>29.97</v>
      </c>
      <c r="V43" s="212">
        <v>5.77</v>
      </c>
      <c r="W43" s="211">
        <v>-64.540000000000006</v>
      </c>
      <c r="X43" s="212">
        <v>3.13</v>
      </c>
      <c r="Y43" s="212">
        <v>-66.72</v>
      </c>
      <c r="Z43" s="331">
        <v>-62.36</v>
      </c>
      <c r="AA43" s="211">
        <v>-60.9</v>
      </c>
      <c r="AB43" s="212">
        <v>3.29</v>
      </c>
      <c r="AC43" s="212">
        <v>-63.42</v>
      </c>
      <c r="AD43" s="331">
        <v>-58.38</v>
      </c>
      <c r="AE43" s="211">
        <v>-40.47</v>
      </c>
      <c r="AF43" s="212">
        <v>1.18</v>
      </c>
      <c r="AG43" s="212">
        <v>-41.85</v>
      </c>
      <c r="AH43" s="331">
        <v>-39.090000000000003</v>
      </c>
      <c r="AI43" s="211">
        <v>34.799999999999997</v>
      </c>
      <c r="AJ43" s="212">
        <v>2.57</v>
      </c>
      <c r="AK43" s="212">
        <v>33.090000000000003</v>
      </c>
      <c r="AL43" s="331">
        <v>36.61</v>
      </c>
      <c r="AM43" s="212">
        <v>83.92</v>
      </c>
      <c r="AN43" s="212">
        <v>1.9</v>
      </c>
      <c r="AO43" s="212">
        <v>16.079999999999998</v>
      </c>
      <c r="AP43" s="212">
        <v>9.91</v>
      </c>
      <c r="AQ43" s="211">
        <v>-32.28</v>
      </c>
      <c r="AR43" s="212">
        <v>2.29</v>
      </c>
      <c r="AS43" s="212">
        <v>-35.31</v>
      </c>
      <c r="AT43" s="331">
        <v>-29.25</v>
      </c>
      <c r="AU43" s="211">
        <v>-26.28</v>
      </c>
      <c r="AV43" s="212">
        <v>2.29</v>
      </c>
      <c r="AW43" s="212">
        <v>-29.6</v>
      </c>
      <c r="AX43" s="331">
        <v>-22.97</v>
      </c>
      <c r="AY43" s="211">
        <v>-25.57</v>
      </c>
      <c r="AZ43" s="212">
        <v>1.59</v>
      </c>
      <c r="BA43" s="212">
        <v>-27.9</v>
      </c>
      <c r="BB43" s="331">
        <v>-23.25</v>
      </c>
      <c r="BC43" s="211">
        <v>26.3</v>
      </c>
      <c r="BD43" s="212">
        <v>3.79</v>
      </c>
      <c r="BE43" s="212">
        <v>24.35</v>
      </c>
      <c r="BF43" s="331">
        <v>28.27</v>
      </c>
      <c r="BG43" s="212">
        <v>97.52</v>
      </c>
      <c r="BH43" s="212">
        <v>0.19</v>
      </c>
      <c r="BI43" s="212">
        <v>2.48</v>
      </c>
      <c r="BJ43" s="212">
        <v>7.42</v>
      </c>
      <c r="BK43" s="211">
        <v>-41.06</v>
      </c>
      <c r="BL43" s="212">
        <v>1.87</v>
      </c>
      <c r="BM43" s="212">
        <v>-43.22</v>
      </c>
      <c r="BN43" s="331">
        <v>-38.9</v>
      </c>
      <c r="BO43" s="211">
        <v>-35.659999999999997</v>
      </c>
      <c r="BP43" s="212">
        <v>1.83</v>
      </c>
      <c r="BQ43" s="212">
        <v>-37.97</v>
      </c>
      <c r="BR43" s="331">
        <v>-33.35</v>
      </c>
      <c r="BS43" s="211">
        <v>-28.75</v>
      </c>
      <c r="BT43" s="212">
        <v>1.86</v>
      </c>
      <c r="BU43" s="212">
        <v>-31.34</v>
      </c>
      <c r="BV43" s="331">
        <v>-26.15</v>
      </c>
      <c r="BW43" s="211">
        <v>35.799999999999997</v>
      </c>
      <c r="BX43" s="212">
        <v>2.38</v>
      </c>
      <c r="BY43" s="212">
        <v>34.11</v>
      </c>
      <c r="BZ43" s="331">
        <v>37.450000000000003</v>
      </c>
      <c r="CA43" s="212">
        <v>91.71</v>
      </c>
      <c r="CB43" s="212">
        <v>0.51</v>
      </c>
      <c r="CC43" s="212">
        <v>8.2899999999999991</v>
      </c>
      <c r="CD43" s="212">
        <v>5.63</v>
      </c>
      <c r="CE43" s="211">
        <v>-33.340000000000003</v>
      </c>
      <c r="CF43" s="212">
        <v>2.1</v>
      </c>
      <c r="CG43" s="212">
        <v>-36.08</v>
      </c>
      <c r="CH43" s="331">
        <v>-30.59</v>
      </c>
      <c r="CI43" s="211">
        <v>-27.96</v>
      </c>
      <c r="CJ43" s="212">
        <v>2.08</v>
      </c>
      <c r="CK43" s="212">
        <v>-30.89</v>
      </c>
      <c r="CL43" s="331">
        <v>-25.03</v>
      </c>
      <c r="CM43" s="211">
        <v>-32.520000000000003</v>
      </c>
      <c r="CN43" s="212">
        <v>1.85</v>
      </c>
      <c r="CO43" s="212">
        <v>-34.97</v>
      </c>
      <c r="CP43" s="331">
        <v>-30.07</v>
      </c>
      <c r="CQ43" s="211">
        <v>30.5</v>
      </c>
      <c r="CR43" s="212">
        <v>2.62</v>
      </c>
      <c r="CS43" s="212">
        <v>28.97</v>
      </c>
      <c r="CT43" s="331">
        <v>32.11</v>
      </c>
      <c r="CU43" s="212">
        <v>96.74</v>
      </c>
      <c r="CV43" s="212">
        <v>0.24</v>
      </c>
      <c r="CW43" s="212">
        <v>3.26</v>
      </c>
      <c r="CX43" s="212">
        <v>6.97</v>
      </c>
      <c r="CY43" s="211">
        <v>-51.88</v>
      </c>
      <c r="CZ43" s="212">
        <v>5.29</v>
      </c>
      <c r="DA43" s="212">
        <v>-56.87</v>
      </c>
      <c r="DB43" s="331">
        <v>-46.89</v>
      </c>
      <c r="DC43" s="211">
        <v>-46.74</v>
      </c>
      <c r="DD43" s="212">
        <v>5.27</v>
      </c>
      <c r="DE43" s="212">
        <v>-52.24</v>
      </c>
      <c r="DF43" s="331">
        <v>-41.25</v>
      </c>
      <c r="DG43" s="211">
        <v>-39.81</v>
      </c>
      <c r="DH43" s="212">
        <v>3.67</v>
      </c>
      <c r="DI43" s="212">
        <v>-44.14</v>
      </c>
      <c r="DJ43" s="331">
        <v>-35.49</v>
      </c>
      <c r="DK43" s="211">
        <v>36</v>
      </c>
      <c r="DL43" s="212">
        <v>3.7</v>
      </c>
      <c r="DM43" s="212">
        <v>33.380000000000003</v>
      </c>
      <c r="DN43" s="331">
        <v>38.6</v>
      </c>
      <c r="DO43" s="212">
        <v>85.97</v>
      </c>
      <c r="DP43" s="212">
        <v>1.62</v>
      </c>
      <c r="DQ43" s="212">
        <v>14.03</v>
      </c>
      <c r="DR43" s="212">
        <v>9.9</v>
      </c>
      <c r="DS43" s="211">
        <v>-48.38</v>
      </c>
      <c r="DT43" s="212">
        <v>0.66</v>
      </c>
      <c r="DU43" s="212">
        <v>-49.05</v>
      </c>
      <c r="DV43" s="331">
        <v>-47.71</v>
      </c>
      <c r="DW43" s="211">
        <v>-44.43</v>
      </c>
      <c r="DX43" s="212">
        <v>0.7</v>
      </c>
      <c r="DY43" s="212">
        <v>-45.19</v>
      </c>
      <c r="DZ43" s="331">
        <v>-43.67</v>
      </c>
      <c r="EA43" s="211">
        <v>-22.63</v>
      </c>
      <c r="EB43" s="212">
        <v>0.52</v>
      </c>
      <c r="EC43" s="212">
        <v>-23.42</v>
      </c>
      <c r="ED43" s="331">
        <v>-21.85</v>
      </c>
      <c r="EE43" s="211">
        <v>49.7</v>
      </c>
      <c r="EF43" s="212">
        <v>1.6</v>
      </c>
      <c r="EG43" s="212">
        <v>48.16</v>
      </c>
      <c r="EH43" s="331">
        <v>51.27</v>
      </c>
      <c r="EI43" s="212">
        <v>87.51</v>
      </c>
      <c r="EJ43" s="212">
        <v>0.53</v>
      </c>
      <c r="EK43" s="212">
        <v>12.49</v>
      </c>
      <c r="EL43" s="212">
        <v>3.68</v>
      </c>
      <c r="EM43" s="211">
        <v>-52.93</v>
      </c>
      <c r="EN43" s="212">
        <v>4.33</v>
      </c>
      <c r="EO43" s="212">
        <v>-56.93</v>
      </c>
      <c r="EP43" s="331">
        <v>-48.93</v>
      </c>
      <c r="EQ43" s="211">
        <v>-48.11</v>
      </c>
      <c r="ER43" s="212">
        <v>4.3499999999999996</v>
      </c>
      <c r="ES43" s="212">
        <v>-52.53</v>
      </c>
      <c r="ET43" s="331">
        <v>-43.68</v>
      </c>
      <c r="EU43" s="211">
        <v>-39.51</v>
      </c>
      <c r="EV43" s="212">
        <v>2.1800000000000002</v>
      </c>
      <c r="EW43" s="212">
        <v>-42.1</v>
      </c>
      <c r="EX43" s="331">
        <v>-36.92</v>
      </c>
      <c r="EY43" s="211">
        <v>28</v>
      </c>
      <c r="EZ43" s="212">
        <v>4.45</v>
      </c>
      <c r="FA43" s="212">
        <v>25.53</v>
      </c>
      <c r="FB43" s="331">
        <v>30.4</v>
      </c>
      <c r="FC43" s="212">
        <v>89.92</v>
      </c>
      <c r="FD43" s="212">
        <v>0.56000000000000005</v>
      </c>
      <c r="FE43" s="212">
        <v>10.08</v>
      </c>
      <c r="FF43" s="212">
        <v>5</v>
      </c>
      <c r="FG43" s="211">
        <v>-34.9</v>
      </c>
      <c r="FH43" s="212">
        <v>1.89</v>
      </c>
      <c r="FI43" s="212">
        <v>-37.32</v>
      </c>
      <c r="FJ43" s="331">
        <v>-32.479999999999997</v>
      </c>
      <c r="FK43" s="211">
        <v>-28.49</v>
      </c>
      <c r="FL43" s="212">
        <v>1.93</v>
      </c>
      <c r="FM43" s="212">
        <v>-31.19</v>
      </c>
      <c r="FN43" s="331">
        <v>-25.79</v>
      </c>
      <c r="FO43" s="211">
        <v>-36.14</v>
      </c>
      <c r="FP43" s="212">
        <v>1.25</v>
      </c>
      <c r="FQ43" s="212">
        <v>-37.700000000000003</v>
      </c>
      <c r="FR43" s="331">
        <v>-34.57</v>
      </c>
      <c r="FS43" s="211">
        <v>32.299999999999997</v>
      </c>
      <c r="FT43" s="212">
        <v>4.59</v>
      </c>
      <c r="FU43" s="212">
        <v>29.44</v>
      </c>
      <c r="FV43" s="331">
        <v>35.26</v>
      </c>
      <c r="FW43" s="212">
        <v>91.43</v>
      </c>
      <c r="FX43" s="212">
        <v>0.49</v>
      </c>
      <c r="FY43" s="212">
        <v>8.57</v>
      </c>
      <c r="FZ43" s="212">
        <v>5.27</v>
      </c>
      <c r="GA43" s="211">
        <v>-26.06</v>
      </c>
      <c r="GB43" s="212">
        <v>4.53</v>
      </c>
      <c r="GC43" s="212">
        <v>-32.619999999999997</v>
      </c>
      <c r="GD43" s="331">
        <v>-19.5</v>
      </c>
      <c r="GE43" s="211">
        <v>-18.899999999999999</v>
      </c>
      <c r="GF43" s="212">
        <v>4.3600000000000003</v>
      </c>
      <c r="GG43" s="212">
        <v>-25.82</v>
      </c>
      <c r="GH43" s="331">
        <v>-11.98</v>
      </c>
      <c r="GI43" s="211">
        <v>-25.21</v>
      </c>
      <c r="GJ43" s="212">
        <v>3.3</v>
      </c>
      <c r="GK43" s="212">
        <v>-30.05</v>
      </c>
      <c r="GL43" s="331">
        <v>-20.38</v>
      </c>
      <c r="GM43" s="211">
        <v>30.2</v>
      </c>
      <c r="GN43" s="212">
        <v>6.69</v>
      </c>
      <c r="GO43" s="212">
        <v>26.28</v>
      </c>
      <c r="GP43" s="331">
        <v>34.21</v>
      </c>
      <c r="GQ43" s="212">
        <v>98.08</v>
      </c>
      <c r="GR43" s="212">
        <v>0.16</v>
      </c>
      <c r="GS43" s="212">
        <v>1.92</v>
      </c>
      <c r="GT43" s="212">
        <v>8.23</v>
      </c>
      <c r="GU43" s="211">
        <v>-19.29</v>
      </c>
      <c r="GV43" s="212">
        <v>2.4900000000000002</v>
      </c>
      <c r="GW43" s="212">
        <v>-23.23</v>
      </c>
      <c r="GX43" s="331">
        <v>-15.34</v>
      </c>
      <c r="GY43" s="211">
        <v>-9.32</v>
      </c>
      <c r="GZ43" s="212">
        <v>2.46</v>
      </c>
      <c r="HA43" s="212">
        <v>-13.68</v>
      </c>
      <c r="HB43" s="331">
        <v>-4.95</v>
      </c>
      <c r="HC43" s="211">
        <v>-20.309999999999999</v>
      </c>
      <c r="HD43" s="212">
        <v>1.48</v>
      </c>
      <c r="HE43" s="212">
        <v>-22.62</v>
      </c>
      <c r="HF43" s="331">
        <v>-18</v>
      </c>
      <c r="HG43" s="211">
        <v>31.2</v>
      </c>
      <c r="HH43" s="212">
        <v>3.38</v>
      </c>
      <c r="HI43" s="212">
        <v>29.17</v>
      </c>
      <c r="HJ43" s="331">
        <v>33.299999999999997</v>
      </c>
      <c r="HK43" s="212">
        <v>98.81</v>
      </c>
      <c r="HL43" s="212">
        <v>7.0000000000000007E-2</v>
      </c>
      <c r="HM43" s="212">
        <v>1.19</v>
      </c>
      <c r="HN43" s="212">
        <v>5.71</v>
      </c>
      <c r="HO43" s="211">
        <v>-79.319999999999993</v>
      </c>
      <c r="HP43" s="212">
        <v>6.38</v>
      </c>
      <c r="HQ43" s="212">
        <v>-81.900000000000006</v>
      </c>
      <c r="HR43" s="331">
        <v>-76.73</v>
      </c>
      <c r="HS43" s="211">
        <v>-77.8</v>
      </c>
      <c r="HT43" s="212">
        <v>6.53</v>
      </c>
      <c r="HU43" s="212">
        <v>-80.64</v>
      </c>
      <c r="HV43" s="331">
        <v>-74.97</v>
      </c>
      <c r="HW43" s="211">
        <v>-31.22</v>
      </c>
      <c r="HX43" s="212">
        <v>2.09</v>
      </c>
      <c r="HY43" s="212">
        <v>-34.04</v>
      </c>
      <c r="HZ43" s="331">
        <v>-28.4</v>
      </c>
      <c r="IA43" s="211">
        <v>28.9</v>
      </c>
      <c r="IB43" s="212">
        <v>4.12</v>
      </c>
      <c r="IC43" s="212">
        <v>26.54</v>
      </c>
      <c r="ID43" s="331">
        <v>31.2</v>
      </c>
      <c r="IE43" s="211">
        <v>97.1</v>
      </c>
      <c r="IF43" s="212">
        <v>0.51</v>
      </c>
      <c r="IG43" s="212">
        <v>2.9</v>
      </c>
      <c r="IH43" s="331">
        <v>17.16</v>
      </c>
    </row>
    <row r="44" spans="1:242" s="27" customFormat="1" ht="15.75" customHeight="1" x14ac:dyDescent="0.2">
      <c r="A44" s="26"/>
      <c r="B44" s="64" t="s">
        <v>49</v>
      </c>
      <c r="C44" s="209">
        <v>-37.86</v>
      </c>
      <c r="D44" s="210">
        <v>2.2000000000000002</v>
      </c>
      <c r="E44" s="210">
        <v>-40.54</v>
      </c>
      <c r="F44" s="330">
        <v>-35.18</v>
      </c>
      <c r="G44" s="209">
        <v>-35.01</v>
      </c>
      <c r="H44" s="210">
        <v>2.2799999999999998</v>
      </c>
      <c r="I44" s="210">
        <v>-37.909999999999997</v>
      </c>
      <c r="J44" s="330">
        <v>-32.11</v>
      </c>
      <c r="K44" s="209">
        <v>-50.94</v>
      </c>
      <c r="L44" s="210">
        <v>2.52</v>
      </c>
      <c r="M44" s="210">
        <v>-53.36</v>
      </c>
      <c r="N44" s="330">
        <v>-48.52</v>
      </c>
      <c r="O44" s="209">
        <v>26</v>
      </c>
      <c r="P44" s="210">
        <v>4.12</v>
      </c>
      <c r="Q44" s="210">
        <v>23.86</v>
      </c>
      <c r="R44" s="330">
        <v>28.05</v>
      </c>
      <c r="S44" s="210">
        <v>66.55</v>
      </c>
      <c r="T44" s="210">
        <v>2.33</v>
      </c>
      <c r="U44" s="210">
        <v>33.450000000000003</v>
      </c>
      <c r="V44" s="210">
        <v>4.63</v>
      </c>
      <c r="W44" s="209">
        <v>12.21</v>
      </c>
      <c r="X44" s="210">
        <v>3.06</v>
      </c>
      <c r="Y44" s="210">
        <v>5.47</v>
      </c>
      <c r="Z44" s="330">
        <v>18.940000000000001</v>
      </c>
      <c r="AA44" s="209">
        <v>18.25</v>
      </c>
      <c r="AB44" s="210">
        <v>3.17</v>
      </c>
      <c r="AC44" s="210">
        <v>10.89</v>
      </c>
      <c r="AD44" s="330">
        <v>25.61</v>
      </c>
      <c r="AE44" s="209">
        <v>-31.63</v>
      </c>
      <c r="AF44" s="210">
        <v>1.05</v>
      </c>
      <c r="AG44" s="210">
        <v>-33.04</v>
      </c>
      <c r="AH44" s="330">
        <v>-30.23</v>
      </c>
      <c r="AI44" s="209">
        <v>45.6</v>
      </c>
      <c r="AJ44" s="210">
        <v>2.4500000000000002</v>
      </c>
      <c r="AK44" s="210">
        <v>43.37</v>
      </c>
      <c r="AL44" s="330">
        <v>47.75</v>
      </c>
      <c r="AM44" s="210">
        <v>81.16</v>
      </c>
      <c r="AN44" s="210">
        <v>1.4</v>
      </c>
      <c r="AO44" s="210">
        <v>18.84</v>
      </c>
      <c r="AP44" s="210">
        <v>6.01</v>
      </c>
      <c r="AQ44" s="209">
        <v>105.6</v>
      </c>
      <c r="AR44" s="210">
        <v>2.12</v>
      </c>
      <c r="AS44" s="210">
        <v>97.05</v>
      </c>
      <c r="AT44" s="330">
        <v>114.14</v>
      </c>
      <c r="AU44" s="209">
        <v>114.88</v>
      </c>
      <c r="AV44" s="210">
        <v>2.11</v>
      </c>
      <c r="AW44" s="210">
        <v>105.99</v>
      </c>
      <c r="AX44" s="330">
        <v>123.77</v>
      </c>
      <c r="AY44" s="209">
        <v>-19.32</v>
      </c>
      <c r="AZ44" s="210">
        <v>1.44</v>
      </c>
      <c r="BA44" s="210">
        <v>-21.6</v>
      </c>
      <c r="BB44" s="330">
        <v>-17.04</v>
      </c>
      <c r="BC44" s="209">
        <v>30.8</v>
      </c>
      <c r="BD44" s="210">
        <v>3.27</v>
      </c>
      <c r="BE44" s="210">
        <v>28.82</v>
      </c>
      <c r="BF44" s="330">
        <v>32.76</v>
      </c>
      <c r="BG44" s="210">
        <v>98.4</v>
      </c>
      <c r="BH44" s="210">
        <v>0.09</v>
      </c>
      <c r="BI44" s="210">
        <v>1.6</v>
      </c>
      <c r="BJ44" s="210">
        <v>5.25</v>
      </c>
      <c r="BK44" s="209">
        <v>51.96</v>
      </c>
      <c r="BL44" s="210">
        <v>1.89</v>
      </c>
      <c r="BM44" s="210">
        <v>46.32</v>
      </c>
      <c r="BN44" s="330">
        <v>57.6</v>
      </c>
      <c r="BO44" s="209">
        <v>58.71</v>
      </c>
      <c r="BP44" s="210">
        <v>1.87</v>
      </c>
      <c r="BQ44" s="210">
        <v>52.89</v>
      </c>
      <c r="BR44" s="330">
        <v>64.540000000000006</v>
      </c>
      <c r="BS44" s="209">
        <v>-19.239999999999998</v>
      </c>
      <c r="BT44" s="210">
        <v>1.95</v>
      </c>
      <c r="BU44" s="210">
        <v>-22.32</v>
      </c>
      <c r="BV44" s="330">
        <v>-16.149999999999999</v>
      </c>
      <c r="BW44" s="209">
        <v>38.9</v>
      </c>
      <c r="BX44" s="210">
        <v>2.25</v>
      </c>
      <c r="BY44" s="210">
        <v>37.200000000000003</v>
      </c>
      <c r="BZ44" s="330">
        <v>40.630000000000003</v>
      </c>
      <c r="CA44" s="210">
        <v>91.07</v>
      </c>
      <c r="CB44" s="210">
        <v>0.41</v>
      </c>
      <c r="CC44" s="210">
        <v>8.93</v>
      </c>
      <c r="CD44" s="210">
        <v>4.22</v>
      </c>
      <c r="CE44" s="209">
        <v>76.83</v>
      </c>
      <c r="CF44" s="210">
        <v>1.87</v>
      </c>
      <c r="CG44" s="210">
        <v>70.36</v>
      </c>
      <c r="CH44" s="330">
        <v>83.3</v>
      </c>
      <c r="CI44" s="209">
        <v>84.62</v>
      </c>
      <c r="CJ44" s="210">
        <v>1.88</v>
      </c>
      <c r="CK44" s="210">
        <v>77.83</v>
      </c>
      <c r="CL44" s="330">
        <v>91.41</v>
      </c>
      <c r="CM44" s="209">
        <v>-21.07</v>
      </c>
      <c r="CN44" s="210">
        <v>1.94</v>
      </c>
      <c r="CO44" s="210">
        <v>-24.07</v>
      </c>
      <c r="CP44" s="330">
        <v>-18.07</v>
      </c>
      <c r="CQ44" s="209">
        <v>34</v>
      </c>
      <c r="CR44" s="210">
        <v>2.2599999999999998</v>
      </c>
      <c r="CS44" s="210">
        <v>32.479999999999997</v>
      </c>
      <c r="CT44" s="330">
        <v>35.49</v>
      </c>
      <c r="CU44" s="210">
        <v>97.05</v>
      </c>
      <c r="CV44" s="210">
        <v>0.09</v>
      </c>
      <c r="CW44" s="210">
        <v>2.95</v>
      </c>
      <c r="CX44" s="210">
        <v>2.94</v>
      </c>
      <c r="CY44" s="209">
        <v>14.17</v>
      </c>
      <c r="CZ44" s="210">
        <v>3.14</v>
      </c>
      <c r="DA44" s="210">
        <v>7.14</v>
      </c>
      <c r="DB44" s="330">
        <v>21.21</v>
      </c>
      <c r="DC44" s="209">
        <v>20.49</v>
      </c>
      <c r="DD44" s="210">
        <v>3.15</v>
      </c>
      <c r="DE44" s="210">
        <v>13.04</v>
      </c>
      <c r="DF44" s="330">
        <v>27.93</v>
      </c>
      <c r="DG44" s="209">
        <v>-32.89</v>
      </c>
      <c r="DH44" s="210">
        <v>3.31</v>
      </c>
      <c r="DI44" s="210">
        <v>-37.24</v>
      </c>
      <c r="DJ44" s="330">
        <v>-28.54</v>
      </c>
      <c r="DK44" s="209">
        <v>37.9</v>
      </c>
      <c r="DL44" s="210">
        <v>3.11</v>
      </c>
      <c r="DM44" s="210">
        <v>35.619999999999997</v>
      </c>
      <c r="DN44" s="330">
        <v>40.25</v>
      </c>
      <c r="DO44" s="210">
        <v>82.15</v>
      </c>
      <c r="DP44" s="210">
        <v>1.99</v>
      </c>
      <c r="DQ44" s="210">
        <v>17.850000000000001</v>
      </c>
      <c r="DR44" s="210">
        <v>9.14</v>
      </c>
      <c r="DS44" s="209">
        <v>0.83</v>
      </c>
      <c r="DT44" s="210">
        <v>0.84</v>
      </c>
      <c r="DU44" s="210">
        <v>-0.83</v>
      </c>
      <c r="DV44" s="330">
        <v>2.48</v>
      </c>
      <c r="DW44" s="209">
        <v>4.67</v>
      </c>
      <c r="DX44" s="210">
        <v>0.84</v>
      </c>
      <c r="DY44" s="210">
        <v>2.94</v>
      </c>
      <c r="DZ44" s="330">
        <v>6.4</v>
      </c>
      <c r="EA44" s="209">
        <v>-12.91</v>
      </c>
      <c r="EB44" s="210">
        <v>0.59</v>
      </c>
      <c r="EC44" s="210">
        <v>-13.92</v>
      </c>
      <c r="ED44" s="330">
        <v>-11.9</v>
      </c>
      <c r="EE44" s="209">
        <v>52.8</v>
      </c>
      <c r="EF44" s="210">
        <v>1.53</v>
      </c>
      <c r="EG44" s="210">
        <v>51.23</v>
      </c>
      <c r="EH44" s="330">
        <v>54.4</v>
      </c>
      <c r="EI44" s="210">
        <v>87.67</v>
      </c>
      <c r="EJ44" s="210">
        <v>0.3</v>
      </c>
      <c r="EK44" s="210">
        <v>12.33</v>
      </c>
      <c r="EL44" s="210">
        <v>2.13</v>
      </c>
      <c r="EM44" s="209">
        <v>18.47</v>
      </c>
      <c r="EN44" s="210">
        <v>3.98</v>
      </c>
      <c r="EO44" s="210">
        <v>9.2200000000000006</v>
      </c>
      <c r="EP44" s="330">
        <v>27.72</v>
      </c>
      <c r="EQ44" s="209">
        <v>24.69</v>
      </c>
      <c r="ER44" s="210">
        <v>4</v>
      </c>
      <c r="ES44" s="210">
        <v>14.92</v>
      </c>
      <c r="ET44" s="330">
        <v>34.47</v>
      </c>
      <c r="EU44" s="209">
        <v>-32.869999999999997</v>
      </c>
      <c r="EV44" s="210">
        <v>2.31</v>
      </c>
      <c r="EW44" s="210">
        <v>-35.909999999999997</v>
      </c>
      <c r="EX44" s="330">
        <v>-29.83</v>
      </c>
      <c r="EY44" s="209">
        <v>33.4</v>
      </c>
      <c r="EZ44" s="210">
        <v>4.5199999999999996</v>
      </c>
      <c r="FA44" s="210">
        <v>30.46</v>
      </c>
      <c r="FB44" s="330">
        <v>36.39</v>
      </c>
      <c r="FC44" s="210">
        <v>90.98</v>
      </c>
      <c r="FD44" s="210">
        <v>0.47</v>
      </c>
      <c r="FE44" s="210">
        <v>9.02</v>
      </c>
      <c r="FF44" s="210">
        <v>4.7300000000000004</v>
      </c>
      <c r="FG44" s="209">
        <v>39.130000000000003</v>
      </c>
      <c r="FH44" s="210">
        <v>1.73</v>
      </c>
      <c r="FI44" s="210">
        <v>34.409999999999997</v>
      </c>
      <c r="FJ44" s="330">
        <v>43.84</v>
      </c>
      <c r="FK44" s="209">
        <v>45.91</v>
      </c>
      <c r="FL44" s="210">
        <v>1.72</v>
      </c>
      <c r="FM44" s="210">
        <v>41</v>
      </c>
      <c r="FN44" s="330">
        <v>50.83</v>
      </c>
      <c r="FO44" s="209">
        <v>-26.89</v>
      </c>
      <c r="FP44" s="210">
        <v>1.38</v>
      </c>
      <c r="FQ44" s="210">
        <v>-28.87</v>
      </c>
      <c r="FR44" s="330">
        <v>-24.91</v>
      </c>
      <c r="FS44" s="209">
        <v>35</v>
      </c>
      <c r="FT44" s="210">
        <v>3.84</v>
      </c>
      <c r="FU44" s="210">
        <v>32.36</v>
      </c>
      <c r="FV44" s="330">
        <v>37.630000000000003</v>
      </c>
      <c r="FW44" s="210">
        <v>92.41</v>
      </c>
      <c r="FX44" s="210">
        <v>0.57999999999999996</v>
      </c>
      <c r="FY44" s="210">
        <v>7.59</v>
      </c>
      <c r="FZ44" s="210">
        <v>7.01</v>
      </c>
      <c r="GA44" s="209">
        <v>56.72</v>
      </c>
      <c r="GB44" s="210">
        <v>8.09</v>
      </c>
      <c r="GC44" s="210">
        <v>31.88</v>
      </c>
      <c r="GD44" s="330">
        <v>81.56</v>
      </c>
      <c r="GE44" s="209">
        <v>64.64</v>
      </c>
      <c r="GF44" s="210">
        <v>8</v>
      </c>
      <c r="GG44" s="210">
        <v>38.83</v>
      </c>
      <c r="GH44" s="330">
        <v>90.46</v>
      </c>
      <c r="GI44" s="209">
        <v>-14.91</v>
      </c>
      <c r="GJ44" s="210">
        <v>3.67</v>
      </c>
      <c r="GK44" s="210">
        <v>-21.02</v>
      </c>
      <c r="GL44" s="330">
        <v>-8.7899999999999991</v>
      </c>
      <c r="GM44" s="209">
        <v>34.9</v>
      </c>
      <c r="GN44" s="210">
        <v>6.46</v>
      </c>
      <c r="GO44" s="210">
        <v>30.45</v>
      </c>
      <c r="GP44" s="330">
        <v>39.270000000000003</v>
      </c>
      <c r="GQ44" s="210">
        <v>97.39</v>
      </c>
      <c r="GR44" s="210">
        <v>0.15</v>
      </c>
      <c r="GS44" s="210">
        <v>2.61</v>
      </c>
      <c r="GT44" s="210">
        <v>5.5</v>
      </c>
      <c r="GU44" s="209">
        <v>61.8</v>
      </c>
      <c r="GV44" s="210">
        <v>3.04</v>
      </c>
      <c r="GW44" s="210">
        <v>52.15</v>
      </c>
      <c r="GX44" s="330">
        <v>71.44</v>
      </c>
      <c r="GY44" s="209">
        <v>72</v>
      </c>
      <c r="GZ44" s="210">
        <v>3.02</v>
      </c>
      <c r="HA44" s="210">
        <v>61.82</v>
      </c>
      <c r="HB44" s="330">
        <v>82.19</v>
      </c>
      <c r="HC44" s="209">
        <v>-13.06</v>
      </c>
      <c r="HD44" s="210">
        <v>1.59</v>
      </c>
      <c r="HE44" s="210">
        <v>-15.77</v>
      </c>
      <c r="HF44" s="330">
        <v>-10.34</v>
      </c>
      <c r="HG44" s="209">
        <v>31.5</v>
      </c>
      <c r="HH44" s="210">
        <v>3.66</v>
      </c>
      <c r="HI44" s="210">
        <v>29.28</v>
      </c>
      <c r="HJ44" s="330">
        <v>33.81</v>
      </c>
      <c r="HK44" s="210">
        <v>99.05</v>
      </c>
      <c r="HL44" s="210">
        <v>0.06</v>
      </c>
      <c r="HM44" s="210">
        <v>0.95</v>
      </c>
      <c r="HN44" s="210">
        <v>6.7</v>
      </c>
      <c r="HO44" s="209">
        <v>-50.93</v>
      </c>
      <c r="HP44" s="210">
        <v>6.8</v>
      </c>
      <c r="HQ44" s="210">
        <v>-57.47</v>
      </c>
      <c r="HR44" s="330">
        <v>-44.39</v>
      </c>
      <c r="HS44" s="209">
        <v>-49.75</v>
      </c>
      <c r="HT44" s="210">
        <v>6.99</v>
      </c>
      <c r="HU44" s="210">
        <v>-56.64</v>
      </c>
      <c r="HV44" s="330">
        <v>-42.86</v>
      </c>
      <c r="HW44" s="209">
        <v>-24.37</v>
      </c>
      <c r="HX44" s="210">
        <v>1.6</v>
      </c>
      <c r="HY44" s="210">
        <v>-26.75</v>
      </c>
      <c r="HZ44" s="330">
        <v>-21.99</v>
      </c>
      <c r="IA44" s="209">
        <v>24.4</v>
      </c>
      <c r="IB44" s="210">
        <v>4.91</v>
      </c>
      <c r="IC44" s="210">
        <v>22.07</v>
      </c>
      <c r="ID44" s="330">
        <v>26.77</v>
      </c>
      <c r="IE44" s="209">
        <v>97.63</v>
      </c>
      <c r="IF44" s="210">
        <v>0.34</v>
      </c>
      <c r="IG44" s="210">
        <v>2.37</v>
      </c>
      <c r="IH44" s="330">
        <v>13.96</v>
      </c>
    </row>
    <row r="45" spans="1:242" s="27" customFormat="1" ht="15.75" customHeight="1" x14ac:dyDescent="0.2">
      <c r="A45" s="26"/>
      <c r="B45" s="28" t="s">
        <v>14</v>
      </c>
      <c r="C45" s="211">
        <v>187.39</v>
      </c>
      <c r="D45" s="212">
        <v>4.91</v>
      </c>
      <c r="E45" s="212">
        <v>159.75</v>
      </c>
      <c r="F45" s="331">
        <v>215.03</v>
      </c>
      <c r="G45" s="211">
        <v>184.8</v>
      </c>
      <c r="H45" s="212">
        <v>5.31</v>
      </c>
      <c r="I45" s="212">
        <v>155.19</v>
      </c>
      <c r="J45" s="331">
        <v>214.42</v>
      </c>
      <c r="K45" s="211">
        <v>-40.590000000000003</v>
      </c>
      <c r="L45" s="212">
        <v>2.65</v>
      </c>
      <c r="M45" s="212">
        <v>-43.67</v>
      </c>
      <c r="N45" s="331">
        <v>-37.5</v>
      </c>
      <c r="O45" s="211">
        <v>22.5</v>
      </c>
      <c r="P45" s="212">
        <v>4.34</v>
      </c>
      <c r="Q45" s="212">
        <v>20.6</v>
      </c>
      <c r="R45" s="331">
        <v>24.42</v>
      </c>
      <c r="S45" s="212">
        <v>62.44</v>
      </c>
      <c r="T45" s="212">
        <v>3.61</v>
      </c>
      <c r="U45" s="212">
        <v>37.56</v>
      </c>
      <c r="V45" s="212">
        <v>5.99</v>
      </c>
      <c r="W45" s="211">
        <v>5832.03</v>
      </c>
      <c r="X45" s="212">
        <v>11.43</v>
      </c>
      <c r="Y45" s="212">
        <v>4502.97</v>
      </c>
      <c r="Z45" s="331">
        <v>7161.09</v>
      </c>
      <c r="AA45" s="211">
        <v>5547.48</v>
      </c>
      <c r="AB45" s="212">
        <v>11.39</v>
      </c>
      <c r="AC45" s="212">
        <v>4287.13</v>
      </c>
      <c r="AD45" s="331">
        <v>6807.82</v>
      </c>
      <c r="AE45" s="211">
        <v>-13.33</v>
      </c>
      <c r="AF45" s="212">
        <v>1.62</v>
      </c>
      <c r="AG45" s="212">
        <v>-16.079999999999998</v>
      </c>
      <c r="AH45" s="331">
        <v>-10.58</v>
      </c>
      <c r="AI45" s="211">
        <v>36</v>
      </c>
      <c r="AJ45" s="212">
        <v>1.74</v>
      </c>
      <c r="AK45" s="212">
        <v>34.75</v>
      </c>
      <c r="AL45" s="331">
        <v>37.21</v>
      </c>
      <c r="AM45" s="212">
        <v>77.64</v>
      </c>
      <c r="AN45" s="212">
        <v>1.3</v>
      </c>
      <c r="AO45" s="212">
        <v>22.36</v>
      </c>
      <c r="AP45" s="212">
        <v>4.53</v>
      </c>
      <c r="AQ45" s="211">
        <v>2677.39</v>
      </c>
      <c r="AR45" s="212">
        <v>12.51</v>
      </c>
      <c r="AS45" s="212">
        <v>1996.42</v>
      </c>
      <c r="AT45" s="331">
        <v>3358.35</v>
      </c>
      <c r="AU45" s="211">
        <v>2615.59</v>
      </c>
      <c r="AV45" s="212">
        <v>11.7</v>
      </c>
      <c r="AW45" s="212">
        <v>1993.01</v>
      </c>
      <c r="AX45" s="331">
        <v>3238.17</v>
      </c>
      <c r="AY45" s="211">
        <v>-5.05</v>
      </c>
      <c r="AZ45" s="212">
        <v>1.67</v>
      </c>
      <c r="BA45" s="212">
        <v>-8.17</v>
      </c>
      <c r="BB45" s="331">
        <v>-1.94</v>
      </c>
      <c r="BC45" s="211">
        <v>24.4</v>
      </c>
      <c r="BD45" s="212">
        <v>4.33</v>
      </c>
      <c r="BE45" s="212">
        <v>22.33</v>
      </c>
      <c r="BF45" s="331">
        <v>26.48</v>
      </c>
      <c r="BG45" s="212">
        <v>97.52</v>
      </c>
      <c r="BH45" s="212">
        <v>0.15</v>
      </c>
      <c r="BI45" s="212">
        <v>2.48</v>
      </c>
      <c r="BJ45" s="212">
        <v>5.83</v>
      </c>
      <c r="BK45" s="211">
        <v>1532.68</v>
      </c>
      <c r="BL45" s="212">
        <v>6.01</v>
      </c>
      <c r="BM45" s="212">
        <v>1340.39</v>
      </c>
      <c r="BN45" s="331">
        <v>1724.96</v>
      </c>
      <c r="BO45" s="211">
        <v>1436.49</v>
      </c>
      <c r="BP45" s="212">
        <v>6.09</v>
      </c>
      <c r="BQ45" s="212">
        <v>1253.07</v>
      </c>
      <c r="BR45" s="331">
        <v>1619.91</v>
      </c>
      <c r="BS45" s="211">
        <v>-3.21</v>
      </c>
      <c r="BT45" s="212">
        <v>2.23</v>
      </c>
      <c r="BU45" s="212">
        <v>-7.44</v>
      </c>
      <c r="BV45" s="331">
        <v>1.01</v>
      </c>
      <c r="BW45" s="211">
        <v>25.6</v>
      </c>
      <c r="BX45" s="212">
        <v>2.77</v>
      </c>
      <c r="BY45" s="212">
        <v>24.2</v>
      </c>
      <c r="BZ45" s="331">
        <v>26.98</v>
      </c>
      <c r="CA45" s="212">
        <v>91.09</v>
      </c>
      <c r="CB45" s="212">
        <v>0.44</v>
      </c>
      <c r="CC45" s="212">
        <v>8.91</v>
      </c>
      <c r="CD45" s="212">
        <v>4.49</v>
      </c>
      <c r="CE45" s="211">
        <v>3339.02</v>
      </c>
      <c r="CF45" s="212">
        <v>3.49</v>
      </c>
      <c r="CG45" s="212">
        <v>3103.52</v>
      </c>
      <c r="CH45" s="331">
        <v>3574.52</v>
      </c>
      <c r="CI45" s="211">
        <v>3110.5</v>
      </c>
      <c r="CJ45" s="212">
        <v>3.62</v>
      </c>
      <c r="CK45" s="212">
        <v>2882.6</v>
      </c>
      <c r="CL45" s="331">
        <v>3338.41</v>
      </c>
      <c r="CM45" s="211">
        <v>4.2300000000000004</v>
      </c>
      <c r="CN45" s="212">
        <v>2.09</v>
      </c>
      <c r="CO45" s="212">
        <v>-0.04</v>
      </c>
      <c r="CP45" s="331">
        <v>8.49</v>
      </c>
      <c r="CQ45" s="211">
        <v>31.3</v>
      </c>
      <c r="CR45" s="212">
        <v>2.92</v>
      </c>
      <c r="CS45" s="212">
        <v>29.47</v>
      </c>
      <c r="CT45" s="331">
        <v>33.049999999999997</v>
      </c>
      <c r="CU45" s="212">
        <v>96.47</v>
      </c>
      <c r="CV45" s="212">
        <v>0.16</v>
      </c>
      <c r="CW45" s="212">
        <v>3.53</v>
      </c>
      <c r="CX45" s="212">
        <v>4.3600000000000003</v>
      </c>
      <c r="CY45" s="211">
        <v>923.62</v>
      </c>
      <c r="CZ45" s="212">
        <v>10.4</v>
      </c>
      <c r="DA45" s="212">
        <v>715.04</v>
      </c>
      <c r="DB45" s="331">
        <v>1132.19</v>
      </c>
      <c r="DC45" s="211">
        <v>865.48</v>
      </c>
      <c r="DD45" s="212">
        <v>10.33</v>
      </c>
      <c r="DE45" s="212">
        <v>669.94</v>
      </c>
      <c r="DF45" s="331">
        <v>1061.03</v>
      </c>
      <c r="DG45" s="211">
        <v>-15.69</v>
      </c>
      <c r="DH45" s="212">
        <v>3.41</v>
      </c>
      <c r="DI45" s="212">
        <v>-21.33</v>
      </c>
      <c r="DJ45" s="331">
        <v>-10.050000000000001</v>
      </c>
      <c r="DK45" s="211">
        <v>28</v>
      </c>
      <c r="DL45" s="212">
        <v>3.66</v>
      </c>
      <c r="DM45" s="212">
        <v>26.03</v>
      </c>
      <c r="DN45" s="331">
        <v>30.06</v>
      </c>
      <c r="DO45" s="212">
        <v>81.599999999999994</v>
      </c>
      <c r="DP45" s="212">
        <v>1.88</v>
      </c>
      <c r="DQ45" s="212">
        <v>18.399999999999999</v>
      </c>
      <c r="DR45" s="212">
        <v>8.36</v>
      </c>
      <c r="DS45" s="211">
        <v>0</v>
      </c>
      <c r="DT45" s="212">
        <v>0</v>
      </c>
      <c r="DU45" s="212">
        <v>0</v>
      </c>
      <c r="DV45" s="331">
        <v>0</v>
      </c>
      <c r="DW45" s="211">
        <v>0</v>
      </c>
      <c r="DX45" s="212">
        <v>0</v>
      </c>
      <c r="DY45" s="212">
        <v>0</v>
      </c>
      <c r="DZ45" s="331">
        <v>0</v>
      </c>
      <c r="EA45" s="211">
        <v>-2.42</v>
      </c>
      <c r="EB45" s="212">
        <v>0.62</v>
      </c>
      <c r="EC45" s="212">
        <v>-3.6</v>
      </c>
      <c r="ED45" s="331">
        <v>-1.24</v>
      </c>
      <c r="EE45" s="211">
        <v>53.7</v>
      </c>
      <c r="EF45" s="212">
        <v>1.44</v>
      </c>
      <c r="EG45" s="212">
        <v>52.2</v>
      </c>
      <c r="EH45" s="331">
        <v>55.23</v>
      </c>
      <c r="EI45" s="212">
        <v>88.04</v>
      </c>
      <c r="EJ45" s="212">
        <v>0.49</v>
      </c>
      <c r="EK45" s="212">
        <v>11.96</v>
      </c>
      <c r="EL45" s="212">
        <v>3.6</v>
      </c>
      <c r="EM45" s="211">
        <v>1377.97</v>
      </c>
      <c r="EN45" s="212">
        <v>10.29</v>
      </c>
      <c r="EO45" s="212">
        <v>1079.92</v>
      </c>
      <c r="EP45" s="331">
        <v>1676.02</v>
      </c>
      <c r="EQ45" s="211">
        <v>1309.8800000000001</v>
      </c>
      <c r="ER45" s="212">
        <v>10.34</v>
      </c>
      <c r="ES45" s="212">
        <v>1024.1099999999999</v>
      </c>
      <c r="ET45" s="331">
        <v>1595.65</v>
      </c>
      <c r="EU45" s="211">
        <v>-20.61</v>
      </c>
      <c r="EV45" s="212">
        <v>2.65</v>
      </c>
      <c r="EW45" s="212">
        <v>-24.73</v>
      </c>
      <c r="EX45" s="331">
        <v>-16.489999999999998</v>
      </c>
      <c r="EY45" s="211">
        <v>29</v>
      </c>
      <c r="EZ45" s="212">
        <v>4.74</v>
      </c>
      <c r="FA45" s="212">
        <v>26.32</v>
      </c>
      <c r="FB45" s="331">
        <v>31.71</v>
      </c>
      <c r="FC45" s="212">
        <v>87.32</v>
      </c>
      <c r="FD45" s="212">
        <v>0.72</v>
      </c>
      <c r="FE45" s="212">
        <v>12.68</v>
      </c>
      <c r="FF45" s="212">
        <v>4.9400000000000004</v>
      </c>
      <c r="FG45" s="211">
        <v>933.21</v>
      </c>
      <c r="FH45" s="212">
        <v>12.3</v>
      </c>
      <c r="FI45" s="212">
        <v>684.2</v>
      </c>
      <c r="FJ45" s="331">
        <v>1182.22</v>
      </c>
      <c r="FK45" s="211">
        <v>901.29</v>
      </c>
      <c r="FL45" s="212">
        <v>12.8</v>
      </c>
      <c r="FM45" s="212">
        <v>649.99</v>
      </c>
      <c r="FN45" s="331">
        <v>1152.5899999999999</v>
      </c>
      <c r="FO45" s="211">
        <v>-6.79</v>
      </c>
      <c r="FP45" s="212">
        <v>2.67</v>
      </c>
      <c r="FQ45" s="212">
        <v>-11.67</v>
      </c>
      <c r="FR45" s="331">
        <v>-1.92</v>
      </c>
      <c r="FS45" s="211">
        <v>32.5</v>
      </c>
      <c r="FT45" s="212">
        <v>3.54</v>
      </c>
      <c r="FU45" s="212">
        <v>30.29</v>
      </c>
      <c r="FV45" s="331">
        <v>34.799999999999997</v>
      </c>
      <c r="FW45" s="212">
        <v>91.01</v>
      </c>
      <c r="FX45" s="212">
        <v>0.72</v>
      </c>
      <c r="FY45" s="212">
        <v>8.99</v>
      </c>
      <c r="FZ45" s="212">
        <v>7.3</v>
      </c>
      <c r="GA45" s="211">
        <v>1424.37</v>
      </c>
      <c r="GB45" s="212">
        <v>13.57</v>
      </c>
      <c r="GC45" s="212">
        <v>1019.02</v>
      </c>
      <c r="GD45" s="331">
        <v>1829.73</v>
      </c>
      <c r="GE45" s="211">
        <v>1352.39</v>
      </c>
      <c r="GF45" s="212">
        <v>13.46</v>
      </c>
      <c r="GG45" s="212">
        <v>969.22</v>
      </c>
      <c r="GH45" s="331">
        <v>1735.56</v>
      </c>
      <c r="GI45" s="211">
        <v>7.02</v>
      </c>
      <c r="GJ45" s="212">
        <v>3.24</v>
      </c>
      <c r="GK45" s="212">
        <v>0.22</v>
      </c>
      <c r="GL45" s="331">
        <v>13.83</v>
      </c>
      <c r="GM45" s="211">
        <v>30.7</v>
      </c>
      <c r="GN45" s="212">
        <v>5.47</v>
      </c>
      <c r="GO45" s="212">
        <v>27.41</v>
      </c>
      <c r="GP45" s="331">
        <v>33.99</v>
      </c>
      <c r="GQ45" s="212">
        <v>96.78</v>
      </c>
      <c r="GR45" s="212">
        <v>0.18</v>
      </c>
      <c r="GS45" s="212">
        <v>3.22</v>
      </c>
      <c r="GT45" s="212">
        <v>5.26</v>
      </c>
      <c r="GU45" s="211">
        <v>5061.13</v>
      </c>
      <c r="GV45" s="212">
        <v>11.06</v>
      </c>
      <c r="GW45" s="212">
        <v>3942.71</v>
      </c>
      <c r="GX45" s="331">
        <v>6179.54</v>
      </c>
      <c r="GY45" s="211">
        <v>4745.6499999999996</v>
      </c>
      <c r="GZ45" s="212">
        <v>11.16</v>
      </c>
      <c r="HA45" s="212">
        <v>3686.13</v>
      </c>
      <c r="HB45" s="331">
        <v>5805.17</v>
      </c>
      <c r="HC45" s="211">
        <v>-4.3499999999999996</v>
      </c>
      <c r="HD45" s="212">
        <v>1.58</v>
      </c>
      <c r="HE45" s="212">
        <v>-7.31</v>
      </c>
      <c r="HF45" s="331">
        <v>-1.4</v>
      </c>
      <c r="HG45" s="211">
        <v>25.4</v>
      </c>
      <c r="HH45" s="212">
        <v>3.16</v>
      </c>
      <c r="HI45" s="212">
        <v>23.83</v>
      </c>
      <c r="HJ45" s="331">
        <v>26.98</v>
      </c>
      <c r="HK45" s="212">
        <v>97.85</v>
      </c>
      <c r="HL45" s="212">
        <v>0.24</v>
      </c>
      <c r="HM45" s="212">
        <v>2.15</v>
      </c>
      <c r="HN45" s="212">
        <v>11.09</v>
      </c>
      <c r="HO45" s="211">
        <v>450.8</v>
      </c>
      <c r="HP45" s="212">
        <v>8.6300000000000008</v>
      </c>
      <c r="HQ45" s="212">
        <v>357.61</v>
      </c>
      <c r="HR45" s="331">
        <v>543.99</v>
      </c>
      <c r="HS45" s="211">
        <v>429.82</v>
      </c>
      <c r="HT45" s="212">
        <v>8.91</v>
      </c>
      <c r="HU45" s="212">
        <v>337.28</v>
      </c>
      <c r="HV45" s="331">
        <v>522.35</v>
      </c>
      <c r="HW45" s="211">
        <v>-8.76</v>
      </c>
      <c r="HX45" s="212">
        <v>0.88</v>
      </c>
      <c r="HY45" s="212">
        <v>-10.33</v>
      </c>
      <c r="HZ45" s="331">
        <v>-7.2</v>
      </c>
      <c r="IA45" s="211">
        <v>26.7</v>
      </c>
      <c r="IB45" s="212">
        <v>5.16</v>
      </c>
      <c r="IC45" s="212">
        <v>23.96</v>
      </c>
      <c r="ID45" s="331">
        <v>29.35</v>
      </c>
      <c r="IE45" s="211">
        <v>94.2</v>
      </c>
      <c r="IF45" s="212">
        <v>1.47</v>
      </c>
      <c r="IG45" s="212">
        <v>5.8</v>
      </c>
      <c r="IH45" s="331">
        <v>23.89</v>
      </c>
    </row>
    <row r="46" spans="1:242" s="27" customFormat="1" ht="15.75" customHeight="1" x14ac:dyDescent="0.2">
      <c r="A46" s="26"/>
      <c r="B46" s="64" t="s">
        <v>15</v>
      </c>
      <c r="C46" s="209">
        <v>233.39</v>
      </c>
      <c r="D46" s="210">
        <v>5.79</v>
      </c>
      <c r="E46" s="210">
        <v>195.55</v>
      </c>
      <c r="F46" s="330">
        <v>271.23</v>
      </c>
      <c r="G46" s="209">
        <v>228.12</v>
      </c>
      <c r="H46" s="210">
        <v>6.1</v>
      </c>
      <c r="I46" s="210">
        <v>188.9</v>
      </c>
      <c r="J46" s="330">
        <v>267.33999999999997</v>
      </c>
      <c r="K46" s="209">
        <v>-34.700000000000003</v>
      </c>
      <c r="L46" s="210">
        <v>2.5499999999999998</v>
      </c>
      <c r="M46" s="210">
        <v>-37.97</v>
      </c>
      <c r="N46" s="330">
        <v>-31.44</v>
      </c>
      <c r="O46" s="209">
        <v>22.8</v>
      </c>
      <c r="P46" s="210">
        <v>3.72</v>
      </c>
      <c r="Q46" s="210">
        <v>21.13</v>
      </c>
      <c r="R46" s="330">
        <v>24.45</v>
      </c>
      <c r="S46" s="210">
        <v>68.17</v>
      </c>
      <c r="T46" s="210">
        <v>2.2000000000000002</v>
      </c>
      <c r="U46" s="210">
        <v>31.83</v>
      </c>
      <c r="V46" s="210">
        <v>4.72</v>
      </c>
      <c r="W46" s="209">
        <v>3637.76</v>
      </c>
      <c r="X46" s="210">
        <v>17.52</v>
      </c>
      <c r="Y46" s="210">
        <v>2354.21</v>
      </c>
      <c r="Z46" s="330">
        <v>4921.3100000000004</v>
      </c>
      <c r="AA46" s="209">
        <v>3453.27</v>
      </c>
      <c r="AB46" s="210">
        <v>18.04</v>
      </c>
      <c r="AC46" s="210">
        <v>2196.98</v>
      </c>
      <c r="AD46" s="330">
        <v>4709.57</v>
      </c>
      <c r="AE46" s="209">
        <v>-7.39</v>
      </c>
      <c r="AF46" s="210">
        <v>1.74</v>
      </c>
      <c r="AG46" s="210">
        <v>-10.56</v>
      </c>
      <c r="AH46" s="330">
        <v>-4.2300000000000004</v>
      </c>
      <c r="AI46" s="209">
        <v>27.9</v>
      </c>
      <c r="AJ46" s="210">
        <v>2.6</v>
      </c>
      <c r="AK46" s="210">
        <v>26.44</v>
      </c>
      <c r="AL46" s="330">
        <v>29.27</v>
      </c>
      <c r="AM46" s="210">
        <v>77.88</v>
      </c>
      <c r="AN46" s="210">
        <v>1.48</v>
      </c>
      <c r="AO46" s="210">
        <v>22.12</v>
      </c>
      <c r="AP46" s="210">
        <v>5.21</v>
      </c>
      <c r="AQ46" s="209">
        <v>884.58</v>
      </c>
      <c r="AR46" s="210">
        <v>6.43</v>
      </c>
      <c r="AS46" s="210">
        <v>760.48</v>
      </c>
      <c r="AT46" s="330">
        <v>1008.69</v>
      </c>
      <c r="AU46" s="209">
        <v>853.13</v>
      </c>
      <c r="AV46" s="210">
        <v>6.21</v>
      </c>
      <c r="AW46" s="210">
        <v>737.06</v>
      </c>
      <c r="AX46" s="330">
        <v>969.21</v>
      </c>
      <c r="AY46" s="209">
        <v>-2.16</v>
      </c>
      <c r="AZ46" s="210">
        <v>1.71</v>
      </c>
      <c r="BA46" s="210">
        <v>-5.44</v>
      </c>
      <c r="BB46" s="330">
        <v>1.1100000000000001</v>
      </c>
      <c r="BC46" s="209">
        <v>18.5</v>
      </c>
      <c r="BD46" s="210">
        <v>3.77</v>
      </c>
      <c r="BE46" s="210">
        <v>17.16</v>
      </c>
      <c r="BF46" s="330">
        <v>19.899999999999999</v>
      </c>
      <c r="BG46" s="210">
        <v>97.92</v>
      </c>
      <c r="BH46" s="210">
        <v>0.1</v>
      </c>
      <c r="BI46" s="210">
        <v>2.08</v>
      </c>
      <c r="BJ46" s="210">
        <v>4.5999999999999996</v>
      </c>
      <c r="BK46" s="209">
        <v>1588.31</v>
      </c>
      <c r="BL46" s="210">
        <v>5.8</v>
      </c>
      <c r="BM46" s="210">
        <v>1396.29</v>
      </c>
      <c r="BN46" s="330">
        <v>1780.33</v>
      </c>
      <c r="BO46" s="209">
        <v>1487.88</v>
      </c>
      <c r="BP46" s="210">
        <v>5.83</v>
      </c>
      <c r="BQ46" s="210">
        <v>1306.31</v>
      </c>
      <c r="BR46" s="330">
        <v>1669.45</v>
      </c>
      <c r="BS46" s="209">
        <v>3.12</v>
      </c>
      <c r="BT46" s="210">
        <v>2.36</v>
      </c>
      <c r="BU46" s="210">
        <v>-1.66</v>
      </c>
      <c r="BV46" s="330">
        <v>7.9</v>
      </c>
      <c r="BW46" s="209">
        <v>28.3</v>
      </c>
      <c r="BX46" s="210">
        <v>2.75</v>
      </c>
      <c r="BY46" s="210">
        <v>26.77</v>
      </c>
      <c r="BZ46" s="330">
        <v>29.81</v>
      </c>
      <c r="CA46" s="210">
        <v>92.09</v>
      </c>
      <c r="CB46" s="210">
        <v>0.49</v>
      </c>
      <c r="CC46" s="210">
        <v>7.91</v>
      </c>
      <c r="CD46" s="210">
        <v>5.75</v>
      </c>
      <c r="CE46" s="209">
        <v>1086.74</v>
      </c>
      <c r="CF46" s="210">
        <v>3.77</v>
      </c>
      <c r="CG46" s="210">
        <v>999.12</v>
      </c>
      <c r="CH46" s="330">
        <v>1174.3599999999999</v>
      </c>
      <c r="CI46" s="209">
        <v>1024.68</v>
      </c>
      <c r="CJ46" s="210">
        <v>3.95</v>
      </c>
      <c r="CK46" s="210">
        <v>937.58</v>
      </c>
      <c r="CL46" s="330">
        <v>1111.77</v>
      </c>
      <c r="CM46" s="209">
        <v>4.84</v>
      </c>
      <c r="CN46" s="210">
        <v>2.15</v>
      </c>
      <c r="CO46" s="210">
        <v>0.43</v>
      </c>
      <c r="CP46" s="330">
        <v>9.26</v>
      </c>
      <c r="CQ46" s="209">
        <v>19</v>
      </c>
      <c r="CR46" s="210">
        <v>5.03</v>
      </c>
      <c r="CS46" s="210">
        <v>17.13</v>
      </c>
      <c r="CT46" s="330">
        <v>20.88</v>
      </c>
      <c r="CU46" s="210">
        <v>94.26</v>
      </c>
      <c r="CV46" s="210">
        <v>0.28999999999999998</v>
      </c>
      <c r="CW46" s="210">
        <v>5.74</v>
      </c>
      <c r="CX46" s="210">
        <v>4.71</v>
      </c>
      <c r="CY46" s="209">
        <v>789.38</v>
      </c>
      <c r="CZ46" s="210">
        <v>9.85</v>
      </c>
      <c r="DA46" s="210">
        <v>617.71</v>
      </c>
      <c r="DB46" s="330">
        <v>961.05</v>
      </c>
      <c r="DC46" s="209">
        <v>745.37</v>
      </c>
      <c r="DD46" s="210">
        <v>9.7799999999999994</v>
      </c>
      <c r="DE46" s="210">
        <v>583.33000000000004</v>
      </c>
      <c r="DF46" s="330">
        <v>907.41</v>
      </c>
      <c r="DG46" s="209">
        <v>-6.02</v>
      </c>
      <c r="DH46" s="210">
        <v>2.4</v>
      </c>
      <c r="DI46" s="210">
        <v>-10.44</v>
      </c>
      <c r="DJ46" s="330">
        <v>-1.6</v>
      </c>
      <c r="DK46" s="209">
        <v>29.2</v>
      </c>
      <c r="DL46" s="210">
        <v>3.73</v>
      </c>
      <c r="DM46" s="210">
        <v>27.05</v>
      </c>
      <c r="DN46" s="330">
        <v>31.31</v>
      </c>
      <c r="DO46" s="210">
        <v>84.25</v>
      </c>
      <c r="DP46" s="210">
        <v>1.36</v>
      </c>
      <c r="DQ46" s="210">
        <v>15.75</v>
      </c>
      <c r="DR46" s="210">
        <v>7.29</v>
      </c>
      <c r="DS46" s="209">
        <v>0</v>
      </c>
      <c r="DT46" s="210">
        <v>0</v>
      </c>
      <c r="DU46" s="210">
        <v>0</v>
      </c>
      <c r="DV46" s="330">
        <v>0</v>
      </c>
      <c r="DW46" s="209">
        <v>0</v>
      </c>
      <c r="DX46" s="210">
        <v>0</v>
      </c>
      <c r="DY46" s="210">
        <v>0</v>
      </c>
      <c r="DZ46" s="330">
        <v>0</v>
      </c>
      <c r="EA46" s="209">
        <v>-0.21</v>
      </c>
      <c r="EB46" s="210">
        <v>1.01</v>
      </c>
      <c r="EC46" s="210">
        <v>-2.19</v>
      </c>
      <c r="ED46" s="330">
        <v>1.77</v>
      </c>
      <c r="EE46" s="209">
        <v>51.6</v>
      </c>
      <c r="EF46" s="210">
        <v>1.19</v>
      </c>
      <c r="EG46" s="210">
        <v>50.4</v>
      </c>
      <c r="EH46" s="330">
        <v>52.81</v>
      </c>
      <c r="EI46" s="210">
        <v>82.73</v>
      </c>
      <c r="EJ46" s="210">
        <v>0.43</v>
      </c>
      <c r="EK46" s="210">
        <v>17.27</v>
      </c>
      <c r="EL46" s="210">
        <v>2.08</v>
      </c>
      <c r="EM46" s="209">
        <v>524.74</v>
      </c>
      <c r="EN46" s="210">
        <v>9.4700000000000006</v>
      </c>
      <c r="EO46" s="210">
        <v>408.8</v>
      </c>
      <c r="EP46" s="330">
        <v>640.69000000000005</v>
      </c>
      <c r="EQ46" s="209">
        <v>502.2</v>
      </c>
      <c r="ER46" s="210">
        <v>9.52</v>
      </c>
      <c r="ES46" s="210">
        <v>389.79</v>
      </c>
      <c r="ET46" s="330">
        <v>614.61</v>
      </c>
      <c r="EU46" s="209">
        <v>-21.24</v>
      </c>
      <c r="EV46" s="210">
        <v>2.6</v>
      </c>
      <c r="EW46" s="210">
        <v>-25.25</v>
      </c>
      <c r="EX46" s="330">
        <v>-17.23</v>
      </c>
      <c r="EY46" s="209">
        <v>17.8</v>
      </c>
      <c r="EZ46" s="210">
        <v>4.8899999999999997</v>
      </c>
      <c r="FA46" s="210">
        <v>16.09</v>
      </c>
      <c r="FB46" s="330">
        <v>19.5</v>
      </c>
      <c r="FC46" s="210">
        <v>89.14</v>
      </c>
      <c r="FD46" s="210">
        <v>0.74</v>
      </c>
      <c r="FE46" s="210">
        <v>10.86</v>
      </c>
      <c r="FF46" s="210">
        <v>6.05</v>
      </c>
      <c r="FG46" s="209">
        <v>745.3</v>
      </c>
      <c r="FH46" s="210">
        <v>11.15</v>
      </c>
      <c r="FI46" s="210">
        <v>560.54999999999995</v>
      </c>
      <c r="FJ46" s="330">
        <v>930.05</v>
      </c>
      <c r="FK46" s="209">
        <v>729.28</v>
      </c>
      <c r="FL46" s="210">
        <v>11.76</v>
      </c>
      <c r="FM46" s="210">
        <v>538.1</v>
      </c>
      <c r="FN46" s="330">
        <v>920.45</v>
      </c>
      <c r="FO46" s="209">
        <v>6.17</v>
      </c>
      <c r="FP46" s="210">
        <v>3</v>
      </c>
      <c r="FQ46" s="210">
        <v>-7.0000000000000007E-2</v>
      </c>
      <c r="FR46" s="330">
        <v>12.42</v>
      </c>
      <c r="FS46" s="209">
        <v>27.9</v>
      </c>
      <c r="FT46" s="210">
        <v>5.51</v>
      </c>
      <c r="FU46" s="210">
        <v>24.9</v>
      </c>
      <c r="FV46" s="330">
        <v>30.92</v>
      </c>
      <c r="FW46" s="210">
        <v>90.1</v>
      </c>
      <c r="FX46" s="210">
        <v>0.89</v>
      </c>
      <c r="FY46" s="210">
        <v>9.9</v>
      </c>
      <c r="FZ46" s="210">
        <v>8.1300000000000008</v>
      </c>
      <c r="GA46" s="209">
        <v>837.83</v>
      </c>
      <c r="GB46" s="210">
        <v>5.5</v>
      </c>
      <c r="GC46" s="210">
        <v>736.66</v>
      </c>
      <c r="GD46" s="330">
        <v>939</v>
      </c>
      <c r="GE46" s="209">
        <v>789.78</v>
      </c>
      <c r="GF46" s="210">
        <v>5.52</v>
      </c>
      <c r="GG46" s="210">
        <v>693.51</v>
      </c>
      <c r="GH46" s="330">
        <v>886.05</v>
      </c>
      <c r="GI46" s="209">
        <v>4.6900000000000004</v>
      </c>
      <c r="GJ46" s="210">
        <v>3.05</v>
      </c>
      <c r="GK46" s="210">
        <v>-1.57</v>
      </c>
      <c r="GL46" s="330">
        <v>10.95</v>
      </c>
      <c r="GM46" s="209">
        <v>25.7</v>
      </c>
      <c r="GN46" s="210">
        <v>10</v>
      </c>
      <c r="GO46" s="210">
        <v>20.68</v>
      </c>
      <c r="GP46" s="330">
        <v>30.76</v>
      </c>
      <c r="GQ46" s="210">
        <v>97.32</v>
      </c>
      <c r="GR46" s="210">
        <v>0.22</v>
      </c>
      <c r="GS46" s="210">
        <v>2.68</v>
      </c>
      <c r="GT46" s="210">
        <v>8.0399999999999991</v>
      </c>
      <c r="GU46" s="209">
        <v>3752.69</v>
      </c>
      <c r="GV46" s="210">
        <v>10.25</v>
      </c>
      <c r="GW46" s="210">
        <v>2978.38</v>
      </c>
      <c r="GX46" s="330">
        <v>4527</v>
      </c>
      <c r="GY46" s="209">
        <v>3632.33</v>
      </c>
      <c r="GZ46" s="210">
        <v>10.54</v>
      </c>
      <c r="HA46" s="210">
        <v>2861.22</v>
      </c>
      <c r="HB46" s="330">
        <v>4403.4399999999996</v>
      </c>
      <c r="HC46" s="209">
        <v>3.84</v>
      </c>
      <c r="HD46" s="210">
        <v>1.59</v>
      </c>
      <c r="HE46" s="210">
        <v>0.6</v>
      </c>
      <c r="HF46" s="330">
        <v>7.09</v>
      </c>
      <c r="HG46" s="209">
        <v>23.2</v>
      </c>
      <c r="HH46" s="210">
        <v>3.83</v>
      </c>
      <c r="HI46" s="210">
        <v>21.41</v>
      </c>
      <c r="HJ46" s="330">
        <v>24.9</v>
      </c>
      <c r="HK46" s="210">
        <v>98.03</v>
      </c>
      <c r="HL46" s="210">
        <v>0.13</v>
      </c>
      <c r="HM46" s="210">
        <v>1.97</v>
      </c>
      <c r="HN46" s="210">
        <v>6.41</v>
      </c>
      <c r="HO46" s="209">
        <v>330.68</v>
      </c>
      <c r="HP46" s="210">
        <v>5.98</v>
      </c>
      <c r="HQ46" s="210">
        <v>280.22000000000003</v>
      </c>
      <c r="HR46" s="330">
        <v>381.15</v>
      </c>
      <c r="HS46" s="209">
        <v>314.7</v>
      </c>
      <c r="HT46" s="210">
        <v>6.27</v>
      </c>
      <c r="HU46" s="210">
        <v>263.76</v>
      </c>
      <c r="HV46" s="330">
        <v>365.64</v>
      </c>
      <c r="HW46" s="209">
        <v>-0.36</v>
      </c>
      <c r="HX46" s="210">
        <v>1.44</v>
      </c>
      <c r="HY46" s="210">
        <v>-3.17</v>
      </c>
      <c r="HZ46" s="330">
        <v>2.46</v>
      </c>
      <c r="IA46" s="209">
        <v>19.899999999999999</v>
      </c>
      <c r="IB46" s="210">
        <v>3.43</v>
      </c>
      <c r="IC46" s="210">
        <v>18.57</v>
      </c>
      <c r="ID46" s="330">
        <v>21.25</v>
      </c>
      <c r="IE46" s="209">
        <v>86.97</v>
      </c>
      <c r="IF46" s="210">
        <v>2.46</v>
      </c>
      <c r="IG46" s="210">
        <v>13.03</v>
      </c>
      <c r="IH46" s="330">
        <v>16.420000000000002</v>
      </c>
    </row>
    <row r="47" spans="1:242" s="27" customFormat="1" ht="15.75" customHeight="1" x14ac:dyDescent="0.2">
      <c r="A47" s="26"/>
      <c r="B47" s="28" t="s">
        <v>16</v>
      </c>
      <c r="C47" s="211">
        <v>215.33</v>
      </c>
      <c r="D47" s="212">
        <v>3.79</v>
      </c>
      <c r="E47" s="212">
        <v>191.9</v>
      </c>
      <c r="F47" s="331">
        <v>238.75</v>
      </c>
      <c r="G47" s="211">
        <v>206.18</v>
      </c>
      <c r="H47" s="212">
        <v>3.97</v>
      </c>
      <c r="I47" s="212">
        <v>182.36</v>
      </c>
      <c r="J47" s="331">
        <v>230</v>
      </c>
      <c r="K47" s="211">
        <v>-22.17</v>
      </c>
      <c r="L47" s="212">
        <v>2.58</v>
      </c>
      <c r="M47" s="212">
        <v>-26.1</v>
      </c>
      <c r="N47" s="331">
        <v>-18.239999999999998</v>
      </c>
      <c r="O47" s="211">
        <v>29</v>
      </c>
      <c r="P47" s="212">
        <v>3.21</v>
      </c>
      <c r="Q47" s="212">
        <v>27.15</v>
      </c>
      <c r="R47" s="331">
        <v>30.8</v>
      </c>
      <c r="S47" s="212">
        <v>68.17</v>
      </c>
      <c r="T47" s="212">
        <v>1.85</v>
      </c>
      <c r="U47" s="212">
        <v>31.83</v>
      </c>
      <c r="V47" s="212">
        <v>3.97</v>
      </c>
      <c r="W47" s="211">
        <v>4714.71</v>
      </c>
      <c r="X47" s="212">
        <v>13.51</v>
      </c>
      <c r="Y47" s="212">
        <v>3439.73</v>
      </c>
      <c r="Z47" s="331">
        <v>5989.69</v>
      </c>
      <c r="AA47" s="211">
        <v>4454.3900000000003</v>
      </c>
      <c r="AB47" s="212">
        <v>13.91</v>
      </c>
      <c r="AC47" s="212">
        <v>3213.08</v>
      </c>
      <c r="AD47" s="331">
        <v>5695.7</v>
      </c>
      <c r="AE47" s="211">
        <v>7.73</v>
      </c>
      <c r="AF47" s="212">
        <v>1.78</v>
      </c>
      <c r="AG47" s="212">
        <v>3.98</v>
      </c>
      <c r="AH47" s="331">
        <v>11.49</v>
      </c>
      <c r="AI47" s="211">
        <v>45.5</v>
      </c>
      <c r="AJ47" s="212">
        <v>1.98</v>
      </c>
      <c r="AK47" s="212">
        <v>43.71</v>
      </c>
      <c r="AL47" s="331">
        <v>47.24</v>
      </c>
      <c r="AM47" s="212">
        <v>82.52</v>
      </c>
      <c r="AN47" s="212">
        <v>0.7</v>
      </c>
      <c r="AO47" s="212">
        <v>17.48</v>
      </c>
      <c r="AP47" s="212">
        <v>3.29</v>
      </c>
      <c r="AQ47" s="211">
        <v>2196.13</v>
      </c>
      <c r="AR47" s="212">
        <v>8.74</v>
      </c>
      <c r="AS47" s="212">
        <v>1802.91</v>
      </c>
      <c r="AT47" s="331">
        <v>2589.35</v>
      </c>
      <c r="AU47" s="211">
        <v>2072.5700000000002</v>
      </c>
      <c r="AV47" s="212">
        <v>8.64</v>
      </c>
      <c r="AW47" s="212">
        <v>1704.5</v>
      </c>
      <c r="AX47" s="331">
        <v>2440.63</v>
      </c>
      <c r="AY47" s="211">
        <v>7.55</v>
      </c>
      <c r="AZ47" s="212">
        <v>1.75</v>
      </c>
      <c r="BA47" s="212">
        <v>3.86</v>
      </c>
      <c r="BB47" s="331">
        <v>11.23</v>
      </c>
      <c r="BC47" s="211">
        <v>31.2</v>
      </c>
      <c r="BD47" s="212">
        <v>3.81</v>
      </c>
      <c r="BE47" s="212">
        <v>28.84</v>
      </c>
      <c r="BF47" s="331">
        <v>33.49</v>
      </c>
      <c r="BG47" s="212">
        <v>98.12</v>
      </c>
      <c r="BH47" s="212">
        <v>0.12</v>
      </c>
      <c r="BI47" s="212">
        <v>1.88</v>
      </c>
      <c r="BJ47" s="212">
        <v>6.26</v>
      </c>
      <c r="BK47" s="211">
        <v>1633.21</v>
      </c>
      <c r="BL47" s="212">
        <v>3.35</v>
      </c>
      <c r="BM47" s="212">
        <v>1519.46</v>
      </c>
      <c r="BN47" s="331">
        <v>1746.97</v>
      </c>
      <c r="BO47" s="211">
        <v>1520.58</v>
      </c>
      <c r="BP47" s="212">
        <v>3.41</v>
      </c>
      <c r="BQ47" s="212">
        <v>1412.14</v>
      </c>
      <c r="BR47" s="331">
        <v>1629.01</v>
      </c>
      <c r="BS47" s="211">
        <v>20.59</v>
      </c>
      <c r="BT47" s="212">
        <v>2.41</v>
      </c>
      <c r="BU47" s="212">
        <v>14.89</v>
      </c>
      <c r="BV47" s="331">
        <v>26.29</v>
      </c>
      <c r="BW47" s="211">
        <v>44.1</v>
      </c>
      <c r="BX47" s="212">
        <v>2.0299999999999998</v>
      </c>
      <c r="BY47" s="212">
        <v>42.3</v>
      </c>
      <c r="BZ47" s="331">
        <v>45.82</v>
      </c>
      <c r="CA47" s="212">
        <v>90.39</v>
      </c>
      <c r="CB47" s="212">
        <v>0.62</v>
      </c>
      <c r="CC47" s="212">
        <v>9.61</v>
      </c>
      <c r="CD47" s="212">
        <v>5.83</v>
      </c>
      <c r="CE47" s="211">
        <v>2520.58</v>
      </c>
      <c r="CF47" s="212">
        <v>7.94</v>
      </c>
      <c r="CG47" s="212">
        <v>2112.5500000000002</v>
      </c>
      <c r="CH47" s="331">
        <v>2928.6</v>
      </c>
      <c r="CI47" s="211">
        <v>2374.12</v>
      </c>
      <c r="CJ47" s="212">
        <v>8.3000000000000007</v>
      </c>
      <c r="CK47" s="212">
        <v>1971.77</v>
      </c>
      <c r="CL47" s="331">
        <v>2776.47</v>
      </c>
      <c r="CM47" s="211">
        <v>27.2</v>
      </c>
      <c r="CN47" s="212">
        <v>2.1</v>
      </c>
      <c r="CO47" s="212">
        <v>21.96</v>
      </c>
      <c r="CP47" s="331">
        <v>32.44</v>
      </c>
      <c r="CQ47" s="211">
        <v>32.200000000000003</v>
      </c>
      <c r="CR47" s="212">
        <v>2.46</v>
      </c>
      <c r="CS47" s="212">
        <v>30.65</v>
      </c>
      <c r="CT47" s="331">
        <v>33.75</v>
      </c>
      <c r="CU47" s="212">
        <v>95.76</v>
      </c>
      <c r="CV47" s="212">
        <v>0.15</v>
      </c>
      <c r="CW47" s="212">
        <v>4.24</v>
      </c>
      <c r="CX47" s="212">
        <v>3.36</v>
      </c>
      <c r="CY47" s="211">
        <v>664.9</v>
      </c>
      <c r="CZ47" s="212">
        <v>7.05</v>
      </c>
      <c r="DA47" s="212">
        <v>559.21</v>
      </c>
      <c r="DB47" s="331">
        <v>770.58</v>
      </c>
      <c r="DC47" s="211">
        <v>619.71</v>
      </c>
      <c r="DD47" s="212">
        <v>7.05</v>
      </c>
      <c r="DE47" s="212">
        <v>520.19000000000005</v>
      </c>
      <c r="DF47" s="331">
        <v>719.23</v>
      </c>
      <c r="DG47" s="211">
        <v>8.02</v>
      </c>
      <c r="DH47" s="212">
        <v>2.57</v>
      </c>
      <c r="DI47" s="212">
        <v>2.58</v>
      </c>
      <c r="DJ47" s="331">
        <v>13.46</v>
      </c>
      <c r="DK47" s="211">
        <v>37.1</v>
      </c>
      <c r="DL47" s="212">
        <v>3.09</v>
      </c>
      <c r="DM47" s="212">
        <v>34.86</v>
      </c>
      <c r="DN47" s="331">
        <v>39.35</v>
      </c>
      <c r="DO47" s="212">
        <v>83.8</v>
      </c>
      <c r="DP47" s="212">
        <v>1.26</v>
      </c>
      <c r="DQ47" s="212">
        <v>16.2</v>
      </c>
      <c r="DR47" s="212">
        <v>6.5</v>
      </c>
      <c r="DS47" s="211">
        <v>0</v>
      </c>
      <c r="DT47" s="212">
        <v>0</v>
      </c>
      <c r="DU47" s="212">
        <v>0</v>
      </c>
      <c r="DV47" s="331">
        <v>0</v>
      </c>
      <c r="DW47" s="211">
        <v>0</v>
      </c>
      <c r="DX47" s="212">
        <v>0</v>
      </c>
      <c r="DY47" s="212">
        <v>0</v>
      </c>
      <c r="DZ47" s="331">
        <v>0</v>
      </c>
      <c r="EA47" s="211">
        <v>10.9</v>
      </c>
      <c r="EB47" s="212">
        <v>0.74</v>
      </c>
      <c r="EC47" s="212">
        <v>9.2899999999999991</v>
      </c>
      <c r="ED47" s="331">
        <v>12.5</v>
      </c>
      <c r="EE47" s="211">
        <v>65.400000000000006</v>
      </c>
      <c r="EF47" s="212">
        <v>1.25</v>
      </c>
      <c r="EG47" s="212">
        <v>63.79</v>
      </c>
      <c r="EH47" s="331">
        <v>66.989999999999995</v>
      </c>
      <c r="EI47" s="212">
        <v>81.37</v>
      </c>
      <c r="EJ47" s="212">
        <v>0.37</v>
      </c>
      <c r="EK47" s="212">
        <v>18.63</v>
      </c>
      <c r="EL47" s="212">
        <v>1.63</v>
      </c>
      <c r="EM47" s="211">
        <v>581</v>
      </c>
      <c r="EN47" s="212">
        <v>7.03</v>
      </c>
      <c r="EO47" s="212">
        <v>487.1</v>
      </c>
      <c r="EP47" s="331">
        <v>674.91</v>
      </c>
      <c r="EQ47" s="211">
        <v>539.21</v>
      </c>
      <c r="ER47" s="212">
        <v>7.14</v>
      </c>
      <c r="ES47" s="212">
        <v>449.8</v>
      </c>
      <c r="ET47" s="331">
        <v>628.61</v>
      </c>
      <c r="EU47" s="211">
        <v>-15.3</v>
      </c>
      <c r="EV47" s="212">
        <v>2.68</v>
      </c>
      <c r="EW47" s="212">
        <v>-19.75</v>
      </c>
      <c r="EX47" s="331">
        <v>-10.85</v>
      </c>
      <c r="EY47" s="211">
        <v>25.8</v>
      </c>
      <c r="EZ47" s="212">
        <v>3.44</v>
      </c>
      <c r="FA47" s="212">
        <v>24.07</v>
      </c>
      <c r="FB47" s="331">
        <v>27.55</v>
      </c>
      <c r="FC47" s="212">
        <v>88.35</v>
      </c>
      <c r="FD47" s="212">
        <v>0.65</v>
      </c>
      <c r="FE47" s="212">
        <v>11.65</v>
      </c>
      <c r="FF47" s="212">
        <v>4.92</v>
      </c>
      <c r="FG47" s="211">
        <v>544.4</v>
      </c>
      <c r="FH47" s="212">
        <v>6.55</v>
      </c>
      <c r="FI47" s="212">
        <v>461.69</v>
      </c>
      <c r="FJ47" s="331">
        <v>627.11</v>
      </c>
      <c r="FK47" s="211">
        <v>507.55</v>
      </c>
      <c r="FL47" s="212">
        <v>6.69</v>
      </c>
      <c r="FM47" s="212">
        <v>427.86</v>
      </c>
      <c r="FN47" s="331">
        <v>587.23</v>
      </c>
      <c r="FO47" s="211">
        <v>22.17</v>
      </c>
      <c r="FP47" s="212">
        <v>3.17</v>
      </c>
      <c r="FQ47" s="212">
        <v>14.57</v>
      </c>
      <c r="FR47" s="331">
        <v>29.77</v>
      </c>
      <c r="FS47" s="211">
        <v>32.9</v>
      </c>
      <c r="FT47" s="212">
        <v>3.42</v>
      </c>
      <c r="FU47" s="212">
        <v>30.66</v>
      </c>
      <c r="FV47" s="331">
        <v>35.07</v>
      </c>
      <c r="FW47" s="212">
        <v>90.63</v>
      </c>
      <c r="FX47" s="212">
        <v>0.63</v>
      </c>
      <c r="FY47" s="212">
        <v>9.3699999999999992</v>
      </c>
      <c r="FZ47" s="212">
        <v>6.13</v>
      </c>
      <c r="GA47" s="211">
        <v>575.17999999999995</v>
      </c>
      <c r="GB47" s="212">
        <v>4.4800000000000004</v>
      </c>
      <c r="GC47" s="212">
        <v>515.95000000000005</v>
      </c>
      <c r="GD47" s="331">
        <v>634.41</v>
      </c>
      <c r="GE47" s="211">
        <v>537.01</v>
      </c>
      <c r="GF47" s="212">
        <v>4.4800000000000004</v>
      </c>
      <c r="GG47" s="212">
        <v>481.05</v>
      </c>
      <c r="GH47" s="331">
        <v>592.97</v>
      </c>
      <c r="GI47" s="211">
        <v>8.8800000000000008</v>
      </c>
      <c r="GJ47" s="212">
        <v>3.27</v>
      </c>
      <c r="GK47" s="212">
        <v>1.91</v>
      </c>
      <c r="GL47" s="331">
        <v>15.85</v>
      </c>
      <c r="GM47" s="211">
        <v>36.6</v>
      </c>
      <c r="GN47" s="212">
        <v>8.16</v>
      </c>
      <c r="GO47" s="212">
        <v>30.71</v>
      </c>
      <c r="GP47" s="331">
        <v>42.4</v>
      </c>
      <c r="GQ47" s="212">
        <v>97.33</v>
      </c>
      <c r="GR47" s="212">
        <v>0.23</v>
      </c>
      <c r="GS47" s="212">
        <v>2.67</v>
      </c>
      <c r="GT47" s="212">
        <v>8.26</v>
      </c>
      <c r="GU47" s="211">
        <v>1399.72</v>
      </c>
      <c r="GV47" s="212">
        <v>9.64</v>
      </c>
      <c r="GW47" s="212">
        <v>1116.28</v>
      </c>
      <c r="GX47" s="331">
        <v>1683.16</v>
      </c>
      <c r="GY47" s="211">
        <v>1314.77</v>
      </c>
      <c r="GZ47" s="212">
        <v>9.81</v>
      </c>
      <c r="HA47" s="212">
        <v>1042.6199999999999</v>
      </c>
      <c r="HB47" s="331">
        <v>1586.92</v>
      </c>
      <c r="HC47" s="211">
        <v>6.24</v>
      </c>
      <c r="HD47" s="212">
        <v>1.41</v>
      </c>
      <c r="HE47" s="212">
        <v>3.31</v>
      </c>
      <c r="HF47" s="331">
        <v>9.18</v>
      </c>
      <c r="HG47" s="211">
        <v>31.4</v>
      </c>
      <c r="HH47" s="212">
        <v>3.76</v>
      </c>
      <c r="HI47" s="212">
        <v>29.13</v>
      </c>
      <c r="HJ47" s="331">
        <v>33.76</v>
      </c>
      <c r="HK47" s="212">
        <v>98.47</v>
      </c>
      <c r="HL47" s="212">
        <v>0.11</v>
      </c>
      <c r="HM47" s="212">
        <v>1.53</v>
      </c>
      <c r="HN47" s="212">
        <v>6.8</v>
      </c>
      <c r="HO47" s="211">
        <v>280.48</v>
      </c>
      <c r="HP47" s="212">
        <v>4.58</v>
      </c>
      <c r="HQ47" s="212">
        <v>246.31</v>
      </c>
      <c r="HR47" s="331">
        <v>314.64999999999998</v>
      </c>
      <c r="HS47" s="211">
        <v>252.21</v>
      </c>
      <c r="HT47" s="212">
        <v>4.72</v>
      </c>
      <c r="HU47" s="212">
        <v>219.61</v>
      </c>
      <c r="HV47" s="331">
        <v>284.81</v>
      </c>
      <c r="HW47" s="211">
        <v>2.75</v>
      </c>
      <c r="HX47" s="212">
        <v>0.64</v>
      </c>
      <c r="HY47" s="212">
        <v>1.46</v>
      </c>
      <c r="HZ47" s="331">
        <v>4.04</v>
      </c>
      <c r="IA47" s="211">
        <v>30</v>
      </c>
      <c r="IB47" s="212">
        <v>4.5599999999999996</v>
      </c>
      <c r="IC47" s="212">
        <v>27.32</v>
      </c>
      <c r="ID47" s="331">
        <v>32.68</v>
      </c>
      <c r="IE47" s="211">
        <v>90.2</v>
      </c>
      <c r="IF47" s="212">
        <v>1.63</v>
      </c>
      <c r="IG47" s="212">
        <v>9.8000000000000007</v>
      </c>
      <c r="IH47" s="331">
        <v>14.98</v>
      </c>
    </row>
    <row r="48" spans="1:242" s="27" customFormat="1" ht="15.75" customHeight="1" x14ac:dyDescent="0.2">
      <c r="A48" s="26"/>
      <c r="B48" s="64" t="s">
        <v>8</v>
      </c>
      <c r="C48" s="209">
        <v>306.13</v>
      </c>
      <c r="D48" s="210">
        <v>5.29</v>
      </c>
      <c r="E48" s="210">
        <v>264.01</v>
      </c>
      <c r="F48" s="330">
        <v>348.25</v>
      </c>
      <c r="G48" s="209">
        <v>288.91000000000003</v>
      </c>
      <c r="H48" s="210">
        <v>5.44</v>
      </c>
      <c r="I48" s="210">
        <v>247.47</v>
      </c>
      <c r="J48" s="330">
        <v>330.35</v>
      </c>
      <c r="K48" s="209">
        <v>-11.8</v>
      </c>
      <c r="L48" s="210">
        <v>2.66</v>
      </c>
      <c r="M48" s="210">
        <v>-16.39</v>
      </c>
      <c r="N48" s="330">
        <v>-7.21</v>
      </c>
      <c r="O48" s="209">
        <v>33.9</v>
      </c>
      <c r="P48" s="210">
        <v>3.21</v>
      </c>
      <c r="Q48" s="210">
        <v>31.72</v>
      </c>
      <c r="R48" s="330">
        <v>35.99</v>
      </c>
      <c r="S48" s="210">
        <v>64.5</v>
      </c>
      <c r="T48" s="210">
        <v>2.61</v>
      </c>
      <c r="U48" s="210">
        <v>35.5</v>
      </c>
      <c r="V48" s="210">
        <v>4.75</v>
      </c>
      <c r="W48" s="209">
        <v>6136.13</v>
      </c>
      <c r="X48" s="210">
        <v>13.89</v>
      </c>
      <c r="Y48" s="210">
        <v>4437.95</v>
      </c>
      <c r="Z48" s="330">
        <v>7834.31</v>
      </c>
      <c r="AA48" s="209">
        <v>5657.09</v>
      </c>
      <c r="AB48" s="210">
        <v>14.43</v>
      </c>
      <c r="AC48" s="210">
        <v>4029.26</v>
      </c>
      <c r="AD48" s="330">
        <v>7284.93</v>
      </c>
      <c r="AE48" s="209">
        <v>19.559999999999999</v>
      </c>
      <c r="AF48" s="210">
        <v>1.77</v>
      </c>
      <c r="AG48" s="210">
        <v>15.42</v>
      </c>
      <c r="AH48" s="330">
        <v>23.7</v>
      </c>
      <c r="AI48" s="209">
        <v>56.1</v>
      </c>
      <c r="AJ48" s="210">
        <v>1.9</v>
      </c>
      <c r="AK48" s="210">
        <v>54.05</v>
      </c>
      <c r="AL48" s="330">
        <v>58.24</v>
      </c>
      <c r="AM48" s="210">
        <v>80.86</v>
      </c>
      <c r="AN48" s="210">
        <v>1.05</v>
      </c>
      <c r="AO48" s="210">
        <v>19.14</v>
      </c>
      <c r="AP48" s="210">
        <v>4.43</v>
      </c>
      <c r="AQ48" s="209">
        <v>1645.84</v>
      </c>
      <c r="AR48" s="210">
        <v>8.6300000000000008</v>
      </c>
      <c r="AS48" s="210">
        <v>1350.38</v>
      </c>
      <c r="AT48" s="330">
        <v>1941.3</v>
      </c>
      <c r="AU48" s="209">
        <v>1489.25</v>
      </c>
      <c r="AV48" s="210">
        <v>8.5299999999999994</v>
      </c>
      <c r="AW48" s="210">
        <v>1223.55</v>
      </c>
      <c r="AX48" s="330">
        <v>1754.94</v>
      </c>
      <c r="AY48" s="209">
        <v>13.26</v>
      </c>
      <c r="AZ48" s="210">
        <v>1.69</v>
      </c>
      <c r="BA48" s="210">
        <v>9.52</v>
      </c>
      <c r="BB48" s="330">
        <v>17.010000000000002</v>
      </c>
      <c r="BC48" s="209">
        <v>35.6</v>
      </c>
      <c r="BD48" s="210">
        <v>3.43</v>
      </c>
      <c r="BE48" s="210">
        <v>33.17</v>
      </c>
      <c r="BF48" s="330">
        <v>37.96</v>
      </c>
      <c r="BG48" s="210">
        <v>98.31</v>
      </c>
      <c r="BH48" s="210">
        <v>0.12</v>
      </c>
      <c r="BI48" s="210">
        <v>1.69</v>
      </c>
      <c r="BJ48" s="210">
        <v>7.19</v>
      </c>
      <c r="BK48" s="209">
        <v>1473.23</v>
      </c>
      <c r="BL48" s="210">
        <v>4.2300000000000004</v>
      </c>
      <c r="BM48" s="210">
        <v>1342.9</v>
      </c>
      <c r="BN48" s="330">
        <v>1603.55</v>
      </c>
      <c r="BO48" s="209">
        <v>1323.2</v>
      </c>
      <c r="BP48" s="210">
        <v>4.2300000000000004</v>
      </c>
      <c r="BQ48" s="210">
        <v>1205.33</v>
      </c>
      <c r="BR48" s="330">
        <v>1441.06</v>
      </c>
      <c r="BS48" s="209">
        <v>35.1</v>
      </c>
      <c r="BT48" s="210">
        <v>2.21</v>
      </c>
      <c r="BU48" s="210">
        <v>29.26</v>
      </c>
      <c r="BV48" s="330">
        <v>40.94</v>
      </c>
      <c r="BW48" s="209">
        <v>52.1</v>
      </c>
      <c r="BX48" s="210">
        <v>1.97</v>
      </c>
      <c r="BY48" s="210">
        <v>50.07</v>
      </c>
      <c r="BZ48" s="330">
        <v>54.09</v>
      </c>
      <c r="CA48" s="210">
        <v>91.1</v>
      </c>
      <c r="CB48" s="210">
        <v>0.6</v>
      </c>
      <c r="CC48" s="210">
        <v>8.9</v>
      </c>
      <c r="CD48" s="210">
        <v>6.1</v>
      </c>
      <c r="CE48" s="209">
        <v>1327.44</v>
      </c>
      <c r="CF48" s="210">
        <v>4.8499999999999996</v>
      </c>
      <c r="CG48" s="210">
        <v>1191.74</v>
      </c>
      <c r="CH48" s="330">
        <v>1463.13</v>
      </c>
      <c r="CI48" s="209">
        <v>1221.8399999999999</v>
      </c>
      <c r="CJ48" s="210">
        <v>5.08</v>
      </c>
      <c r="CK48" s="210">
        <v>1090.21</v>
      </c>
      <c r="CL48" s="330">
        <v>1353.47</v>
      </c>
      <c r="CM48" s="209">
        <v>44.72</v>
      </c>
      <c r="CN48" s="210">
        <v>2.15</v>
      </c>
      <c r="CO48" s="210">
        <v>38.619999999999997</v>
      </c>
      <c r="CP48" s="330">
        <v>50.82</v>
      </c>
      <c r="CQ48" s="209">
        <v>41.1</v>
      </c>
      <c r="CR48" s="210">
        <v>2.48</v>
      </c>
      <c r="CS48" s="210">
        <v>39.130000000000003</v>
      </c>
      <c r="CT48" s="330">
        <v>43.13</v>
      </c>
      <c r="CU48" s="210">
        <v>94.48</v>
      </c>
      <c r="CV48" s="210">
        <v>0.26</v>
      </c>
      <c r="CW48" s="210">
        <v>5.52</v>
      </c>
      <c r="CX48" s="210">
        <v>4.47</v>
      </c>
      <c r="CY48" s="209">
        <v>561.9</v>
      </c>
      <c r="CZ48" s="210">
        <v>6.39</v>
      </c>
      <c r="DA48" s="210">
        <v>478.99</v>
      </c>
      <c r="DB48" s="330">
        <v>644.80999999999995</v>
      </c>
      <c r="DC48" s="209">
        <v>503.16</v>
      </c>
      <c r="DD48" s="210">
        <v>6.42</v>
      </c>
      <c r="DE48" s="210">
        <v>427.32</v>
      </c>
      <c r="DF48" s="330">
        <v>579.01</v>
      </c>
      <c r="DG48" s="209">
        <v>25.97</v>
      </c>
      <c r="DH48" s="210">
        <v>2.86</v>
      </c>
      <c r="DI48" s="210">
        <v>18.91</v>
      </c>
      <c r="DJ48" s="330">
        <v>33.03</v>
      </c>
      <c r="DK48" s="209">
        <v>48.5</v>
      </c>
      <c r="DL48" s="210">
        <v>2.2200000000000002</v>
      </c>
      <c r="DM48" s="210">
        <v>46.38</v>
      </c>
      <c r="DN48" s="330">
        <v>50.59</v>
      </c>
      <c r="DO48" s="210">
        <v>81.05</v>
      </c>
      <c r="DP48" s="210">
        <v>1.48</v>
      </c>
      <c r="DQ48" s="210">
        <v>18.95</v>
      </c>
      <c r="DR48" s="210">
        <v>6.33</v>
      </c>
      <c r="DS48" s="209">
        <v>0</v>
      </c>
      <c r="DT48" s="210">
        <v>0</v>
      </c>
      <c r="DU48" s="210">
        <v>0</v>
      </c>
      <c r="DV48" s="330">
        <v>0</v>
      </c>
      <c r="DW48" s="209">
        <v>0</v>
      </c>
      <c r="DX48" s="210">
        <v>0</v>
      </c>
      <c r="DY48" s="210">
        <v>0</v>
      </c>
      <c r="DZ48" s="330">
        <v>0</v>
      </c>
      <c r="EA48" s="209">
        <v>34.200000000000003</v>
      </c>
      <c r="EB48" s="210">
        <v>0.79</v>
      </c>
      <c r="EC48" s="210">
        <v>32.11</v>
      </c>
      <c r="ED48" s="330">
        <v>36.29</v>
      </c>
      <c r="EE48" s="209">
        <v>70.3</v>
      </c>
      <c r="EF48" s="210">
        <v>1.3</v>
      </c>
      <c r="EG48" s="210">
        <v>68.52</v>
      </c>
      <c r="EH48" s="330">
        <v>72.12</v>
      </c>
      <c r="EI48" s="210">
        <v>86.34</v>
      </c>
      <c r="EJ48" s="210">
        <v>0.34</v>
      </c>
      <c r="EK48" s="210">
        <v>13.66</v>
      </c>
      <c r="EL48" s="210">
        <v>2.15</v>
      </c>
      <c r="EM48" s="209">
        <v>532.03</v>
      </c>
      <c r="EN48" s="210">
        <v>7.55</v>
      </c>
      <c r="EO48" s="210">
        <v>438.52</v>
      </c>
      <c r="EP48" s="330">
        <v>625.54</v>
      </c>
      <c r="EQ48" s="209">
        <v>481.54</v>
      </c>
      <c r="ER48" s="210">
        <v>7.42</v>
      </c>
      <c r="ES48" s="210">
        <v>396.98</v>
      </c>
      <c r="ET48" s="330">
        <v>566.1</v>
      </c>
      <c r="EU48" s="209">
        <v>0.03</v>
      </c>
      <c r="EV48" s="210">
        <v>2.85</v>
      </c>
      <c r="EW48" s="210">
        <v>-5.55</v>
      </c>
      <c r="EX48" s="330">
        <v>5.61</v>
      </c>
      <c r="EY48" s="209">
        <v>33.799999999999997</v>
      </c>
      <c r="EZ48" s="210">
        <v>3.13</v>
      </c>
      <c r="FA48" s="210">
        <v>31.69</v>
      </c>
      <c r="FB48" s="330">
        <v>35.840000000000003</v>
      </c>
      <c r="FC48" s="210">
        <v>87.87</v>
      </c>
      <c r="FD48" s="210">
        <v>0.67</v>
      </c>
      <c r="FE48" s="210">
        <v>12.13</v>
      </c>
      <c r="FF48" s="210">
        <v>4.88</v>
      </c>
      <c r="FG48" s="209">
        <v>475.15</v>
      </c>
      <c r="FH48" s="210">
        <v>4.3600000000000003</v>
      </c>
      <c r="FI48" s="210">
        <v>426.01</v>
      </c>
      <c r="FJ48" s="330">
        <v>524.29999999999995</v>
      </c>
      <c r="FK48" s="209">
        <v>430.13</v>
      </c>
      <c r="FL48" s="210">
        <v>4.4800000000000004</v>
      </c>
      <c r="FM48" s="210">
        <v>383.63</v>
      </c>
      <c r="FN48" s="330">
        <v>476.64</v>
      </c>
      <c r="FO48" s="209">
        <v>34.5</v>
      </c>
      <c r="FP48" s="210">
        <v>3.14</v>
      </c>
      <c r="FQ48" s="210">
        <v>26.21</v>
      </c>
      <c r="FR48" s="330">
        <v>42.79</v>
      </c>
      <c r="FS48" s="209">
        <v>37.799999999999997</v>
      </c>
      <c r="FT48" s="210">
        <v>3.07</v>
      </c>
      <c r="FU48" s="210">
        <v>35.53</v>
      </c>
      <c r="FV48" s="330">
        <v>40.090000000000003</v>
      </c>
      <c r="FW48" s="210">
        <v>89.14</v>
      </c>
      <c r="FX48" s="210">
        <v>0.56999999999999995</v>
      </c>
      <c r="FY48" s="210">
        <v>10.86</v>
      </c>
      <c r="FZ48" s="210">
        <v>4.7</v>
      </c>
      <c r="GA48" s="209">
        <v>422.73</v>
      </c>
      <c r="GB48" s="210">
        <v>6.03</v>
      </c>
      <c r="GC48" s="210">
        <v>360.99</v>
      </c>
      <c r="GD48" s="330">
        <v>484.47</v>
      </c>
      <c r="GE48" s="209">
        <v>381.06</v>
      </c>
      <c r="GF48" s="210">
        <v>6.04</v>
      </c>
      <c r="GG48" s="210">
        <v>324.12</v>
      </c>
      <c r="GH48" s="330">
        <v>438</v>
      </c>
      <c r="GI48" s="209">
        <v>25.95</v>
      </c>
      <c r="GJ48" s="210">
        <v>2.77</v>
      </c>
      <c r="GK48" s="210">
        <v>19.13</v>
      </c>
      <c r="GL48" s="330">
        <v>32.78</v>
      </c>
      <c r="GM48" s="209">
        <v>36.9</v>
      </c>
      <c r="GN48" s="210">
        <v>4.75</v>
      </c>
      <c r="GO48" s="210">
        <v>33.51</v>
      </c>
      <c r="GP48" s="330">
        <v>40.380000000000003</v>
      </c>
      <c r="GQ48" s="210">
        <v>97.63</v>
      </c>
      <c r="GR48" s="210">
        <v>0.12</v>
      </c>
      <c r="GS48" s="210">
        <v>2.37</v>
      </c>
      <c r="GT48" s="210">
        <v>5.0199999999999996</v>
      </c>
      <c r="GU48" s="209">
        <v>996.18</v>
      </c>
      <c r="GV48" s="210">
        <v>7.07</v>
      </c>
      <c r="GW48" s="210">
        <v>844.28</v>
      </c>
      <c r="GX48" s="330">
        <v>1148.08</v>
      </c>
      <c r="GY48" s="209">
        <v>902.07</v>
      </c>
      <c r="GZ48" s="210">
        <v>7.12</v>
      </c>
      <c r="HA48" s="210">
        <v>762.25</v>
      </c>
      <c r="HB48" s="330">
        <v>1041.8800000000001</v>
      </c>
      <c r="HC48" s="209">
        <v>22.14</v>
      </c>
      <c r="HD48" s="210">
        <v>1.52</v>
      </c>
      <c r="HE48" s="210">
        <v>18.5</v>
      </c>
      <c r="HF48" s="330">
        <v>25.78</v>
      </c>
      <c r="HG48" s="209">
        <v>35.5</v>
      </c>
      <c r="HH48" s="210">
        <v>3.28</v>
      </c>
      <c r="HI48" s="210">
        <v>33.21</v>
      </c>
      <c r="HJ48" s="330">
        <v>37.770000000000003</v>
      </c>
      <c r="HK48" s="210">
        <v>97.97</v>
      </c>
      <c r="HL48" s="210">
        <v>0.11</v>
      </c>
      <c r="HM48" s="210">
        <v>2.0299999999999998</v>
      </c>
      <c r="HN48" s="210">
        <v>5.34</v>
      </c>
      <c r="HO48" s="209">
        <v>349.3</v>
      </c>
      <c r="HP48" s="210">
        <v>4.03</v>
      </c>
      <c r="HQ48" s="210">
        <v>313.8</v>
      </c>
      <c r="HR48" s="330">
        <v>384.81</v>
      </c>
      <c r="HS48" s="209">
        <v>318.95</v>
      </c>
      <c r="HT48" s="210">
        <v>4.2</v>
      </c>
      <c r="HU48" s="210">
        <v>284.44</v>
      </c>
      <c r="HV48" s="330">
        <v>353.47</v>
      </c>
      <c r="HW48" s="209">
        <v>15.6</v>
      </c>
      <c r="HX48" s="210">
        <v>1.06</v>
      </c>
      <c r="HY48" s="210">
        <v>13.21</v>
      </c>
      <c r="HZ48" s="330">
        <v>18</v>
      </c>
      <c r="IA48" s="209">
        <v>38.5</v>
      </c>
      <c r="IB48" s="210">
        <v>5.0999999999999996</v>
      </c>
      <c r="IC48" s="210">
        <v>34.65</v>
      </c>
      <c r="ID48" s="330">
        <v>42.35</v>
      </c>
      <c r="IE48" s="209">
        <v>91.21</v>
      </c>
      <c r="IF48" s="210">
        <v>1.06</v>
      </c>
      <c r="IG48" s="210">
        <v>8.7899999999999991</v>
      </c>
      <c r="IH48" s="330">
        <v>11.02</v>
      </c>
    </row>
    <row r="49" spans="1:242" s="27" customFormat="1" ht="15.75" customHeight="1" x14ac:dyDescent="0.2">
      <c r="A49" s="26"/>
      <c r="B49" s="28" t="s">
        <v>9</v>
      </c>
      <c r="C49" s="211">
        <v>325.54000000000002</v>
      </c>
      <c r="D49" s="212">
        <v>4.67</v>
      </c>
      <c r="E49" s="212">
        <v>286.62</v>
      </c>
      <c r="F49" s="331">
        <v>364.47</v>
      </c>
      <c r="G49" s="211">
        <v>315.39</v>
      </c>
      <c r="H49" s="212">
        <v>4.8600000000000003</v>
      </c>
      <c r="I49" s="212">
        <v>275.81</v>
      </c>
      <c r="J49" s="331">
        <v>354.98</v>
      </c>
      <c r="K49" s="211">
        <v>-3.82</v>
      </c>
      <c r="L49" s="212">
        <v>2.76</v>
      </c>
      <c r="M49" s="212">
        <v>-9.0299999999999994</v>
      </c>
      <c r="N49" s="331">
        <v>1.39</v>
      </c>
      <c r="O49" s="211">
        <v>38.4</v>
      </c>
      <c r="P49" s="212">
        <v>3.28</v>
      </c>
      <c r="Q49" s="212">
        <v>35.96</v>
      </c>
      <c r="R49" s="331">
        <v>40.89</v>
      </c>
      <c r="S49" s="212">
        <v>63.7</v>
      </c>
      <c r="T49" s="212">
        <v>1.99</v>
      </c>
      <c r="U49" s="212">
        <v>36.299999999999997</v>
      </c>
      <c r="V49" s="212">
        <v>3.49</v>
      </c>
      <c r="W49" s="211">
        <v>6658.8</v>
      </c>
      <c r="X49" s="212">
        <v>8.75</v>
      </c>
      <c r="Y49" s="212">
        <v>5500.2</v>
      </c>
      <c r="Z49" s="331">
        <v>7817.39</v>
      </c>
      <c r="AA49" s="211">
        <v>6249.39</v>
      </c>
      <c r="AB49" s="212">
        <v>8.98</v>
      </c>
      <c r="AC49" s="212">
        <v>5131.38</v>
      </c>
      <c r="AD49" s="331">
        <v>7367.41</v>
      </c>
      <c r="AE49" s="211">
        <v>26.9</v>
      </c>
      <c r="AF49" s="212">
        <v>1.78</v>
      </c>
      <c r="AG49" s="212">
        <v>22.48</v>
      </c>
      <c r="AH49" s="331">
        <v>31.32</v>
      </c>
      <c r="AI49" s="211">
        <v>57.5</v>
      </c>
      <c r="AJ49" s="212">
        <v>1.69</v>
      </c>
      <c r="AK49" s="212">
        <v>55.6</v>
      </c>
      <c r="AL49" s="331">
        <v>59.4</v>
      </c>
      <c r="AM49" s="212">
        <v>75.08</v>
      </c>
      <c r="AN49" s="212">
        <v>0.95</v>
      </c>
      <c r="AO49" s="212">
        <v>24.92</v>
      </c>
      <c r="AP49" s="212">
        <v>2.87</v>
      </c>
      <c r="AQ49" s="211">
        <v>1012.59</v>
      </c>
      <c r="AR49" s="212">
        <v>10.83</v>
      </c>
      <c r="AS49" s="212">
        <v>776.39</v>
      </c>
      <c r="AT49" s="331">
        <v>1248.8</v>
      </c>
      <c r="AU49" s="211">
        <v>915.61</v>
      </c>
      <c r="AV49" s="212">
        <v>10.98</v>
      </c>
      <c r="AW49" s="212">
        <v>696.99</v>
      </c>
      <c r="AX49" s="331">
        <v>1134.22</v>
      </c>
      <c r="AY49" s="211">
        <v>17.79</v>
      </c>
      <c r="AZ49" s="212">
        <v>1.71</v>
      </c>
      <c r="BA49" s="212">
        <v>13.85</v>
      </c>
      <c r="BB49" s="331">
        <v>21.74</v>
      </c>
      <c r="BC49" s="211">
        <v>34.200000000000003</v>
      </c>
      <c r="BD49" s="212">
        <v>3.78</v>
      </c>
      <c r="BE49" s="212">
        <v>31.66</v>
      </c>
      <c r="BF49" s="331">
        <v>36.729999999999997</v>
      </c>
      <c r="BG49" s="212">
        <v>97.73</v>
      </c>
      <c r="BH49" s="212">
        <v>0.15</v>
      </c>
      <c r="BI49" s="212">
        <v>2.27</v>
      </c>
      <c r="BJ49" s="212">
        <v>6.53</v>
      </c>
      <c r="BK49" s="211">
        <v>1403.63</v>
      </c>
      <c r="BL49" s="212">
        <v>7.16</v>
      </c>
      <c r="BM49" s="212">
        <v>1192.56</v>
      </c>
      <c r="BN49" s="331">
        <v>1614.7</v>
      </c>
      <c r="BO49" s="211">
        <v>1273.79</v>
      </c>
      <c r="BP49" s="212">
        <v>7.1</v>
      </c>
      <c r="BQ49" s="212">
        <v>1082.51</v>
      </c>
      <c r="BR49" s="331">
        <v>1465.07</v>
      </c>
      <c r="BS49" s="211">
        <v>49.07</v>
      </c>
      <c r="BT49" s="212">
        <v>2.4300000000000002</v>
      </c>
      <c r="BU49" s="212">
        <v>41.95</v>
      </c>
      <c r="BV49" s="331">
        <v>56.18</v>
      </c>
      <c r="BW49" s="211">
        <v>52.7</v>
      </c>
      <c r="BX49" s="212">
        <v>2.04</v>
      </c>
      <c r="BY49" s="212">
        <v>50.56</v>
      </c>
      <c r="BZ49" s="331">
        <v>54.77</v>
      </c>
      <c r="CA49" s="212">
        <v>88.9</v>
      </c>
      <c r="CB49" s="212">
        <v>0.69</v>
      </c>
      <c r="CC49" s="212">
        <v>11.1</v>
      </c>
      <c r="CD49" s="212">
        <v>5.56</v>
      </c>
      <c r="CE49" s="211">
        <v>582.45000000000005</v>
      </c>
      <c r="CF49" s="212">
        <v>3.21</v>
      </c>
      <c r="CG49" s="212">
        <v>539.58000000000004</v>
      </c>
      <c r="CH49" s="331">
        <v>625.33000000000004</v>
      </c>
      <c r="CI49" s="211">
        <v>536.16</v>
      </c>
      <c r="CJ49" s="212">
        <v>3.33</v>
      </c>
      <c r="CK49" s="212">
        <v>494.58</v>
      </c>
      <c r="CL49" s="331">
        <v>577.74</v>
      </c>
      <c r="CM49" s="211">
        <v>51.79</v>
      </c>
      <c r="CN49" s="212">
        <v>1.66</v>
      </c>
      <c r="CO49" s="212">
        <v>46.84</v>
      </c>
      <c r="CP49" s="331">
        <v>56.73</v>
      </c>
      <c r="CQ49" s="211">
        <v>41.3</v>
      </c>
      <c r="CR49" s="212">
        <v>2.71</v>
      </c>
      <c r="CS49" s="212">
        <v>39.119999999999997</v>
      </c>
      <c r="CT49" s="331">
        <v>43.51</v>
      </c>
      <c r="CU49" s="212">
        <v>95.03</v>
      </c>
      <c r="CV49" s="212">
        <v>0.36</v>
      </c>
      <c r="CW49" s="212">
        <v>4.97</v>
      </c>
      <c r="CX49" s="212">
        <v>6.87</v>
      </c>
      <c r="CY49" s="211">
        <v>637.82000000000005</v>
      </c>
      <c r="CZ49" s="212">
        <v>8.2200000000000006</v>
      </c>
      <c r="DA49" s="212">
        <v>518.95000000000005</v>
      </c>
      <c r="DB49" s="331">
        <v>756.68</v>
      </c>
      <c r="DC49" s="211">
        <v>584.79</v>
      </c>
      <c r="DD49" s="212">
        <v>8.34</v>
      </c>
      <c r="DE49" s="212">
        <v>472.9</v>
      </c>
      <c r="DF49" s="331">
        <v>696.67</v>
      </c>
      <c r="DG49" s="211">
        <v>33.590000000000003</v>
      </c>
      <c r="DH49" s="212">
        <v>2.81</v>
      </c>
      <c r="DI49" s="212">
        <v>26.23</v>
      </c>
      <c r="DJ49" s="331">
        <v>40.950000000000003</v>
      </c>
      <c r="DK49" s="211">
        <v>50.2</v>
      </c>
      <c r="DL49" s="212">
        <v>2.17</v>
      </c>
      <c r="DM49" s="212">
        <v>48.1</v>
      </c>
      <c r="DN49" s="331">
        <v>52.37</v>
      </c>
      <c r="DO49" s="212">
        <v>77.66</v>
      </c>
      <c r="DP49" s="212">
        <v>1.53</v>
      </c>
      <c r="DQ49" s="212">
        <v>22.34</v>
      </c>
      <c r="DR49" s="212">
        <v>5.31</v>
      </c>
      <c r="DS49" s="211">
        <v>1281709.21</v>
      </c>
      <c r="DT49" s="212">
        <v>1.28</v>
      </c>
      <c r="DU49" s="212">
        <v>1249573.8899999999</v>
      </c>
      <c r="DV49" s="331">
        <v>1313844.53</v>
      </c>
      <c r="DW49" s="211">
        <v>1287306.98</v>
      </c>
      <c r="DX49" s="212">
        <v>1.28</v>
      </c>
      <c r="DY49" s="212">
        <v>1255035.43</v>
      </c>
      <c r="DZ49" s="331">
        <v>1319578.53</v>
      </c>
      <c r="EA49" s="211">
        <v>39.020000000000003</v>
      </c>
      <c r="EB49" s="212">
        <v>0.75</v>
      </c>
      <c r="EC49" s="212">
        <v>36.979999999999997</v>
      </c>
      <c r="ED49" s="331">
        <v>41.05</v>
      </c>
      <c r="EE49" s="211">
        <v>71</v>
      </c>
      <c r="EF49" s="212">
        <v>1.2</v>
      </c>
      <c r="EG49" s="212">
        <v>69.28</v>
      </c>
      <c r="EH49" s="331">
        <v>72.63</v>
      </c>
      <c r="EI49" s="212">
        <v>87.73</v>
      </c>
      <c r="EJ49" s="212">
        <v>0.34</v>
      </c>
      <c r="EK49" s="212">
        <v>12.27</v>
      </c>
      <c r="EL49" s="212">
        <v>2.42</v>
      </c>
      <c r="EM49" s="211">
        <v>528.27</v>
      </c>
      <c r="EN49" s="212">
        <v>5.03</v>
      </c>
      <c r="EO49" s="212">
        <v>466.35</v>
      </c>
      <c r="EP49" s="331">
        <v>590.20000000000005</v>
      </c>
      <c r="EQ49" s="211">
        <v>480.1</v>
      </c>
      <c r="ER49" s="212">
        <v>5.08</v>
      </c>
      <c r="ES49" s="212">
        <v>422.34</v>
      </c>
      <c r="ET49" s="331">
        <v>537.85</v>
      </c>
      <c r="EU49" s="211">
        <v>14.41</v>
      </c>
      <c r="EV49" s="212">
        <v>2.0499999999999998</v>
      </c>
      <c r="EW49" s="212">
        <v>9.81</v>
      </c>
      <c r="EX49" s="331">
        <v>19.010000000000002</v>
      </c>
      <c r="EY49" s="211">
        <v>36.5</v>
      </c>
      <c r="EZ49" s="212">
        <v>2.64</v>
      </c>
      <c r="FA49" s="212">
        <v>34.58</v>
      </c>
      <c r="FB49" s="331">
        <v>38.35</v>
      </c>
      <c r="FC49" s="212">
        <v>86.99</v>
      </c>
      <c r="FD49" s="212">
        <v>0.51</v>
      </c>
      <c r="FE49" s="212">
        <v>13.01</v>
      </c>
      <c r="FF49" s="212">
        <v>3.38</v>
      </c>
      <c r="FG49" s="211">
        <v>433.04</v>
      </c>
      <c r="FH49" s="212">
        <v>4.2699999999999996</v>
      </c>
      <c r="FI49" s="212">
        <v>388.39</v>
      </c>
      <c r="FJ49" s="331">
        <v>477.68</v>
      </c>
      <c r="FK49" s="211">
        <v>395.02</v>
      </c>
      <c r="FL49" s="212">
        <v>4.3899999999999997</v>
      </c>
      <c r="FM49" s="212">
        <v>352.43</v>
      </c>
      <c r="FN49" s="331">
        <v>437.61</v>
      </c>
      <c r="FO49" s="211">
        <v>42.96</v>
      </c>
      <c r="FP49" s="212">
        <v>3.03</v>
      </c>
      <c r="FQ49" s="212">
        <v>34.46</v>
      </c>
      <c r="FR49" s="331">
        <v>51.46</v>
      </c>
      <c r="FS49" s="211">
        <v>41.9</v>
      </c>
      <c r="FT49" s="212">
        <v>3.16</v>
      </c>
      <c r="FU49" s="212">
        <v>39.270000000000003</v>
      </c>
      <c r="FV49" s="331">
        <v>44.47</v>
      </c>
      <c r="FW49" s="212">
        <v>88.93</v>
      </c>
      <c r="FX49" s="212">
        <v>0.68</v>
      </c>
      <c r="FY49" s="212">
        <v>11.07</v>
      </c>
      <c r="FZ49" s="212">
        <v>5.46</v>
      </c>
      <c r="GA49" s="211">
        <v>403.3</v>
      </c>
      <c r="GB49" s="212">
        <v>10.24</v>
      </c>
      <c r="GC49" s="212">
        <v>302.25</v>
      </c>
      <c r="GD49" s="331">
        <v>504.34</v>
      </c>
      <c r="GE49" s="211">
        <v>367.71</v>
      </c>
      <c r="GF49" s="212">
        <v>10.28</v>
      </c>
      <c r="GG49" s="212">
        <v>273.5</v>
      </c>
      <c r="GH49" s="331">
        <v>461.92</v>
      </c>
      <c r="GI49" s="211">
        <v>32.549999999999997</v>
      </c>
      <c r="GJ49" s="212">
        <v>3.09</v>
      </c>
      <c r="GK49" s="212">
        <v>24.52</v>
      </c>
      <c r="GL49" s="331">
        <v>40.58</v>
      </c>
      <c r="GM49" s="211">
        <v>38.200000000000003</v>
      </c>
      <c r="GN49" s="212">
        <v>5.39</v>
      </c>
      <c r="GO49" s="212">
        <v>34.18</v>
      </c>
      <c r="GP49" s="331">
        <v>42.26</v>
      </c>
      <c r="GQ49" s="212">
        <v>97.79</v>
      </c>
      <c r="GR49" s="212">
        <v>0.12</v>
      </c>
      <c r="GS49" s="212">
        <v>2.21</v>
      </c>
      <c r="GT49" s="212">
        <v>5.13</v>
      </c>
      <c r="GU49" s="211">
        <v>822.31</v>
      </c>
      <c r="GV49" s="212">
        <v>5.16</v>
      </c>
      <c r="GW49" s="212">
        <v>729.02</v>
      </c>
      <c r="GX49" s="331">
        <v>915.61</v>
      </c>
      <c r="GY49" s="211">
        <v>753.43</v>
      </c>
      <c r="GZ49" s="212">
        <v>5.23</v>
      </c>
      <c r="HA49" s="212">
        <v>665.99</v>
      </c>
      <c r="HB49" s="331">
        <v>840.88</v>
      </c>
      <c r="HC49" s="211">
        <v>28.31</v>
      </c>
      <c r="HD49" s="212">
        <v>1.51</v>
      </c>
      <c r="HE49" s="212">
        <v>24.52</v>
      </c>
      <c r="HF49" s="331">
        <v>32.1</v>
      </c>
      <c r="HG49" s="211">
        <v>36.299999999999997</v>
      </c>
      <c r="HH49" s="212">
        <v>3.05</v>
      </c>
      <c r="HI49" s="212">
        <v>34.15</v>
      </c>
      <c r="HJ49" s="331">
        <v>38.49</v>
      </c>
      <c r="HK49" s="212">
        <v>97.85</v>
      </c>
      <c r="HL49" s="212">
        <v>0.06</v>
      </c>
      <c r="HM49" s="212">
        <v>2.15</v>
      </c>
      <c r="HN49" s="212">
        <v>2.94</v>
      </c>
      <c r="HO49" s="211">
        <v>481.31</v>
      </c>
      <c r="HP49" s="212">
        <v>3.2</v>
      </c>
      <c r="HQ49" s="212">
        <v>444.88</v>
      </c>
      <c r="HR49" s="331">
        <v>517.75</v>
      </c>
      <c r="HS49" s="211">
        <v>432.99</v>
      </c>
      <c r="HT49" s="212">
        <v>3.21</v>
      </c>
      <c r="HU49" s="212">
        <v>399.46</v>
      </c>
      <c r="HV49" s="331">
        <v>466.52</v>
      </c>
      <c r="HW49" s="211">
        <v>27.74</v>
      </c>
      <c r="HX49" s="212">
        <v>0.97</v>
      </c>
      <c r="HY49" s="212">
        <v>25.32</v>
      </c>
      <c r="HZ49" s="331">
        <v>30.16</v>
      </c>
      <c r="IA49" s="211">
        <v>42.9</v>
      </c>
      <c r="IB49" s="212">
        <v>3.85</v>
      </c>
      <c r="IC49" s="212">
        <v>39.619999999999997</v>
      </c>
      <c r="ID49" s="331">
        <v>46.08</v>
      </c>
      <c r="IE49" s="211">
        <v>90.46</v>
      </c>
      <c r="IF49" s="212">
        <v>0.9</v>
      </c>
      <c r="IG49" s="212">
        <v>9.5399999999999991</v>
      </c>
      <c r="IH49" s="331">
        <v>8.52</v>
      </c>
    </row>
    <row r="50" spans="1:242" s="27" customFormat="1" ht="15.75" customHeight="1" x14ac:dyDescent="0.2">
      <c r="A50" s="26"/>
      <c r="B50" s="64" t="s">
        <v>10</v>
      </c>
      <c r="C50" s="209">
        <v>266.82</v>
      </c>
      <c r="D50" s="210">
        <v>3.72</v>
      </c>
      <c r="E50" s="210">
        <v>240.09</v>
      </c>
      <c r="F50" s="330">
        <v>293.55</v>
      </c>
      <c r="G50" s="209">
        <v>257.64</v>
      </c>
      <c r="H50" s="210">
        <v>3.82</v>
      </c>
      <c r="I50" s="210">
        <v>230.86</v>
      </c>
      <c r="J50" s="330">
        <v>284.42</v>
      </c>
      <c r="K50" s="209">
        <v>6.32</v>
      </c>
      <c r="L50" s="210">
        <v>2.59</v>
      </c>
      <c r="M50" s="210">
        <v>0.92</v>
      </c>
      <c r="N50" s="330">
        <v>11.72</v>
      </c>
      <c r="O50" s="209">
        <v>42.6</v>
      </c>
      <c r="P50" s="210">
        <v>2.74</v>
      </c>
      <c r="Q50" s="210">
        <v>40.299999999999997</v>
      </c>
      <c r="R50" s="330">
        <v>44.87</v>
      </c>
      <c r="S50" s="210">
        <v>66.17</v>
      </c>
      <c r="T50" s="210">
        <v>2.06</v>
      </c>
      <c r="U50" s="210">
        <v>33.83</v>
      </c>
      <c r="V50" s="210">
        <v>4.0199999999999996</v>
      </c>
      <c r="W50" s="209">
        <v>1327.07</v>
      </c>
      <c r="X50" s="210">
        <v>3.26</v>
      </c>
      <c r="Y50" s="210">
        <v>1235.83</v>
      </c>
      <c r="Z50" s="330">
        <v>1418.31</v>
      </c>
      <c r="AA50" s="209">
        <v>1250.6600000000001</v>
      </c>
      <c r="AB50" s="210">
        <v>3.28</v>
      </c>
      <c r="AC50" s="210">
        <v>1163.75</v>
      </c>
      <c r="AD50" s="330">
        <v>1337.57</v>
      </c>
      <c r="AE50" s="209">
        <v>29.35</v>
      </c>
      <c r="AF50" s="210">
        <v>1.8</v>
      </c>
      <c r="AG50" s="210">
        <v>24.79</v>
      </c>
      <c r="AH50" s="330">
        <v>33.909999999999997</v>
      </c>
      <c r="AI50" s="209">
        <v>57.8</v>
      </c>
      <c r="AJ50" s="210">
        <v>1.7</v>
      </c>
      <c r="AK50" s="210">
        <v>55.83</v>
      </c>
      <c r="AL50" s="330">
        <v>59.68</v>
      </c>
      <c r="AM50" s="210">
        <v>75.03</v>
      </c>
      <c r="AN50" s="210">
        <v>1.46</v>
      </c>
      <c r="AO50" s="210">
        <v>24.97</v>
      </c>
      <c r="AP50" s="210">
        <v>4.3899999999999997</v>
      </c>
      <c r="AQ50" s="209">
        <v>343.2</v>
      </c>
      <c r="AR50" s="210">
        <v>5.36</v>
      </c>
      <c r="AS50" s="210">
        <v>296.64</v>
      </c>
      <c r="AT50" s="330">
        <v>389.77</v>
      </c>
      <c r="AU50" s="209">
        <v>314.60000000000002</v>
      </c>
      <c r="AV50" s="210">
        <v>5.4</v>
      </c>
      <c r="AW50" s="210">
        <v>270.7</v>
      </c>
      <c r="AX50" s="330">
        <v>358.5</v>
      </c>
      <c r="AY50" s="209">
        <v>22.41</v>
      </c>
      <c r="AZ50" s="210">
        <v>1.6</v>
      </c>
      <c r="BA50" s="210">
        <v>18.57</v>
      </c>
      <c r="BB50" s="330">
        <v>26.24</v>
      </c>
      <c r="BC50" s="209">
        <v>37.299999999999997</v>
      </c>
      <c r="BD50" s="210">
        <v>3.89</v>
      </c>
      <c r="BE50" s="210">
        <v>34.5</v>
      </c>
      <c r="BF50" s="330">
        <v>40.19</v>
      </c>
      <c r="BG50" s="210">
        <v>97.78</v>
      </c>
      <c r="BH50" s="210">
        <v>0.1</v>
      </c>
      <c r="BI50" s="210">
        <v>2.2200000000000002</v>
      </c>
      <c r="BJ50" s="210">
        <v>4.41</v>
      </c>
      <c r="BK50" s="209">
        <v>475.4</v>
      </c>
      <c r="BL50" s="210">
        <v>3.45</v>
      </c>
      <c r="BM50" s="210">
        <v>436.46</v>
      </c>
      <c r="BN50" s="330">
        <v>514.35</v>
      </c>
      <c r="BO50" s="209">
        <v>442.68</v>
      </c>
      <c r="BP50" s="210">
        <v>3.47</v>
      </c>
      <c r="BQ50" s="210">
        <v>405.81</v>
      </c>
      <c r="BR50" s="330">
        <v>479.55</v>
      </c>
      <c r="BS50" s="209">
        <v>47.37</v>
      </c>
      <c r="BT50" s="210">
        <v>2.1800000000000002</v>
      </c>
      <c r="BU50" s="210">
        <v>41.08</v>
      </c>
      <c r="BV50" s="330">
        <v>53.66</v>
      </c>
      <c r="BW50" s="209">
        <v>52.4</v>
      </c>
      <c r="BX50" s="210">
        <v>2.13</v>
      </c>
      <c r="BY50" s="210">
        <v>50.25</v>
      </c>
      <c r="BZ50" s="330">
        <v>54.63</v>
      </c>
      <c r="CA50" s="210">
        <v>89.26</v>
      </c>
      <c r="CB50" s="210">
        <v>0.42</v>
      </c>
      <c r="CC50" s="210">
        <v>10.74</v>
      </c>
      <c r="CD50" s="210">
        <v>3.45</v>
      </c>
      <c r="CE50" s="209">
        <v>182.93</v>
      </c>
      <c r="CF50" s="210">
        <v>1.51</v>
      </c>
      <c r="CG50" s="210">
        <v>174.55</v>
      </c>
      <c r="CH50" s="330">
        <v>191.31</v>
      </c>
      <c r="CI50" s="209">
        <v>166.07</v>
      </c>
      <c r="CJ50" s="210">
        <v>1.58</v>
      </c>
      <c r="CK50" s="210">
        <v>157.81</v>
      </c>
      <c r="CL50" s="330">
        <v>174.32</v>
      </c>
      <c r="CM50" s="209">
        <v>39.04</v>
      </c>
      <c r="CN50" s="210">
        <v>1.47</v>
      </c>
      <c r="CO50" s="210">
        <v>35.04</v>
      </c>
      <c r="CP50" s="330">
        <v>43.04</v>
      </c>
      <c r="CQ50" s="209">
        <v>40.5</v>
      </c>
      <c r="CR50" s="210">
        <v>2.58</v>
      </c>
      <c r="CS50" s="210">
        <v>38.409999999999997</v>
      </c>
      <c r="CT50" s="330">
        <v>42.49</v>
      </c>
      <c r="CU50" s="210">
        <v>94.94</v>
      </c>
      <c r="CV50" s="210">
        <v>0.28000000000000003</v>
      </c>
      <c r="CW50" s="210">
        <v>5.0599999999999996</v>
      </c>
      <c r="CX50" s="210">
        <v>5.18</v>
      </c>
      <c r="CY50" s="209">
        <v>282.60000000000002</v>
      </c>
      <c r="CZ50" s="210">
        <v>4.75</v>
      </c>
      <c r="DA50" s="210">
        <v>246.99</v>
      </c>
      <c r="DB50" s="330">
        <v>318.20999999999998</v>
      </c>
      <c r="DC50" s="209">
        <v>264.31</v>
      </c>
      <c r="DD50" s="210">
        <v>4.78</v>
      </c>
      <c r="DE50" s="210">
        <v>230.18</v>
      </c>
      <c r="DF50" s="330">
        <v>298.44</v>
      </c>
      <c r="DG50" s="209">
        <v>27.95</v>
      </c>
      <c r="DH50" s="210">
        <v>2.56</v>
      </c>
      <c r="DI50" s="210">
        <v>21.53</v>
      </c>
      <c r="DJ50" s="330">
        <v>34.36</v>
      </c>
      <c r="DK50" s="209">
        <v>52</v>
      </c>
      <c r="DL50" s="210">
        <v>2.27</v>
      </c>
      <c r="DM50" s="210">
        <v>49.65</v>
      </c>
      <c r="DN50" s="330">
        <v>54.27</v>
      </c>
      <c r="DO50" s="210">
        <v>76.209999999999994</v>
      </c>
      <c r="DP50" s="210">
        <v>1.36</v>
      </c>
      <c r="DQ50" s="210">
        <v>23.79</v>
      </c>
      <c r="DR50" s="210">
        <v>4.3600000000000003</v>
      </c>
      <c r="DS50" s="209">
        <v>4561777.5999999996</v>
      </c>
      <c r="DT50" s="210">
        <v>1.32</v>
      </c>
      <c r="DU50" s="210">
        <v>4443412.05</v>
      </c>
      <c r="DV50" s="330">
        <v>4680143.1500000004</v>
      </c>
      <c r="DW50" s="209">
        <v>4113987.16</v>
      </c>
      <c r="DX50" s="210">
        <v>1.32</v>
      </c>
      <c r="DY50" s="210">
        <v>4007166.23</v>
      </c>
      <c r="DZ50" s="330">
        <v>4220808.0999999996</v>
      </c>
      <c r="EA50" s="209">
        <v>44.43</v>
      </c>
      <c r="EB50" s="210">
        <v>0.73</v>
      </c>
      <c r="EC50" s="210">
        <v>42.36</v>
      </c>
      <c r="ED50" s="330">
        <v>46.5</v>
      </c>
      <c r="EE50" s="209">
        <v>71.3</v>
      </c>
      <c r="EF50" s="210">
        <v>1.25</v>
      </c>
      <c r="EG50" s="210">
        <v>69.569999999999993</v>
      </c>
      <c r="EH50" s="330">
        <v>73.08</v>
      </c>
      <c r="EI50" s="210">
        <v>88.65</v>
      </c>
      <c r="EJ50" s="210">
        <v>0.26</v>
      </c>
      <c r="EK50" s="210">
        <v>11.35</v>
      </c>
      <c r="EL50" s="210">
        <v>2.0099999999999998</v>
      </c>
      <c r="EM50" s="209">
        <v>237.78</v>
      </c>
      <c r="EN50" s="210">
        <v>4.9000000000000004</v>
      </c>
      <c r="EO50" s="210">
        <v>205.33</v>
      </c>
      <c r="EP50" s="330">
        <v>270.23</v>
      </c>
      <c r="EQ50" s="209">
        <v>219.04</v>
      </c>
      <c r="ER50" s="210">
        <v>4.87</v>
      </c>
      <c r="ES50" s="210">
        <v>188.61</v>
      </c>
      <c r="ET50" s="330">
        <v>249.47</v>
      </c>
      <c r="EU50" s="209">
        <v>20.61</v>
      </c>
      <c r="EV50" s="210">
        <v>1.77</v>
      </c>
      <c r="EW50" s="210">
        <v>16.420000000000002</v>
      </c>
      <c r="EX50" s="330">
        <v>24.79</v>
      </c>
      <c r="EY50" s="209">
        <v>39.4</v>
      </c>
      <c r="EZ50" s="210">
        <v>2.87</v>
      </c>
      <c r="FA50" s="210">
        <v>37.159999999999997</v>
      </c>
      <c r="FB50" s="330">
        <v>41.59</v>
      </c>
      <c r="FC50" s="210">
        <v>87.62</v>
      </c>
      <c r="FD50" s="210">
        <v>0.55000000000000004</v>
      </c>
      <c r="FE50" s="210">
        <v>12.38</v>
      </c>
      <c r="FF50" s="210">
        <v>3.88</v>
      </c>
      <c r="FG50" s="209">
        <v>196.9</v>
      </c>
      <c r="FH50" s="210">
        <v>2.4700000000000002</v>
      </c>
      <c r="FI50" s="210">
        <v>182.52</v>
      </c>
      <c r="FJ50" s="330">
        <v>211.29</v>
      </c>
      <c r="FK50" s="209">
        <v>180.51</v>
      </c>
      <c r="FL50" s="210">
        <v>2.48</v>
      </c>
      <c r="FM50" s="210">
        <v>166.9</v>
      </c>
      <c r="FN50" s="330">
        <v>194.12</v>
      </c>
      <c r="FO50" s="209">
        <v>43.1</v>
      </c>
      <c r="FP50" s="210">
        <v>2.83</v>
      </c>
      <c r="FQ50" s="210">
        <v>35.17</v>
      </c>
      <c r="FR50" s="330">
        <v>51.03</v>
      </c>
      <c r="FS50" s="209">
        <v>42.9</v>
      </c>
      <c r="FT50" s="210">
        <v>2.93</v>
      </c>
      <c r="FU50" s="210">
        <v>40.46</v>
      </c>
      <c r="FV50" s="330">
        <v>45.39</v>
      </c>
      <c r="FW50" s="210">
        <v>87.3</v>
      </c>
      <c r="FX50" s="210">
        <v>1.07</v>
      </c>
      <c r="FY50" s="210">
        <v>12.7</v>
      </c>
      <c r="FZ50" s="210">
        <v>7.36</v>
      </c>
      <c r="GA50" s="209">
        <v>160.5</v>
      </c>
      <c r="GB50" s="210">
        <v>5.96</v>
      </c>
      <c r="GC50" s="210">
        <v>130.05000000000001</v>
      </c>
      <c r="GD50" s="330">
        <v>190.95</v>
      </c>
      <c r="GE50" s="209">
        <v>145.55000000000001</v>
      </c>
      <c r="GF50" s="210">
        <v>5.81</v>
      </c>
      <c r="GG50" s="210">
        <v>117.58</v>
      </c>
      <c r="GH50" s="330">
        <v>173.53</v>
      </c>
      <c r="GI50" s="209">
        <v>34.96</v>
      </c>
      <c r="GJ50" s="210">
        <v>4.13</v>
      </c>
      <c r="GK50" s="210">
        <v>24.04</v>
      </c>
      <c r="GL50" s="330">
        <v>45.89</v>
      </c>
      <c r="GM50" s="209">
        <v>42.1</v>
      </c>
      <c r="GN50" s="210">
        <v>9.5299999999999994</v>
      </c>
      <c r="GO50" s="210">
        <v>34.22</v>
      </c>
      <c r="GP50" s="330">
        <v>49.94</v>
      </c>
      <c r="GQ50" s="210">
        <v>97.05</v>
      </c>
      <c r="GR50" s="210">
        <v>0.11</v>
      </c>
      <c r="GS50" s="210">
        <v>2.95</v>
      </c>
      <c r="GT50" s="210">
        <v>3.78</v>
      </c>
      <c r="GU50" s="209">
        <v>280.58999999999997</v>
      </c>
      <c r="GV50" s="210">
        <v>3.92</v>
      </c>
      <c r="GW50" s="210">
        <v>251.32</v>
      </c>
      <c r="GX50" s="330">
        <v>309.86</v>
      </c>
      <c r="GY50" s="209">
        <v>256.18</v>
      </c>
      <c r="GZ50" s="210">
        <v>3.86</v>
      </c>
      <c r="HA50" s="210">
        <v>229.21</v>
      </c>
      <c r="HB50" s="330">
        <v>283.14999999999998</v>
      </c>
      <c r="HC50" s="209">
        <v>39.9</v>
      </c>
      <c r="HD50" s="210">
        <v>1.58</v>
      </c>
      <c r="HE50" s="210">
        <v>35.57</v>
      </c>
      <c r="HF50" s="330">
        <v>44.23</v>
      </c>
      <c r="HG50" s="209">
        <v>36.9</v>
      </c>
      <c r="HH50" s="210">
        <v>3.62</v>
      </c>
      <c r="HI50" s="210">
        <v>34.32</v>
      </c>
      <c r="HJ50" s="330">
        <v>39.56</v>
      </c>
      <c r="HK50" s="210">
        <v>98.22</v>
      </c>
      <c r="HL50" s="210">
        <v>0.09</v>
      </c>
      <c r="HM50" s="210">
        <v>1.78</v>
      </c>
      <c r="HN50" s="210">
        <v>4.8499999999999996</v>
      </c>
      <c r="HO50" s="209">
        <v>341.97</v>
      </c>
      <c r="HP50" s="210">
        <v>3.35</v>
      </c>
      <c r="HQ50" s="210">
        <v>312.97000000000003</v>
      </c>
      <c r="HR50" s="330">
        <v>370.97</v>
      </c>
      <c r="HS50" s="209">
        <v>315.38</v>
      </c>
      <c r="HT50" s="210">
        <v>3.42</v>
      </c>
      <c r="HU50" s="210">
        <v>287.52</v>
      </c>
      <c r="HV50" s="330">
        <v>343.24</v>
      </c>
      <c r="HW50" s="209">
        <v>25.87</v>
      </c>
      <c r="HX50" s="210">
        <v>1.72</v>
      </c>
      <c r="HY50" s="210">
        <v>21.63</v>
      </c>
      <c r="HZ50" s="330">
        <v>30.12</v>
      </c>
      <c r="IA50" s="209">
        <v>41</v>
      </c>
      <c r="IB50" s="210">
        <v>4.21</v>
      </c>
      <c r="IC50" s="210">
        <v>37.58</v>
      </c>
      <c r="ID50" s="330">
        <v>44.34</v>
      </c>
      <c r="IE50" s="209">
        <v>97</v>
      </c>
      <c r="IF50" s="210">
        <v>0.22</v>
      </c>
      <c r="IG50" s="210">
        <v>3</v>
      </c>
      <c r="IH50" s="330">
        <v>7.09</v>
      </c>
    </row>
    <row r="51" spans="1:242" s="27" customFormat="1" ht="15.75" customHeight="1" x14ac:dyDescent="0.2">
      <c r="A51" s="368"/>
      <c r="B51" s="28" t="s">
        <v>11</v>
      </c>
      <c r="C51" s="211">
        <v>184.32</v>
      </c>
      <c r="D51" s="212">
        <v>2.94</v>
      </c>
      <c r="E51" s="212">
        <v>167.91</v>
      </c>
      <c r="F51" s="331">
        <v>200.73</v>
      </c>
      <c r="G51" s="211">
        <v>171.8</v>
      </c>
      <c r="H51" s="212">
        <v>3.02</v>
      </c>
      <c r="I51" s="212">
        <v>155.69999999999999</v>
      </c>
      <c r="J51" s="331">
        <v>187.9</v>
      </c>
      <c r="K51" s="211">
        <v>13.37</v>
      </c>
      <c r="L51" s="212">
        <v>2.5299999999999998</v>
      </c>
      <c r="M51" s="212">
        <v>7.75</v>
      </c>
      <c r="N51" s="331">
        <v>18.989999999999998</v>
      </c>
      <c r="O51" s="211">
        <v>47.2</v>
      </c>
      <c r="P51" s="212">
        <v>2.7</v>
      </c>
      <c r="Q51" s="212">
        <v>44.67</v>
      </c>
      <c r="R51" s="331">
        <v>49.66</v>
      </c>
      <c r="S51" s="212">
        <v>62.3</v>
      </c>
      <c r="T51" s="212">
        <v>2.99</v>
      </c>
      <c r="U51" s="212">
        <v>37.700000000000003</v>
      </c>
      <c r="V51" s="212">
        <v>4.95</v>
      </c>
      <c r="W51" s="211">
        <v>260.2</v>
      </c>
      <c r="X51" s="212">
        <v>2.06</v>
      </c>
      <c r="Y51" s="212">
        <v>245.65</v>
      </c>
      <c r="Z51" s="331">
        <v>274.75</v>
      </c>
      <c r="AA51" s="211">
        <v>242.94</v>
      </c>
      <c r="AB51" s="212">
        <v>2.0699999999999998</v>
      </c>
      <c r="AC51" s="212">
        <v>229.02</v>
      </c>
      <c r="AD51" s="331">
        <v>256.87</v>
      </c>
      <c r="AE51" s="211">
        <v>27.55</v>
      </c>
      <c r="AF51" s="212">
        <v>1.59</v>
      </c>
      <c r="AG51" s="212">
        <v>23.57</v>
      </c>
      <c r="AH51" s="331">
        <v>31.53</v>
      </c>
      <c r="AI51" s="211">
        <v>65.099999999999994</v>
      </c>
      <c r="AJ51" s="212">
        <v>1.4</v>
      </c>
      <c r="AK51" s="212">
        <v>63.32</v>
      </c>
      <c r="AL51" s="331">
        <v>66.900000000000006</v>
      </c>
      <c r="AM51" s="212">
        <v>76.92</v>
      </c>
      <c r="AN51" s="212">
        <v>1.3</v>
      </c>
      <c r="AO51" s="212">
        <v>23.08</v>
      </c>
      <c r="AP51" s="212">
        <v>4.33</v>
      </c>
      <c r="AQ51" s="211">
        <v>128.56</v>
      </c>
      <c r="AR51" s="212">
        <v>2.57</v>
      </c>
      <c r="AS51" s="212">
        <v>117.03</v>
      </c>
      <c r="AT51" s="331">
        <v>140.09</v>
      </c>
      <c r="AU51" s="211">
        <v>116.39</v>
      </c>
      <c r="AV51" s="212">
        <v>2.59</v>
      </c>
      <c r="AW51" s="212">
        <v>105.41</v>
      </c>
      <c r="AX51" s="331">
        <v>127.38</v>
      </c>
      <c r="AY51" s="211">
        <v>15.7</v>
      </c>
      <c r="AZ51" s="212">
        <v>1.62</v>
      </c>
      <c r="BA51" s="212">
        <v>12.02</v>
      </c>
      <c r="BB51" s="331">
        <v>19.38</v>
      </c>
      <c r="BC51" s="211">
        <v>45.2</v>
      </c>
      <c r="BD51" s="212">
        <v>3.26</v>
      </c>
      <c r="BE51" s="212">
        <v>42.32</v>
      </c>
      <c r="BF51" s="331">
        <v>48.1</v>
      </c>
      <c r="BG51" s="212">
        <v>97.61</v>
      </c>
      <c r="BH51" s="212">
        <v>0.14000000000000001</v>
      </c>
      <c r="BI51" s="212">
        <v>2.39</v>
      </c>
      <c r="BJ51" s="212">
        <v>5.73</v>
      </c>
      <c r="BK51" s="211">
        <v>189</v>
      </c>
      <c r="BL51" s="212">
        <v>1.82</v>
      </c>
      <c r="BM51" s="212">
        <v>178.67</v>
      </c>
      <c r="BN51" s="331">
        <v>199.33</v>
      </c>
      <c r="BO51" s="211">
        <v>172.25</v>
      </c>
      <c r="BP51" s="212">
        <v>1.81</v>
      </c>
      <c r="BQ51" s="212">
        <v>162.61000000000001</v>
      </c>
      <c r="BR51" s="331">
        <v>181.88</v>
      </c>
      <c r="BS51" s="211">
        <v>32.72</v>
      </c>
      <c r="BT51" s="212">
        <v>1.95</v>
      </c>
      <c r="BU51" s="212">
        <v>27.64</v>
      </c>
      <c r="BV51" s="331">
        <v>37.799999999999997</v>
      </c>
      <c r="BW51" s="211">
        <v>60.9</v>
      </c>
      <c r="BX51" s="212">
        <v>1.92</v>
      </c>
      <c r="BY51" s="212">
        <v>58.59</v>
      </c>
      <c r="BZ51" s="331">
        <v>63.18</v>
      </c>
      <c r="CA51" s="212">
        <v>89.73</v>
      </c>
      <c r="CB51" s="212">
        <v>0.53</v>
      </c>
      <c r="CC51" s="212">
        <v>10.27</v>
      </c>
      <c r="CD51" s="212">
        <v>4.6399999999999997</v>
      </c>
      <c r="CE51" s="211">
        <v>78.25</v>
      </c>
      <c r="CF51" s="212">
        <v>1.1200000000000001</v>
      </c>
      <c r="CG51" s="212">
        <v>74.349999999999994</v>
      </c>
      <c r="CH51" s="331">
        <v>82.15</v>
      </c>
      <c r="CI51" s="211">
        <v>71.36</v>
      </c>
      <c r="CJ51" s="212">
        <v>1.17</v>
      </c>
      <c r="CK51" s="212">
        <v>67.44</v>
      </c>
      <c r="CL51" s="331">
        <v>75.28</v>
      </c>
      <c r="CM51" s="211">
        <v>24.72</v>
      </c>
      <c r="CN51" s="212">
        <v>1.32</v>
      </c>
      <c r="CO51" s="212">
        <v>21.49</v>
      </c>
      <c r="CP51" s="331">
        <v>27.96</v>
      </c>
      <c r="CQ51" s="211">
        <v>48.4</v>
      </c>
      <c r="CR51" s="212">
        <v>2.2799999999999998</v>
      </c>
      <c r="CS51" s="212">
        <v>46.2</v>
      </c>
      <c r="CT51" s="331">
        <v>50.51</v>
      </c>
      <c r="CU51" s="212">
        <v>95.95</v>
      </c>
      <c r="CV51" s="212">
        <v>0.25</v>
      </c>
      <c r="CW51" s="212">
        <v>4.05</v>
      </c>
      <c r="CX51" s="212">
        <v>5.86</v>
      </c>
      <c r="CY51" s="211">
        <v>163.5</v>
      </c>
      <c r="CZ51" s="212">
        <v>4.05</v>
      </c>
      <c r="DA51" s="212">
        <v>142.61000000000001</v>
      </c>
      <c r="DB51" s="331">
        <v>184.4</v>
      </c>
      <c r="DC51" s="211">
        <v>147.91</v>
      </c>
      <c r="DD51" s="212">
        <v>4.03</v>
      </c>
      <c r="DE51" s="212">
        <v>128.33000000000001</v>
      </c>
      <c r="DF51" s="331">
        <v>167.49</v>
      </c>
      <c r="DG51" s="211">
        <v>27.65</v>
      </c>
      <c r="DH51" s="212">
        <v>2.31</v>
      </c>
      <c r="DI51" s="212">
        <v>21.88</v>
      </c>
      <c r="DJ51" s="331">
        <v>33.42</v>
      </c>
      <c r="DK51" s="211">
        <v>52.8</v>
      </c>
      <c r="DL51" s="212">
        <v>4</v>
      </c>
      <c r="DM51" s="212">
        <v>48.67</v>
      </c>
      <c r="DN51" s="331">
        <v>56.96</v>
      </c>
      <c r="DO51" s="212">
        <v>75.53</v>
      </c>
      <c r="DP51" s="212">
        <v>2.74</v>
      </c>
      <c r="DQ51" s="212">
        <v>24.47</v>
      </c>
      <c r="DR51" s="212">
        <v>8.4499999999999993</v>
      </c>
      <c r="DS51" s="211">
        <v>711.49</v>
      </c>
      <c r="DT51" s="212">
        <v>1.46</v>
      </c>
      <c r="DU51" s="212">
        <v>688.2</v>
      </c>
      <c r="DV51" s="331">
        <v>734.77</v>
      </c>
      <c r="DW51" s="211">
        <v>666.31</v>
      </c>
      <c r="DX51" s="212">
        <v>1.52</v>
      </c>
      <c r="DY51" s="212">
        <v>643.54999999999995</v>
      </c>
      <c r="DZ51" s="331">
        <v>689.08</v>
      </c>
      <c r="EA51" s="211">
        <v>34.39</v>
      </c>
      <c r="EB51" s="212">
        <v>0.7</v>
      </c>
      <c r="EC51" s="212">
        <v>32.549999999999997</v>
      </c>
      <c r="ED51" s="331">
        <v>36.229999999999997</v>
      </c>
      <c r="EE51" s="211">
        <v>72.3</v>
      </c>
      <c r="EF51" s="212">
        <v>1.28</v>
      </c>
      <c r="EG51" s="212">
        <v>70.459999999999994</v>
      </c>
      <c r="EH51" s="331">
        <v>74.069999999999993</v>
      </c>
      <c r="EI51" s="212">
        <v>83.75</v>
      </c>
      <c r="EJ51" s="212">
        <v>0.33</v>
      </c>
      <c r="EK51" s="212">
        <v>16.25</v>
      </c>
      <c r="EL51" s="212">
        <v>1.7</v>
      </c>
      <c r="EM51" s="211">
        <v>166.3</v>
      </c>
      <c r="EN51" s="212">
        <v>7.62</v>
      </c>
      <c r="EO51" s="212">
        <v>126.53</v>
      </c>
      <c r="EP51" s="331">
        <v>206.06</v>
      </c>
      <c r="EQ51" s="211">
        <v>123.88</v>
      </c>
      <c r="ER51" s="212">
        <v>3.15</v>
      </c>
      <c r="ES51" s="212">
        <v>110.07</v>
      </c>
      <c r="ET51" s="331">
        <v>137.68</v>
      </c>
      <c r="EU51" s="211">
        <v>22.92</v>
      </c>
      <c r="EV51" s="212">
        <v>1.74</v>
      </c>
      <c r="EW51" s="212">
        <v>18.739999999999998</v>
      </c>
      <c r="EX51" s="331">
        <v>27.1</v>
      </c>
      <c r="EY51" s="211">
        <v>39.6</v>
      </c>
      <c r="EZ51" s="212">
        <v>2.68</v>
      </c>
      <c r="FA51" s="212">
        <v>37.56</v>
      </c>
      <c r="FB51" s="331">
        <v>41.72</v>
      </c>
      <c r="FC51" s="212">
        <v>89.17</v>
      </c>
      <c r="FD51" s="212">
        <v>0.46</v>
      </c>
      <c r="FE51" s="212">
        <v>10.83</v>
      </c>
      <c r="FF51" s="212">
        <v>3.77</v>
      </c>
      <c r="FG51" s="211">
        <v>130.54</v>
      </c>
      <c r="FH51" s="212">
        <v>1.82</v>
      </c>
      <c r="FI51" s="212">
        <v>122.31</v>
      </c>
      <c r="FJ51" s="331">
        <v>138.78</v>
      </c>
      <c r="FK51" s="211">
        <v>116.02</v>
      </c>
      <c r="FL51" s="212">
        <v>1.86</v>
      </c>
      <c r="FM51" s="212">
        <v>108.14</v>
      </c>
      <c r="FN51" s="331">
        <v>123.89</v>
      </c>
      <c r="FO51" s="211">
        <v>50.56</v>
      </c>
      <c r="FP51" s="212">
        <v>2.68</v>
      </c>
      <c r="FQ51" s="212">
        <v>42.66</v>
      </c>
      <c r="FR51" s="331">
        <v>58.47</v>
      </c>
      <c r="FS51" s="211">
        <v>47.9</v>
      </c>
      <c r="FT51" s="212">
        <v>2.83</v>
      </c>
      <c r="FU51" s="212">
        <v>45.22</v>
      </c>
      <c r="FV51" s="331">
        <v>50.53</v>
      </c>
      <c r="FW51" s="212">
        <v>88.35</v>
      </c>
      <c r="FX51" s="212">
        <v>0.88</v>
      </c>
      <c r="FY51" s="212">
        <v>11.65</v>
      </c>
      <c r="FZ51" s="212">
        <v>6.71</v>
      </c>
      <c r="GA51" s="211">
        <v>65.430000000000007</v>
      </c>
      <c r="GB51" s="212">
        <v>3.16</v>
      </c>
      <c r="GC51" s="212">
        <v>55.18</v>
      </c>
      <c r="GD51" s="331">
        <v>75.680000000000007</v>
      </c>
      <c r="GE51" s="211">
        <v>55.14</v>
      </c>
      <c r="GF51" s="212">
        <v>3.29</v>
      </c>
      <c r="GG51" s="212">
        <v>45.14</v>
      </c>
      <c r="GH51" s="331">
        <v>65.13</v>
      </c>
      <c r="GI51" s="211">
        <v>22.3</v>
      </c>
      <c r="GJ51" s="212">
        <v>2.91</v>
      </c>
      <c r="GK51" s="212">
        <v>15.32</v>
      </c>
      <c r="GL51" s="331">
        <v>29.28</v>
      </c>
      <c r="GM51" s="211">
        <v>40.9</v>
      </c>
      <c r="GN51" s="212">
        <v>4.6100000000000003</v>
      </c>
      <c r="GO51" s="212">
        <v>37.19</v>
      </c>
      <c r="GP51" s="331">
        <v>44.59</v>
      </c>
      <c r="GQ51" s="212">
        <v>97.72</v>
      </c>
      <c r="GR51" s="212">
        <v>0.1</v>
      </c>
      <c r="GS51" s="212">
        <v>2.2799999999999998</v>
      </c>
      <c r="GT51" s="212">
        <v>4.4000000000000004</v>
      </c>
      <c r="GU51" s="211">
        <v>155.6</v>
      </c>
      <c r="GV51" s="212">
        <v>2.41</v>
      </c>
      <c r="GW51" s="212">
        <v>143.54</v>
      </c>
      <c r="GX51" s="331">
        <v>167.66</v>
      </c>
      <c r="GY51" s="211">
        <v>138.76</v>
      </c>
      <c r="GZ51" s="212">
        <v>2.44</v>
      </c>
      <c r="HA51" s="212">
        <v>127.36</v>
      </c>
      <c r="HB51" s="331">
        <v>150.16</v>
      </c>
      <c r="HC51" s="211">
        <v>39.119999999999997</v>
      </c>
      <c r="HD51" s="212">
        <v>1.41</v>
      </c>
      <c r="HE51" s="212">
        <v>35.28</v>
      </c>
      <c r="HF51" s="331">
        <v>42.96</v>
      </c>
      <c r="HG51" s="211">
        <v>40.1</v>
      </c>
      <c r="HH51" s="212">
        <v>3.38</v>
      </c>
      <c r="HI51" s="212">
        <v>37.47</v>
      </c>
      <c r="HJ51" s="331">
        <v>42.79</v>
      </c>
      <c r="HK51" s="212">
        <v>97.98</v>
      </c>
      <c r="HL51" s="212">
        <v>0.11</v>
      </c>
      <c r="HM51" s="212">
        <v>2.02</v>
      </c>
      <c r="HN51" s="212">
        <v>5.0999999999999996</v>
      </c>
      <c r="HO51" s="211">
        <v>390.2</v>
      </c>
      <c r="HP51" s="212">
        <v>2.7</v>
      </c>
      <c r="HQ51" s="212">
        <v>364.24</v>
      </c>
      <c r="HR51" s="331">
        <v>416.16</v>
      </c>
      <c r="HS51" s="211">
        <v>342.52</v>
      </c>
      <c r="HT51" s="212">
        <v>2.87</v>
      </c>
      <c r="HU51" s="212">
        <v>317.61</v>
      </c>
      <c r="HV51" s="331">
        <v>367.43</v>
      </c>
      <c r="HW51" s="211">
        <v>19.64</v>
      </c>
      <c r="HX51" s="212">
        <v>1.65</v>
      </c>
      <c r="HY51" s="212">
        <v>15.76</v>
      </c>
      <c r="HZ51" s="331">
        <v>23.51</v>
      </c>
      <c r="IA51" s="211">
        <v>40.299999999999997</v>
      </c>
      <c r="IB51" s="414">
        <v>4.03</v>
      </c>
      <c r="IC51" s="414">
        <v>37.130000000000003</v>
      </c>
      <c r="ID51" s="415">
        <v>43.5</v>
      </c>
      <c r="IE51" s="416">
        <v>93.73</v>
      </c>
      <c r="IF51" s="414">
        <v>0.42</v>
      </c>
      <c r="IG51" s="414">
        <v>6.27</v>
      </c>
      <c r="IH51" s="415">
        <v>6.28</v>
      </c>
    </row>
    <row r="52" spans="1:242" x14ac:dyDescent="0.2">
      <c r="A52" s="73"/>
      <c r="B52" s="55" t="s">
        <v>85</v>
      </c>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M52" s="55"/>
      <c r="CN52" s="55"/>
      <c r="CO52" s="55"/>
      <c r="CP52" s="55"/>
      <c r="CQ52" s="55"/>
      <c r="CR52" s="55"/>
      <c r="CS52" s="55"/>
      <c r="CT52" s="55"/>
      <c r="CU52" s="55"/>
      <c r="CV52" s="55"/>
      <c r="CW52" s="55"/>
      <c r="CX52" s="55"/>
      <c r="CY52" s="55"/>
      <c r="CZ52" s="55"/>
      <c r="DA52" s="55"/>
      <c r="DB52" s="55"/>
      <c r="DC52" s="55"/>
      <c r="DD52" s="55"/>
      <c r="DE52" s="55"/>
      <c r="DF52" s="55"/>
      <c r="DG52" s="55"/>
      <c r="DH52" s="55"/>
      <c r="DI52" s="55"/>
      <c r="DJ52" s="55"/>
      <c r="DK52" s="55"/>
      <c r="DL52" s="55"/>
      <c r="DM52" s="55"/>
      <c r="DN52" s="55"/>
      <c r="DO52" s="55"/>
      <c r="DP52" s="55"/>
      <c r="DQ52" s="55"/>
      <c r="DR52" s="55"/>
      <c r="DS52" s="55"/>
      <c r="DT52" s="55"/>
      <c r="DU52" s="55"/>
      <c r="DV52" s="55"/>
      <c r="DW52" s="55"/>
      <c r="DX52" s="55"/>
      <c r="DY52" s="55"/>
      <c r="DZ52" s="55"/>
      <c r="EA52" s="55"/>
      <c r="EB52" s="55"/>
      <c r="EC52" s="55"/>
      <c r="ED52" s="55"/>
      <c r="EE52" s="55"/>
      <c r="EF52" s="55"/>
      <c r="EG52" s="55"/>
      <c r="EH52" s="55"/>
      <c r="EI52" s="55"/>
      <c r="EJ52" s="55"/>
      <c r="EK52" s="55"/>
      <c r="EL52" s="55"/>
      <c r="EM52" s="55"/>
      <c r="EN52" s="55"/>
      <c r="EO52" s="55"/>
      <c r="EP52" s="55"/>
      <c r="EQ52" s="55"/>
      <c r="ER52" s="55"/>
      <c r="ES52" s="55"/>
      <c r="ET52" s="55"/>
      <c r="EU52" s="55"/>
      <c r="EV52" s="55"/>
      <c r="EW52" s="55"/>
      <c r="EX52" s="55"/>
      <c r="EY52" s="55"/>
      <c r="EZ52" s="55"/>
      <c r="FA52" s="55"/>
      <c r="FB52" s="55"/>
      <c r="FC52" s="55"/>
      <c r="FD52" s="55"/>
      <c r="FE52" s="55"/>
      <c r="FF52" s="55"/>
      <c r="FG52" s="55"/>
      <c r="FH52" s="55"/>
      <c r="FI52" s="55"/>
      <c r="FJ52" s="55"/>
      <c r="FK52" s="55"/>
      <c r="FL52" s="55"/>
      <c r="FM52" s="55"/>
      <c r="FN52" s="55"/>
      <c r="FO52" s="55"/>
      <c r="FP52" s="55"/>
      <c r="FQ52" s="55"/>
      <c r="FR52" s="55"/>
      <c r="FS52" s="55"/>
      <c r="FT52" s="55"/>
      <c r="FU52" s="55"/>
      <c r="FV52" s="55"/>
      <c r="FW52" s="55"/>
      <c r="FX52" s="55"/>
      <c r="FY52" s="55"/>
      <c r="FZ52" s="55"/>
      <c r="GA52" s="55"/>
      <c r="GB52" s="55"/>
      <c r="GC52" s="55"/>
      <c r="GD52" s="55"/>
      <c r="GE52" s="55"/>
      <c r="GF52" s="55"/>
      <c r="GG52" s="55"/>
      <c r="GH52" s="55"/>
      <c r="GI52" s="55"/>
      <c r="GJ52" s="55"/>
      <c r="GK52" s="55"/>
      <c r="GL52" s="55"/>
      <c r="GM52" s="55"/>
      <c r="GN52" s="55"/>
      <c r="GO52" s="55"/>
      <c r="GP52" s="55"/>
      <c r="GQ52" s="55"/>
      <c r="GR52" s="55"/>
      <c r="GS52" s="55"/>
      <c r="GT52" s="55"/>
      <c r="GU52" s="55"/>
      <c r="GV52" s="55"/>
      <c r="GW52" s="55"/>
      <c r="GX52" s="55"/>
      <c r="GY52" s="55"/>
      <c r="GZ52" s="55"/>
      <c r="HA52" s="55"/>
      <c r="HB52" s="55"/>
      <c r="HC52" s="55"/>
      <c r="HD52" s="55"/>
      <c r="HE52" s="55"/>
      <c r="HF52" s="55"/>
      <c r="HG52" s="55"/>
      <c r="HH52" s="55"/>
      <c r="HI52" s="55"/>
      <c r="HJ52" s="55"/>
      <c r="HK52" s="55"/>
      <c r="HL52" s="55"/>
      <c r="HM52" s="55"/>
      <c r="HN52" s="55"/>
      <c r="HO52" s="55"/>
      <c r="HP52" s="55"/>
      <c r="HQ52" s="55"/>
      <c r="HR52" s="55"/>
      <c r="HS52" s="55"/>
      <c r="HT52" s="55"/>
      <c r="HU52" s="55"/>
      <c r="HV52" s="55"/>
      <c r="HW52" s="55"/>
      <c r="HX52" s="55"/>
      <c r="HY52" s="55"/>
      <c r="HZ52" s="55"/>
      <c r="IA52" s="55"/>
      <c r="IG52" s="55"/>
      <c r="IH52" s="55"/>
    </row>
    <row r="53" spans="1:242" x14ac:dyDescent="0.2">
      <c r="A53" s="26"/>
      <c r="B53" s="53" t="s">
        <v>17</v>
      </c>
      <c r="C53" s="57"/>
      <c r="D53" s="57"/>
      <c r="E53" s="57"/>
      <c r="F53" s="57"/>
      <c r="G53" s="57"/>
    </row>
    <row r="54" spans="1:242" ht="12" customHeight="1" x14ac:dyDescent="0.2">
      <c r="A54" s="26"/>
      <c r="B54" s="461" t="s">
        <v>112</v>
      </c>
      <c r="C54" s="461"/>
      <c r="D54" s="461"/>
      <c r="E54" s="461"/>
      <c r="F54" s="461"/>
      <c r="G54" s="461"/>
      <c r="H54" s="461"/>
      <c r="I54" s="461"/>
      <c r="J54" s="461"/>
      <c r="K54" s="461"/>
      <c r="L54" s="461"/>
      <c r="M54" s="461"/>
      <c r="N54" s="461"/>
      <c r="O54" s="461"/>
      <c r="P54" s="461"/>
      <c r="Q54" s="461"/>
      <c r="R54" s="461"/>
      <c r="S54" s="392"/>
      <c r="T54" s="392"/>
      <c r="U54" s="392"/>
      <c r="V54" s="392"/>
      <c r="AM54" s="392"/>
      <c r="AN54" s="392"/>
      <c r="AO54" s="392"/>
      <c r="AP54" s="392"/>
      <c r="BG54" s="392"/>
      <c r="BH54" s="392"/>
      <c r="BI54" s="392"/>
      <c r="BJ54" s="392"/>
      <c r="CA54" s="392"/>
      <c r="CB54" s="392"/>
      <c r="CC54" s="392"/>
      <c r="CD54" s="392"/>
      <c r="CU54" s="392"/>
      <c r="CV54" s="392"/>
      <c r="CW54" s="392"/>
      <c r="CX54" s="392"/>
      <c r="DO54" s="392"/>
      <c r="DP54" s="392"/>
      <c r="DQ54" s="392"/>
      <c r="DR54" s="392"/>
      <c r="EI54" s="392"/>
      <c r="EJ54" s="392"/>
      <c r="EK54" s="392"/>
      <c r="EL54" s="392"/>
      <c r="FC54" s="392"/>
      <c r="FD54" s="392"/>
      <c r="FE54" s="392"/>
      <c r="FF54" s="392"/>
      <c r="FW54" s="392"/>
      <c r="FX54" s="392"/>
      <c r="FY54" s="392"/>
      <c r="FZ54" s="392"/>
      <c r="GQ54" s="392"/>
      <c r="GR54" s="392"/>
      <c r="GS54" s="392"/>
      <c r="GT54" s="392"/>
      <c r="HK54" s="392"/>
      <c r="HL54" s="392"/>
      <c r="HM54" s="392"/>
      <c r="HN54" s="392"/>
      <c r="IE54" s="392"/>
      <c r="IF54" s="392"/>
      <c r="IG54" s="392"/>
      <c r="IH54" s="392"/>
    </row>
    <row r="55" spans="1:242" x14ac:dyDescent="0.2">
      <c r="A55" s="26"/>
      <c r="B55" s="461"/>
      <c r="C55" s="461"/>
      <c r="D55" s="461"/>
      <c r="E55" s="461"/>
      <c r="F55" s="461"/>
      <c r="G55" s="461"/>
      <c r="H55" s="461"/>
      <c r="I55" s="461"/>
      <c r="J55" s="461"/>
      <c r="K55" s="461"/>
      <c r="L55" s="461"/>
      <c r="M55" s="461"/>
      <c r="N55" s="461"/>
      <c r="O55" s="461"/>
      <c r="P55" s="461"/>
      <c r="Q55" s="461"/>
      <c r="R55" s="461"/>
      <c r="S55" s="392"/>
      <c r="T55" s="392"/>
      <c r="U55" s="392"/>
      <c r="V55" s="392"/>
      <c r="AM55" s="392"/>
      <c r="AN55" s="392"/>
      <c r="AO55" s="392"/>
      <c r="AP55" s="392"/>
      <c r="BG55" s="392"/>
      <c r="BH55" s="392"/>
      <c r="BI55" s="392"/>
      <c r="BJ55" s="392"/>
      <c r="CA55" s="392"/>
      <c r="CB55" s="392"/>
      <c r="CC55" s="392"/>
      <c r="CD55" s="392"/>
      <c r="CU55" s="392"/>
      <c r="CV55" s="392"/>
      <c r="CW55" s="392"/>
      <c r="CX55" s="392"/>
      <c r="DO55" s="392"/>
      <c r="DP55" s="392"/>
      <c r="DQ55" s="392"/>
      <c r="DR55" s="392"/>
      <c r="EI55" s="392"/>
      <c r="EJ55" s="392"/>
      <c r="EK55" s="392"/>
      <c r="EL55" s="392"/>
      <c r="FC55" s="392"/>
      <c r="FD55" s="392"/>
      <c r="FE55" s="392"/>
      <c r="FF55" s="392"/>
      <c r="FW55" s="392"/>
      <c r="FX55" s="392"/>
      <c r="FY55" s="392"/>
      <c r="FZ55" s="392"/>
      <c r="GQ55" s="392"/>
      <c r="GR55" s="392"/>
      <c r="GS55" s="392"/>
      <c r="GT55" s="392"/>
      <c r="HK55" s="392"/>
      <c r="HL55" s="392"/>
      <c r="HM55" s="392"/>
      <c r="HN55" s="392"/>
      <c r="IE55" s="392"/>
      <c r="IF55" s="392"/>
      <c r="IG55" s="392"/>
      <c r="IH55" s="392"/>
    </row>
    <row r="56" spans="1:242" x14ac:dyDescent="0.2">
      <c r="A56" s="26"/>
      <c r="B56" s="263" t="str">
        <f>'1.1 V.A Ing.real'!B45</f>
        <v>Actualizado el 15 de diciembre de 2021</v>
      </c>
      <c r="C56" s="44"/>
      <c r="D56" s="44"/>
      <c r="E56" s="27"/>
      <c r="F56" s="27"/>
      <c r="G56" s="27"/>
    </row>
    <row r="57" spans="1:242" x14ac:dyDescent="0.2">
      <c r="A57" s="31"/>
      <c r="B57" s="58"/>
      <c r="C57" s="58"/>
      <c r="D57" s="58"/>
      <c r="E57" s="58"/>
      <c r="F57" s="58"/>
      <c r="G57" s="58"/>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2"/>
      <c r="DV57" s="72"/>
      <c r="DW57" s="72"/>
      <c r="DX57" s="72"/>
      <c r="DY57" s="72"/>
      <c r="DZ57" s="72"/>
      <c r="EA57" s="72"/>
      <c r="EB57" s="72"/>
      <c r="EC57" s="72"/>
      <c r="ED57" s="72"/>
      <c r="EE57" s="72"/>
      <c r="EF57" s="72"/>
      <c r="EG57" s="72"/>
      <c r="EH57" s="72"/>
      <c r="EI57" s="72"/>
      <c r="EJ57" s="72"/>
      <c r="EK57" s="72"/>
      <c r="EL57" s="72"/>
      <c r="EM57" s="72"/>
      <c r="EN57" s="72"/>
      <c r="EO57" s="72"/>
      <c r="EP57" s="72"/>
      <c r="EQ57" s="72"/>
      <c r="ER57" s="72"/>
      <c r="ES57" s="72"/>
      <c r="ET57" s="72"/>
      <c r="EU57" s="72"/>
      <c r="EV57" s="72"/>
      <c r="EW57" s="72"/>
      <c r="EX57" s="72"/>
      <c r="EY57" s="72"/>
      <c r="EZ57" s="72"/>
      <c r="FA57" s="72"/>
      <c r="FB57" s="72"/>
      <c r="FC57" s="72"/>
      <c r="FD57" s="72"/>
      <c r="FE57" s="72"/>
      <c r="FF57" s="72"/>
      <c r="FG57" s="72"/>
      <c r="FH57" s="72"/>
      <c r="FI57" s="72"/>
      <c r="FJ57" s="72"/>
      <c r="FK57" s="72"/>
      <c r="FL57" s="72"/>
      <c r="FM57" s="72"/>
      <c r="FN57" s="72"/>
      <c r="FO57" s="72"/>
      <c r="FP57" s="72"/>
      <c r="FQ57" s="72"/>
      <c r="FR57" s="72"/>
      <c r="FS57" s="72"/>
      <c r="FT57" s="72"/>
      <c r="FU57" s="72"/>
      <c r="FV57" s="72"/>
      <c r="FW57" s="72"/>
      <c r="FX57" s="72"/>
      <c r="FY57" s="72"/>
      <c r="FZ57" s="72"/>
      <c r="GA57" s="72"/>
      <c r="GB57" s="72"/>
      <c r="GC57" s="72"/>
      <c r="GD57" s="72"/>
      <c r="GE57" s="72"/>
      <c r="GF57" s="72"/>
      <c r="GG57" s="72"/>
      <c r="GH57" s="72"/>
      <c r="GI57" s="72"/>
      <c r="GJ57" s="72"/>
      <c r="GK57" s="72"/>
      <c r="GL57" s="72"/>
      <c r="GM57" s="72"/>
      <c r="GN57" s="72"/>
      <c r="GO57" s="72"/>
      <c r="GP57" s="72"/>
      <c r="GQ57" s="72"/>
      <c r="GR57" s="72"/>
      <c r="GS57" s="72"/>
      <c r="GT57" s="72"/>
      <c r="GU57" s="72"/>
      <c r="GV57" s="72"/>
      <c r="GW57" s="72"/>
      <c r="GX57" s="72"/>
      <c r="GY57" s="72"/>
      <c r="GZ57" s="72"/>
      <c r="HA57" s="72"/>
      <c r="HB57" s="72"/>
      <c r="HC57" s="72"/>
      <c r="HD57" s="72"/>
      <c r="HE57" s="72"/>
      <c r="HF57" s="72"/>
      <c r="HG57" s="72"/>
      <c r="HH57" s="72"/>
      <c r="HI57" s="72"/>
      <c r="HJ57" s="72"/>
      <c r="HK57" s="72"/>
      <c r="HL57" s="72"/>
      <c r="HM57" s="72"/>
      <c r="HN57" s="72"/>
      <c r="HO57" s="72"/>
      <c r="HP57" s="72"/>
      <c r="HQ57" s="72"/>
      <c r="HR57" s="72"/>
      <c r="HS57" s="72"/>
      <c r="HT57" s="72"/>
      <c r="HU57" s="72"/>
      <c r="HV57" s="72"/>
      <c r="HW57" s="72"/>
      <c r="HX57" s="72"/>
      <c r="HY57" s="72"/>
      <c r="HZ57" s="72"/>
      <c r="IA57" s="72"/>
      <c r="IB57" s="72"/>
      <c r="IC57" s="72"/>
      <c r="ID57" s="72"/>
      <c r="IE57" s="72"/>
      <c r="IF57" s="72"/>
      <c r="IG57" s="72"/>
      <c r="IH57" s="72"/>
    </row>
  </sheetData>
  <mergeCells count="249">
    <mergeCell ref="B54:R55"/>
    <mergeCell ref="A7:G8"/>
    <mergeCell ref="FI1:FL1"/>
    <mergeCell ref="FM1:FP1"/>
    <mergeCell ref="FQ1:FT1"/>
    <mergeCell ref="A10:G10"/>
    <mergeCell ref="H15:H17"/>
    <mergeCell ref="I15:J16"/>
    <mergeCell ref="K15:K17"/>
    <mergeCell ref="L15:L17"/>
    <mergeCell ref="M15:N16"/>
    <mergeCell ref="O15:O17"/>
    <mergeCell ref="P15:P17"/>
    <mergeCell ref="D15:D17"/>
    <mergeCell ref="E15:F16"/>
    <mergeCell ref="G15:G17"/>
    <mergeCell ref="AI15:AI17"/>
    <mergeCell ref="AJ15:AJ17"/>
    <mergeCell ref="AK15:AL16"/>
    <mergeCell ref="AQ14:AT14"/>
    <mergeCell ref="AU14:AX14"/>
    <mergeCell ref="AY14:BB14"/>
    <mergeCell ref="BC14:BF14"/>
    <mergeCell ref="A13:A17"/>
    <mergeCell ref="B13:B17"/>
    <mergeCell ref="Q15:R16"/>
    <mergeCell ref="W14:Z14"/>
    <mergeCell ref="AA14:AD14"/>
    <mergeCell ref="AE14:AH14"/>
    <mergeCell ref="AI14:AL14"/>
    <mergeCell ref="W15:W17"/>
    <mergeCell ref="X15:X17"/>
    <mergeCell ref="Y15:Z16"/>
    <mergeCell ref="AA15:AA17"/>
    <mergeCell ref="AB15:AB17"/>
    <mergeCell ref="AC15:AD16"/>
    <mergeCell ref="AE15:AE17"/>
    <mergeCell ref="AF15:AF17"/>
    <mergeCell ref="AG15:AH16"/>
    <mergeCell ref="C14:F14"/>
    <mergeCell ref="G14:J14"/>
    <mergeCell ref="K14:N14"/>
    <mergeCell ref="O14:R14"/>
    <mergeCell ref="C15:C17"/>
    <mergeCell ref="FU1:GB1"/>
    <mergeCell ref="DW14:DZ14"/>
    <mergeCell ref="EA14:ED14"/>
    <mergeCell ref="EE14:EH14"/>
    <mergeCell ref="EI14:EL14"/>
    <mergeCell ref="BY15:BZ16"/>
    <mergeCell ref="CQ15:CQ17"/>
    <mergeCell ref="CR15:CR17"/>
    <mergeCell ref="CS15:CT16"/>
    <mergeCell ref="CE15:CE17"/>
    <mergeCell ref="CF15:CF17"/>
    <mergeCell ref="CG15:CH16"/>
    <mergeCell ref="CI15:CI17"/>
    <mergeCell ref="CJ15:CJ17"/>
    <mergeCell ref="CK15:CL16"/>
    <mergeCell ref="CM15:CM17"/>
    <mergeCell ref="CN15:CN17"/>
    <mergeCell ref="CO15:CP16"/>
    <mergeCell ref="CY14:DB14"/>
    <mergeCell ref="DC14:DF14"/>
    <mergeCell ref="DG14:DJ14"/>
    <mergeCell ref="DK14:DN14"/>
    <mergeCell ref="DS14:DV14"/>
    <mergeCell ref="CY15:CY17"/>
    <mergeCell ref="AQ15:AQ17"/>
    <mergeCell ref="AR15:AR17"/>
    <mergeCell ref="AS15:AT16"/>
    <mergeCell ref="AU15:AU17"/>
    <mergeCell ref="AV15:AV17"/>
    <mergeCell ref="AW15:AX16"/>
    <mergeCell ref="AY15:AY17"/>
    <mergeCell ref="AZ15:AZ17"/>
    <mergeCell ref="BK14:BN14"/>
    <mergeCell ref="BK15:BK17"/>
    <mergeCell ref="BL15:BL17"/>
    <mergeCell ref="BM15:BN16"/>
    <mergeCell ref="BA15:BB16"/>
    <mergeCell ref="BC15:BC17"/>
    <mergeCell ref="BD15:BD17"/>
    <mergeCell ref="BE15:BF16"/>
    <mergeCell ref="BO14:BR14"/>
    <mergeCell ref="BS14:BV14"/>
    <mergeCell ref="BW14:BZ14"/>
    <mergeCell ref="CE14:CH14"/>
    <mergeCell ref="CI14:CL14"/>
    <mergeCell ref="CM14:CP14"/>
    <mergeCell ref="CQ14:CT14"/>
    <mergeCell ref="BO15:BO17"/>
    <mergeCell ref="BP15:BP17"/>
    <mergeCell ref="BQ15:BR16"/>
    <mergeCell ref="BS15:BS17"/>
    <mergeCell ref="BT15:BT17"/>
    <mergeCell ref="BU15:BV16"/>
    <mergeCell ref="BW15:BW17"/>
    <mergeCell ref="BX15:BX17"/>
    <mergeCell ref="CZ15:CZ17"/>
    <mergeCell ref="DA15:DB16"/>
    <mergeCell ref="DC15:DC17"/>
    <mergeCell ref="DD15:DD17"/>
    <mergeCell ref="DE15:DF16"/>
    <mergeCell ref="DG15:DG17"/>
    <mergeCell ref="DH15:DH17"/>
    <mergeCell ref="DI15:DJ16"/>
    <mergeCell ref="DK15:DK17"/>
    <mergeCell ref="EM14:EP14"/>
    <mergeCell ref="EQ14:ET14"/>
    <mergeCell ref="EU14:EX14"/>
    <mergeCell ref="EY14:FB14"/>
    <mergeCell ref="DL15:DL17"/>
    <mergeCell ref="DM15:DN16"/>
    <mergeCell ref="DS15:DS17"/>
    <mergeCell ref="DT15:DT17"/>
    <mergeCell ref="DU15:DV16"/>
    <mergeCell ref="EC15:ED16"/>
    <mergeCell ref="EE15:EE17"/>
    <mergeCell ref="EF15:EF17"/>
    <mergeCell ref="EG15:EH16"/>
    <mergeCell ref="EM15:EM17"/>
    <mergeCell ref="DW15:DW17"/>
    <mergeCell ref="DX15:DX17"/>
    <mergeCell ref="DY15:DZ16"/>
    <mergeCell ref="EA15:EA17"/>
    <mergeCell ref="EB15:EB17"/>
    <mergeCell ref="EU15:EU17"/>
    <mergeCell ref="EV15:EV17"/>
    <mergeCell ref="EW15:EX16"/>
    <mergeCell ref="EY15:EY17"/>
    <mergeCell ref="EI15:EJ16"/>
    <mergeCell ref="EK15:EL16"/>
    <mergeCell ref="EZ15:EZ17"/>
    <mergeCell ref="EN15:EN17"/>
    <mergeCell ref="EO15:EP16"/>
    <mergeCell ref="EQ15:EQ17"/>
    <mergeCell ref="ER15:ER17"/>
    <mergeCell ref="ES15:ET16"/>
    <mergeCell ref="IA14:ID14"/>
    <mergeCell ref="FA15:FB16"/>
    <mergeCell ref="FG14:FJ14"/>
    <mergeCell ref="FK14:FN14"/>
    <mergeCell ref="FO14:FR14"/>
    <mergeCell ref="FS14:FV14"/>
    <mergeCell ref="GA14:GD14"/>
    <mergeCell ref="GE14:GH14"/>
    <mergeCell ref="GI14:GL14"/>
    <mergeCell ref="GM14:GP14"/>
    <mergeCell ref="GU14:GX14"/>
    <mergeCell ref="GY14:HB14"/>
    <mergeCell ref="HC14:HF14"/>
    <mergeCell ref="FG15:FG17"/>
    <mergeCell ref="FH15:FH17"/>
    <mergeCell ref="FI15:FJ16"/>
    <mergeCell ref="FK15:FK17"/>
    <mergeCell ref="FL15:FL17"/>
    <mergeCell ref="HG14:HJ14"/>
    <mergeCell ref="HO14:HR14"/>
    <mergeCell ref="HS14:HV14"/>
    <mergeCell ref="HW14:HZ14"/>
    <mergeCell ref="FT15:FT17"/>
    <mergeCell ref="FU15:FV16"/>
    <mergeCell ref="GA15:GA17"/>
    <mergeCell ref="GB15:GB17"/>
    <mergeCell ref="GC15:GD16"/>
    <mergeCell ref="FM15:FN16"/>
    <mergeCell ref="FO15:FO17"/>
    <mergeCell ref="FP15:FP17"/>
    <mergeCell ref="FQ15:FR16"/>
    <mergeCell ref="FS15:FS17"/>
    <mergeCell ref="GK15:GL16"/>
    <mergeCell ref="GM15:GM17"/>
    <mergeCell ref="GN15:GN17"/>
    <mergeCell ref="GO15:GP16"/>
    <mergeCell ref="GU15:GU17"/>
    <mergeCell ref="GE15:GE17"/>
    <mergeCell ref="GJ15:GJ17"/>
    <mergeCell ref="HC15:HC17"/>
    <mergeCell ref="HD15:HD17"/>
    <mergeCell ref="HE15:HF16"/>
    <mergeCell ref="HG15:HG17"/>
    <mergeCell ref="HH15:HH17"/>
    <mergeCell ref="GV15:GV17"/>
    <mergeCell ref="GW15:GX16"/>
    <mergeCell ref="GY15:GY17"/>
    <mergeCell ref="GZ15:GZ17"/>
    <mergeCell ref="HA15:HB16"/>
    <mergeCell ref="IA15:IA17"/>
    <mergeCell ref="IB15:IB17"/>
    <mergeCell ref="IC15:ID16"/>
    <mergeCell ref="HT15:HT17"/>
    <mergeCell ref="HU15:HV16"/>
    <mergeCell ref="HW15:HW17"/>
    <mergeCell ref="HX15:HX17"/>
    <mergeCell ref="HY15:HZ16"/>
    <mergeCell ref="HI15:HJ16"/>
    <mergeCell ref="HO15:HO17"/>
    <mergeCell ref="HP15:HP17"/>
    <mergeCell ref="HQ15:HR16"/>
    <mergeCell ref="HS15:HS17"/>
    <mergeCell ref="GQ15:GR16"/>
    <mergeCell ref="GS15:GT16"/>
    <mergeCell ref="C13:V13"/>
    <mergeCell ref="AM14:AP14"/>
    <mergeCell ref="AM15:AN16"/>
    <mergeCell ref="AO15:AP16"/>
    <mergeCell ref="BG14:BJ14"/>
    <mergeCell ref="BG15:BH16"/>
    <mergeCell ref="BI15:BJ16"/>
    <mergeCell ref="CA14:CD14"/>
    <mergeCell ref="CA15:CB16"/>
    <mergeCell ref="CC15:CD16"/>
    <mergeCell ref="CU14:CX14"/>
    <mergeCell ref="CU15:CV16"/>
    <mergeCell ref="CW15:CX16"/>
    <mergeCell ref="DO14:DR14"/>
    <mergeCell ref="DO15:DP16"/>
    <mergeCell ref="DQ15:DR16"/>
    <mergeCell ref="S14:V14"/>
    <mergeCell ref="S15:T16"/>
    <mergeCell ref="U15:V16"/>
    <mergeCell ref="GF15:GF17"/>
    <mergeCell ref="GG15:GH16"/>
    <mergeCell ref="GI15:GI17"/>
    <mergeCell ref="HK14:HN14"/>
    <mergeCell ref="HK15:HL16"/>
    <mergeCell ref="HM15:HN16"/>
    <mergeCell ref="IE14:IH14"/>
    <mergeCell ref="IE15:IF16"/>
    <mergeCell ref="IG15:IH16"/>
    <mergeCell ref="W13:AP13"/>
    <mergeCell ref="AQ13:BJ13"/>
    <mergeCell ref="BK13:CD13"/>
    <mergeCell ref="CE13:CX13"/>
    <mergeCell ref="CY13:DR13"/>
    <mergeCell ref="DS13:EL13"/>
    <mergeCell ref="EM13:FF13"/>
    <mergeCell ref="FG13:FZ13"/>
    <mergeCell ref="GA13:GT13"/>
    <mergeCell ref="GU13:HN13"/>
    <mergeCell ref="HO13:IH13"/>
    <mergeCell ref="FC14:FF14"/>
    <mergeCell ref="FC15:FD16"/>
    <mergeCell ref="FE15:FF16"/>
    <mergeCell ref="FW14:FZ14"/>
    <mergeCell ref="FW15:FX16"/>
    <mergeCell ref="FY15:FZ16"/>
    <mergeCell ref="GQ14:GT14"/>
  </mergeCells>
  <hyperlinks>
    <hyperlink ref="I3" location="Contenido!A1" display="Inicio" xr:uid="{00000000-0004-0000-1900-000000000000}"/>
  </hyperlinks>
  <printOptions horizontalCentered="1"/>
  <pageMargins left="0.70866141732283472" right="0.31496062992125984" top="0.55118110236220474" bottom="0.35433070866141736" header="0.31496062992125984" footer="0.31496062992125984"/>
  <pageSetup scale="2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26</vt:i4>
      </vt:variant>
      <vt:variant>
        <vt:lpstr>Rangos con nombre</vt:lpstr>
      </vt:variant>
      <vt:variant>
        <vt:i4>26</vt:i4>
      </vt:variant>
    </vt:vector>
  </HeadingPairs>
  <TitlesOfParts>
    <vt:vector size="52" baseType="lpstr">
      <vt:lpstr>Contenido</vt:lpstr>
      <vt:lpstr>1.1 V.A Ing.real</vt:lpstr>
      <vt:lpstr>1.2 V.A.C Ing.real</vt:lpstr>
      <vt:lpstr>1.3 V.12Meses Ing.real</vt:lpstr>
      <vt:lpstr>2.1 V.A Per.categ</vt:lpstr>
      <vt:lpstr>2.2 V.A.C Per.categ</vt:lpstr>
      <vt:lpstr>2.3 V.12Meses Per.categ</vt:lpstr>
      <vt:lpstr>3.1 V.A Salarios</vt:lpstr>
      <vt:lpstr>3.2 V.A.C Salarios</vt:lpstr>
      <vt:lpstr>3.3 V.12Meses Salarios</vt:lpstr>
      <vt:lpstr>4.1 VAR_Bienales</vt:lpstr>
      <vt:lpstr>5.1 Porc Ocupación.escala.hab</vt:lpstr>
      <vt:lpstr>5.2 Porc Mens Ocupación.reg</vt:lpstr>
      <vt:lpstr>5.3 Porc A.C Ocupación.reg</vt:lpstr>
      <vt:lpstr>5.4 Porc 12.meses Ocupación.reg</vt:lpstr>
      <vt:lpstr>6.1 Porc Mens Motivo.viaje.reg</vt:lpstr>
      <vt:lpstr>6.2 Porc AC Motivo.viaje.reg</vt:lpstr>
      <vt:lpstr>6.3 Porc Mens Motivo.viaje.R</vt:lpstr>
      <vt:lpstr>6.4 Porc Mens Motivo.viaje.NR</vt:lpstr>
      <vt:lpstr>6.5 Porc Huéspedes.EMA</vt:lpstr>
      <vt:lpstr>7.1 Ind.Var Tarifas.acomoda</vt:lpstr>
      <vt:lpstr>8.1 Ind.Mes oferta.demanda</vt:lpstr>
      <vt:lpstr>9.1 Ind.EMA</vt:lpstr>
      <vt:lpstr>9.2 Ind empalmados.MMH</vt:lpstr>
      <vt:lpstr>10.1 Coef.Varia.Naci</vt:lpstr>
      <vt:lpstr>10.2 Coef.Variación.Regi</vt:lpstr>
      <vt:lpstr>'1.1 V.A Ing.real'!Área_de_impresión</vt:lpstr>
      <vt:lpstr>'1.2 V.A.C Ing.real'!Área_de_impresión</vt:lpstr>
      <vt:lpstr>'1.3 V.12Meses Ing.real'!Área_de_impresión</vt:lpstr>
      <vt:lpstr>'10.1 Coef.Varia.Naci'!Área_de_impresión</vt:lpstr>
      <vt:lpstr>'10.2 Coef.Variación.Regi'!Área_de_impresión</vt:lpstr>
      <vt:lpstr>'2.1 V.A Per.categ'!Área_de_impresión</vt:lpstr>
      <vt:lpstr>'2.2 V.A.C Per.categ'!Área_de_impresión</vt:lpstr>
      <vt:lpstr>'2.3 V.12Meses Per.categ'!Área_de_impresión</vt:lpstr>
      <vt:lpstr>'3.1 V.A Salarios'!Área_de_impresión</vt:lpstr>
      <vt:lpstr>'3.2 V.A.C Salarios'!Área_de_impresión</vt:lpstr>
      <vt:lpstr>'3.3 V.12Meses Salarios'!Área_de_impresión</vt:lpstr>
      <vt:lpstr>'4.1 VAR_Bienales'!Área_de_impresión</vt:lpstr>
      <vt:lpstr>'5.1 Porc Ocupación.escala.hab'!Área_de_impresión</vt:lpstr>
      <vt:lpstr>'6.1 Porc Mens Motivo.viaje.reg'!Área_de_impresión</vt:lpstr>
      <vt:lpstr>'6.2 Porc AC Motivo.viaje.reg'!Área_de_impresión</vt:lpstr>
      <vt:lpstr>'6.3 Porc Mens Motivo.viaje.R'!Área_de_impresión</vt:lpstr>
      <vt:lpstr>'6.4 Porc Mens Motivo.viaje.NR'!Área_de_impresión</vt:lpstr>
      <vt:lpstr>'6.5 Porc Huéspedes.EMA'!Área_de_impresión</vt:lpstr>
      <vt:lpstr>'7.1 Ind.Var Tarifas.acomoda'!Área_de_impresión</vt:lpstr>
      <vt:lpstr>'8.1 Ind.Mes oferta.demanda'!Área_de_impresión</vt:lpstr>
      <vt:lpstr>'9.1 Ind.EMA'!Área_de_impresión</vt:lpstr>
      <vt:lpstr>'9.2 Ind empalmados.MMH'!Área_de_impresión</vt:lpstr>
      <vt:lpstr>Contenido!Área_de_impresión</vt:lpstr>
      <vt:lpstr>'6.5 Porc Huéspedes.EMA'!Títulos_a_imprimir</vt:lpstr>
      <vt:lpstr>'9.1 Ind.EMA'!Títulos_a_imprimir</vt:lpstr>
      <vt:lpstr>'9.2 Ind empalmados.MMH'!Títulos_a_imprimir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Martha Helena Sanchez Fernandez</dc:creator>
  <cp:lastModifiedBy>lcast</cp:lastModifiedBy>
  <cp:lastPrinted>2015-09-21T15:03:31Z</cp:lastPrinted>
  <dcterms:created xsi:type="dcterms:W3CDTF">2013-03-07T13:49:20Z</dcterms:created>
  <dcterms:modified xsi:type="dcterms:W3CDTF">2021-12-15T01:03:03Z</dcterms:modified>
</cp:coreProperties>
</file>